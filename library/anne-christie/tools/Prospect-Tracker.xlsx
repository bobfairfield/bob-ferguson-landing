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Prospect Tracker" sheetId="1" state="visible" r:id="rId1"/>
    <sheet name="Lists" sheetId="2" state="hidden" r:id="rId2"/>
    <sheet name="Priority View" sheetId="3" state="visible" r:id="rId3"/>
    <sheet name="Pipeline Summary" sheetId="4" state="visible" r:id="rId4"/>
    <sheet name="How To Use"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13">
    <font>
      <name val="Calibri"/>
      <charset val="1"/>
      <family val="2"/>
      <color theme="1"/>
      <sz val="11"/>
    </font>
    <font>
      <name val="Arial"/>
      <family val="0"/>
      <sz val="10"/>
    </font>
    <font>
      <name val="Arial"/>
      <family val="0"/>
      <sz val="10"/>
    </font>
    <font>
      <name val="Arial"/>
      <family val="0"/>
      <sz val="10"/>
    </font>
    <font>
      <name val="Cambria"/>
      <charset val="1"/>
      <family val="1"/>
      <b val="1"/>
      <color rgb="FF4A151C"/>
      <sz val="18"/>
    </font>
    <font>
      <name val="Calibri"/>
      <charset val="1"/>
      <family val="2"/>
      <i val="1"/>
      <color rgb="FF4A151C"/>
      <sz val="10"/>
    </font>
    <font>
      <name val="Calibri"/>
      <charset val="1"/>
      <family val="2"/>
      <b val="1"/>
      <color rgb="FFFFFFFF"/>
      <sz val="11"/>
    </font>
    <font>
      <name val="Calibri"/>
      <charset val="1"/>
      <family val="2"/>
      <sz val="11"/>
    </font>
    <font>
      <name val="Cambria"/>
      <charset val="1"/>
      <family val="1"/>
      <b val="1"/>
      <color rgb="FF4A151C"/>
      <sz val="16"/>
    </font>
    <font>
      <name val="Calibri"/>
      <charset val="1"/>
      <family val="2"/>
      <b val="1"/>
      <color rgb="FFFFFFFF"/>
      <sz val="12"/>
    </font>
    <font>
      <name val="Calibri"/>
      <charset val="1"/>
      <family val="2"/>
      <b val="1"/>
      <sz val="11"/>
    </font>
    <font>
      <name val="Calibri"/>
      <charset val="1"/>
      <family val="2"/>
      <b val="1"/>
      <color rgb="FF4A151C"/>
      <sz val="12"/>
    </font>
    <font>
      <name val="Calibri"/>
      <charset val="1"/>
      <family val="2"/>
      <sz val="10"/>
    </font>
  </fonts>
  <fills count="4">
    <fill>
      <patternFill/>
    </fill>
    <fill>
      <patternFill patternType="gray125"/>
    </fill>
    <fill>
      <patternFill patternType="solid">
        <fgColor rgb="FFFBF7EF"/>
        <bgColor rgb="FFFFFFFF"/>
      </patternFill>
    </fill>
    <fill>
      <patternFill patternType="solid">
        <fgColor rgb="FF6B1F2A"/>
        <bgColor rgb="FF4A151C"/>
      </patternFill>
    </fill>
  </fills>
  <borders count="3">
    <border>
      <left/>
      <right/>
      <top/>
      <bottom/>
      <diagonal/>
    </border>
    <border>
      <left style="thin">
        <color rgb="FF4A151C"/>
      </left>
      <right style="thin">
        <color rgb="FF4A151C"/>
      </right>
      <top style="thin">
        <color rgb="FF4A151C"/>
      </top>
      <bottom style="thin">
        <color rgb="FF4A151C"/>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0" fillId="0" borderId="0" applyAlignment="1" pivotButton="0" quotePrefix="0" xfId="0">
      <alignment horizontal="general" vertical="bottom"/>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bgColor rgb="FFD9EAD3"/>
        </patternFill>
      </fill>
    </dxf>
    <dxf>
      <fill>
        <patternFill>
          <bgColor rgb="FFF8CBAD"/>
        </patternFill>
      </fill>
    </dxf>
    <dxf>
      <font>
        <name val="Calibri"/>
        <charset val="1"/>
        <family val="0"/>
        <b val="1"/>
        <color rgb="FFFFFFFF"/>
      </font>
      <fill>
        <patternFill>
          <bgColor rgb="FFC6974F"/>
        </patternFill>
      </fill>
    </dxf>
    <dxf>
      <font>
        <name val="Calibri"/>
        <charset val="1"/>
        <family val="0"/>
        <b val="1"/>
        <color rgb="FFFFFFFF"/>
      </font>
      <fill>
        <patternFill>
          <bgColor rgb="FF5B7A63"/>
        </patternFill>
      </fill>
    </dxf>
    <dxf>
      <font>
        <name val="Calibri"/>
        <charset val="1"/>
        <family val="0"/>
        <b val="1"/>
        <color rgb="FF4A151C"/>
      </font>
      <fill>
        <patternFill>
          <bgColor rgb="FFD6DFD9"/>
        </patternFill>
      </fill>
    </dxf>
    <dxf>
      <font>
        <name val="Calibri"/>
        <charset val="1"/>
        <family val="0"/>
        <b val="1"/>
        <color rgb="FF4A151C"/>
      </font>
      <fill>
        <patternFill>
          <bgColor rgb="FFEFE8D8"/>
        </patternFill>
      </fill>
    </dxf>
    <dxf>
      <font>
        <name val="Calibri"/>
        <charset val="1"/>
        <family val="0"/>
        <b val="1"/>
        <color rgb="FFFFFFFF"/>
      </font>
      <fill>
        <patternFill>
          <bgColor rgb="FFB6A79C"/>
        </patternFill>
      </fill>
    </dxf>
  </dxfs>
  <colors>
    <indexedColors>
      <rgbColor rgb="FF000000"/>
      <rgbColor rgb="FFFFFFFF"/>
      <rgbColor rgb="FFFF0000"/>
      <rgbColor rgb="FF00FF00"/>
      <rgbColor rgb="FF0000FF"/>
      <rgbColor rgb="FFFFFF00"/>
      <rgbColor rgb="FFFF00FF"/>
      <rgbColor rgb="FF00FFFF"/>
      <rgbColor rgb="FF6B1F2A"/>
      <rgbColor rgb="FF008000"/>
      <rgbColor rgb="FF000080"/>
      <rgbColor rgb="FF808000"/>
      <rgbColor rgb="FF800080"/>
      <rgbColor rgb="FF008080"/>
      <rgbColor rgb="FFD6DFD9"/>
      <rgbColor rgb="FF5B7A63"/>
      <rgbColor rgb="FF9999FF"/>
      <rgbColor rgb="FF993366"/>
      <rgbColor rgb="FFFBF7EF"/>
      <rgbColor rgb="FFCCFFFF"/>
      <rgbColor rgb="FF660066"/>
      <rgbColor rgb="FFC6974F"/>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EFE8D8"/>
      <rgbColor rgb="FF99CCFF"/>
      <rgbColor rgb="FFFF99CC"/>
      <rgbColor rgb="FFCC99FF"/>
      <rgbColor rgb="FFF8CBAD"/>
      <rgbColor rgb="FF3366FF"/>
      <rgbColor rgb="FF33CCCC"/>
      <rgbColor rgb="FF99CC00"/>
      <rgbColor rgb="FFFFCC00"/>
      <rgbColor rgb="FFFF9900"/>
      <rgbColor rgb="FFFF6600"/>
      <rgbColor rgb="FF666699"/>
      <rgbColor rgb="FFB6A79C"/>
      <rgbColor rgb="FF003366"/>
      <rgbColor rgb="FF339966"/>
      <rgbColor rgb="FF003300"/>
      <rgbColor rgb="FF333300"/>
      <rgbColor rgb="FF993300"/>
      <rgbColor rgb="FF993366"/>
      <rgbColor rgb="FF333399"/>
      <rgbColor rgb="FF4A151C"/>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X554"/>
  <sheetViews>
    <sheetView showFormulas="0" showGridLines="0"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2"/>
    <col width="14" customWidth="1" style="19" min="3" max="3"/>
    <col width="22" customWidth="1" style="19" min="4" max="4"/>
    <col width="16" customWidth="1" style="19" min="5" max="5"/>
    <col width="14" customWidth="1" style="19" min="6" max="7"/>
    <col width="16" customWidth="1" style="19" min="8" max="8"/>
    <col width="14" customWidth="1" style="19" min="9" max="9"/>
    <col width="16" customWidth="1" style="19" min="10" max="11"/>
    <col width="22" customWidth="1" style="19" min="12" max="12"/>
    <col width="14" customWidth="1" style="19" min="13" max="18"/>
    <col width="18" customWidth="1" style="19" min="19" max="19"/>
    <col width="14" customWidth="1" style="19" min="20" max="20"/>
    <col width="18" customWidth="1" style="19" min="21" max="21"/>
    <col width="22" customWidth="1" style="19" min="22" max="22"/>
    <col width="16" customWidth="1" style="19" min="23" max="23"/>
    <col hidden="1" width="12" customWidth="1" style="19" min="24" max="24"/>
  </cols>
  <sheetData>
    <row r="1" ht="25.5" customHeight="1" s="20">
      <c r="A1" s="21" t="inlineStr">
        <is>
          <t>Anne Christie — Bio-Age™ Reset Stack Prospect Tracker</t>
        </is>
      </c>
    </row>
    <row r="2" ht="21.75" customHeight="1" s="20">
      <c r="A2" s="22" t="inlineStr">
        <is>
          <t>Fill in dates as things happen — Current Stage, Priority, and Days Since Last Contact update automatically. See 'How To Use' tab.</t>
        </is>
      </c>
    </row>
    <row r="3" ht="21.75" customHeight="1" s="20">
      <c r="A3" s="23" t="n"/>
    </row>
    <row r="4" ht="33.75" customHeight="1" s="20">
      <c r="A4" s="24" t="inlineStr">
        <is>
          <t>First Name</t>
        </is>
      </c>
      <c r="B4" s="24" t="inlineStr">
        <is>
          <t>Last Name</t>
        </is>
      </c>
      <c r="C4" s="24" t="inlineStr">
        <is>
          <t>Phone</t>
        </is>
      </c>
      <c r="D4" s="24" t="inlineStr">
        <is>
          <t>Email</t>
        </is>
      </c>
      <c r="E4" s="24" t="inlineStr">
        <is>
          <t>Source / How Met</t>
        </is>
      </c>
      <c r="F4" s="24" t="inlineStr">
        <is>
          <t>Date Contacted</t>
        </is>
      </c>
      <c r="G4" s="24" t="inlineStr">
        <is>
          <t>Contact Method</t>
        </is>
      </c>
      <c r="H4" s="24" t="inlineStr">
        <is>
          <t>Slide Deck: Sent/In Person</t>
        </is>
      </c>
      <c r="I4" s="24" t="inlineStr">
        <is>
          <t>Presentation Date</t>
        </is>
      </c>
      <c r="J4" s="24" t="inlineStr">
        <is>
          <t>Presentation Status</t>
        </is>
      </c>
      <c r="K4" s="24" t="inlineStr">
        <is>
          <t>Next Follow-Up Date</t>
        </is>
      </c>
      <c r="L4" s="24" t="inlineStr">
        <is>
          <t>Follow-Up Notes</t>
        </is>
      </c>
      <c r="M4" s="24" t="inlineStr">
        <is>
          <t>Enrollment Type</t>
        </is>
      </c>
      <c r="N4" s="24" t="inlineStr">
        <is>
          <t>Enrollment Date</t>
        </is>
      </c>
      <c r="O4" s="24" t="inlineStr">
        <is>
          <t>Referral Ask</t>
        </is>
      </c>
      <c r="P4" s="24" t="inlineStr">
        <is>
          <t>Onboarding Status</t>
        </is>
      </c>
      <c r="Q4" s="24" t="inlineStr">
        <is>
          <t>Onboarding Date</t>
        </is>
      </c>
      <c r="R4" s="24" t="inlineStr">
        <is>
          <t>Current Stage</t>
        </is>
      </c>
      <c r="S4" s="24" t="inlineStr">
        <is>
          <t>Rank</t>
        </is>
      </c>
      <c r="T4" s="24" t="inlineStr">
        <is>
          <t>Days Since Last Contact</t>
        </is>
      </c>
      <c r="U4" s="24" t="inlineStr">
        <is>
          <t>Next Action</t>
        </is>
      </c>
      <c r="V4" s="24" t="inlineStr">
        <is>
          <t>Notes</t>
        </is>
      </c>
      <c r="W4" s="24" t="inlineStr">
        <is>
          <t>Priority</t>
        </is>
      </c>
      <c r="X4" s="24" t="inlineStr">
        <is>
          <t>Sort Key</t>
        </is>
      </c>
    </row>
    <row r="5" ht="15" customHeight="1" s="20">
      <c r="A5" s="25" t="n"/>
      <c r="B5" s="25" t="n"/>
      <c r="C5" s="25" t="n"/>
      <c r="D5" s="25" t="n"/>
      <c r="E5" s="25" t="n"/>
      <c r="F5" s="26" t="n"/>
      <c r="G5" s="25" t="n"/>
      <c r="H5" s="25" t="n"/>
      <c r="I5" s="26" t="n"/>
      <c r="J5" s="25" t="n"/>
      <c r="K5" s="26" t="n"/>
      <c r="L5" s="25" t="n"/>
      <c r="M5" s="25" t="n"/>
      <c r="N5" s="26" t="n"/>
      <c r="O5" s="25" t="n"/>
      <c r="P5" s="25" t="n"/>
      <c r="Q5" s="26" t="n"/>
      <c r="R5" s="25">
        <f>IF(AND($A5="",$B5=""),"",IF(Q5="Complete","Onboarded",IF(OR(M5="Member",M5="Ambassador"),"Sponsored",IF(K5&lt;&gt;"","Follow-Up",IF(I5&lt;&gt;"","Presented",IF(F5&lt;&gt;"","Contacted","New Lead"))))))</f>
        <v/>
      </c>
      <c r="S5" s="25" t="n"/>
      <c r="T5" s="25">
        <f>IF(MAX(F5,I5,K5)=0,"",TODAY()-MAX(F5,I5,K5))</f>
        <v/>
      </c>
      <c r="U5" s="25" t="n"/>
      <c r="V5" s="25" t="n"/>
      <c r="W5" s="25">
        <f>IF(AND($A5="",$B5=""),"",IF(M5="Ambassador","1 - Ambassador",IF(M5="Member","2 - Member",IF(J5="Completed","3 - Presented",IF(H5&lt;&gt;"","4 - Sent",IF(F5&lt;&gt;"","5 - Contacted","6 - No Activity"))))))</f>
        <v/>
      </c>
      <c r="X5" s="25">
        <f>IF(AND($A5="",$B5=""),9999999+(ROW()-4),VALUE(LEFT($W5,1))*10000+(ROW()-4))</f>
        <v/>
      </c>
    </row>
    <row r="6" ht="15" customHeight="1" s="20">
      <c r="A6" s="25" t="n"/>
      <c r="B6" s="25" t="n"/>
      <c r="C6" s="25" t="n"/>
      <c r="D6" s="25" t="n"/>
      <c r="E6" s="25" t="n"/>
      <c r="F6" s="26" t="n"/>
      <c r="G6" s="25" t="n"/>
      <c r="H6" s="25" t="n"/>
      <c r="I6" s="26" t="n"/>
      <c r="J6" s="25" t="n"/>
      <c r="K6" s="26" t="n"/>
      <c r="L6" s="25" t="n"/>
      <c r="M6" s="25" t="n"/>
      <c r="N6" s="26" t="n"/>
      <c r="O6" s="25" t="n"/>
      <c r="P6" s="25" t="n"/>
      <c r="Q6" s="26" t="n"/>
      <c r="R6" s="25">
        <f>IF(AND($A6="",$B6=""),"",IF(Q6="Complete","Onboarded",IF(OR(M6="Member",M6="Ambassador"),"Sponsored",IF(K6&lt;&gt;"","Follow-Up",IF(I6&lt;&gt;"","Presented",IF(F6&lt;&gt;"","Contacted","New Lead"))))))</f>
        <v/>
      </c>
      <c r="S6" s="25" t="n"/>
      <c r="T6" s="25">
        <f>IF(MAX(F6,I6,K6)=0,"",TODAY()-MAX(F6,I6,K6))</f>
        <v/>
      </c>
      <c r="U6" s="25" t="n"/>
      <c r="V6" s="25" t="n"/>
      <c r="W6" s="25">
        <f>IF(AND($A6="",$B6=""),"",IF(M6="Ambassador","1 - Ambassador",IF(M6="Member","2 - Member",IF(J6="Completed","3 - Presented",IF(H6&lt;&gt;"","4 - Sent",IF(F6&lt;&gt;"","5 - Contacted","6 - No Activity"))))))</f>
        <v/>
      </c>
      <c r="X6" s="25">
        <f>IF(AND($A6="",$B6=""),9999999+(ROW()-4),VALUE(LEFT($W6,1))*10000+(ROW()-4))</f>
        <v/>
      </c>
    </row>
    <row r="7" ht="15" customHeight="1" s="20">
      <c r="A7" s="25" t="n"/>
      <c r="B7" s="25" t="n"/>
      <c r="C7" s="25" t="n"/>
      <c r="D7" s="25" t="n"/>
      <c r="E7" s="25" t="n"/>
      <c r="F7" s="26" t="n"/>
      <c r="G7" s="25" t="n"/>
      <c r="H7" s="25" t="n"/>
      <c r="I7" s="26" t="n"/>
      <c r="J7" s="25" t="n"/>
      <c r="K7" s="26" t="n"/>
      <c r="L7" s="25" t="n"/>
      <c r="M7" s="25" t="n"/>
      <c r="N7" s="26" t="n"/>
      <c r="O7" s="25" t="n"/>
      <c r="P7" s="25" t="n"/>
      <c r="Q7" s="26" t="n"/>
      <c r="R7" s="25">
        <f>IF(AND($A7="",$B7=""),"",IF(Q7="Complete","Onboarded",IF(OR(M7="Member",M7="Ambassador"),"Sponsored",IF(K7&lt;&gt;"","Follow-Up",IF(I7&lt;&gt;"","Presented",IF(F7&lt;&gt;"","Contacted","New Lead"))))))</f>
        <v/>
      </c>
      <c r="S7" s="25" t="n"/>
      <c r="T7" s="25">
        <f>IF(MAX(F7,I7,K7)=0,"",TODAY()-MAX(F7,I7,K7))</f>
        <v/>
      </c>
      <c r="U7" s="25" t="n"/>
      <c r="V7" s="25" t="n"/>
      <c r="W7" s="25">
        <f>IF(AND($A7="",$B7=""),"",IF(M7="Ambassador","1 - Ambassador",IF(M7="Member","2 - Member",IF(J7="Completed","3 - Presented",IF(H7&lt;&gt;"","4 - Sent",IF(F7&lt;&gt;"","5 - Contacted","6 - No Activity"))))))</f>
        <v/>
      </c>
      <c r="X7" s="25">
        <f>IF(AND($A7="",$B7=""),9999999+(ROW()-4),VALUE(LEFT($W7,1))*10000+(ROW()-4))</f>
        <v/>
      </c>
    </row>
    <row r="8" ht="15" customHeight="1" s="20">
      <c r="A8" s="25" t="n"/>
      <c r="B8" s="25" t="n"/>
      <c r="C8" s="25" t="n"/>
      <c r="D8" s="25" t="n"/>
      <c r="E8" s="25" t="n"/>
      <c r="F8" s="26" t="n"/>
      <c r="G8" s="25" t="n"/>
      <c r="H8" s="25" t="n"/>
      <c r="I8" s="26" t="n"/>
      <c r="J8" s="25" t="n"/>
      <c r="K8" s="26" t="n"/>
      <c r="L8" s="25" t="n"/>
      <c r="M8" s="25" t="n"/>
      <c r="N8" s="26" t="n"/>
      <c r="O8" s="25" t="n"/>
      <c r="P8" s="25" t="n"/>
      <c r="Q8" s="26" t="n"/>
      <c r="R8" s="25">
        <f>IF(AND($A8="",$B8=""),"",IF(Q8="Complete","Onboarded",IF(OR(M8="Member",M8="Ambassador"),"Sponsored",IF(K8&lt;&gt;"","Follow-Up",IF(I8&lt;&gt;"","Presented",IF(F8&lt;&gt;"","Contacted","New Lead"))))))</f>
        <v/>
      </c>
      <c r="S8" s="25" t="n"/>
      <c r="T8" s="25">
        <f>IF(MAX(F8,I8,K8)=0,"",TODAY()-MAX(F8,I8,K8))</f>
        <v/>
      </c>
      <c r="U8" s="25" t="n"/>
      <c r="V8" s="25" t="n"/>
      <c r="W8" s="25">
        <f>IF(AND($A8="",$B8=""),"",IF(M8="Ambassador","1 - Ambassador",IF(M8="Member","2 - Member",IF(J8="Completed","3 - Presented",IF(H8&lt;&gt;"","4 - Sent",IF(F8&lt;&gt;"","5 - Contacted","6 - No Activity"))))))</f>
        <v/>
      </c>
      <c r="X8" s="25">
        <f>IF(AND($A8="",$B8=""),9999999+(ROW()-4),VALUE(LEFT($W8,1))*10000+(ROW()-4))</f>
        <v/>
      </c>
    </row>
    <row r="9" ht="15" customHeight="1" s="20">
      <c r="A9" s="25" t="n"/>
      <c r="B9" s="25" t="n"/>
      <c r="C9" s="25" t="n"/>
      <c r="D9" s="25" t="n"/>
      <c r="E9" s="25" t="n"/>
      <c r="F9" s="26" t="n"/>
      <c r="G9" s="25" t="n"/>
      <c r="H9" s="25" t="n"/>
      <c r="I9" s="26" t="n"/>
      <c r="J9" s="25" t="n"/>
      <c r="K9" s="26" t="n"/>
      <c r="L9" s="25" t="n"/>
      <c r="M9" s="25" t="n"/>
      <c r="N9" s="26" t="n"/>
      <c r="O9" s="25" t="n"/>
      <c r="P9" s="25" t="n"/>
      <c r="Q9" s="26" t="n"/>
      <c r="R9" s="25">
        <f>IF(AND($A9="",$B9=""),"",IF(Q9="Complete","Onboarded",IF(OR(M9="Member",M9="Ambassador"),"Sponsored",IF(K9&lt;&gt;"","Follow-Up",IF(I9&lt;&gt;"","Presented",IF(F9&lt;&gt;"","Contacted","New Lead"))))))</f>
        <v/>
      </c>
      <c r="S9" s="25" t="n"/>
      <c r="T9" s="25">
        <f>IF(MAX(F9,I9,K9)=0,"",TODAY()-MAX(F9,I9,K9))</f>
        <v/>
      </c>
      <c r="U9" s="25" t="n"/>
      <c r="V9" s="25" t="n"/>
      <c r="W9" s="25">
        <f>IF(AND($A9="",$B9=""),"",IF(M9="Ambassador","1 - Ambassador",IF(M9="Member","2 - Member",IF(J9="Completed","3 - Presented",IF(H9&lt;&gt;"","4 - Sent",IF(F9&lt;&gt;"","5 - Contacted","6 - No Activity"))))))</f>
        <v/>
      </c>
      <c r="X9" s="25">
        <f>IF(AND($A9="",$B9=""),9999999+(ROW()-4),VALUE(LEFT($W9,1))*10000+(ROW()-4))</f>
        <v/>
      </c>
    </row>
    <row r="10" ht="15" customHeight="1" s="20">
      <c r="A10" s="25" t="n"/>
      <c r="B10" s="25" t="n"/>
      <c r="C10" s="25" t="n"/>
      <c r="D10" s="25" t="n"/>
      <c r="E10" s="25" t="n"/>
      <c r="F10" s="26" t="n"/>
      <c r="G10" s="25" t="n"/>
      <c r="H10" s="25" t="n"/>
      <c r="I10" s="26" t="n"/>
      <c r="J10" s="25" t="n"/>
      <c r="K10" s="26" t="n"/>
      <c r="L10" s="25" t="n"/>
      <c r="M10" s="25" t="n"/>
      <c r="N10" s="26" t="n"/>
      <c r="O10" s="25" t="n"/>
      <c r="P10" s="25" t="n"/>
      <c r="Q10" s="26" t="n"/>
      <c r="R10" s="25">
        <f>IF(AND($A10="",$B10=""),"",IF(Q10="Complete","Onboarded",IF(OR(M10="Member",M10="Ambassador"),"Sponsored",IF(K10&lt;&gt;"","Follow-Up",IF(I10&lt;&gt;"","Presented",IF(F10&lt;&gt;"","Contacted","New Lead"))))))</f>
        <v/>
      </c>
      <c r="S10" s="25" t="n"/>
      <c r="T10" s="25">
        <f>IF(MAX(F10,I10,K10)=0,"",TODAY()-MAX(F10,I10,K10))</f>
        <v/>
      </c>
      <c r="U10" s="25" t="n"/>
      <c r="V10" s="25" t="n"/>
      <c r="W10" s="25">
        <f>IF(AND($A10="",$B10=""),"",IF(M10="Ambassador","1 - Ambassador",IF(M10="Member","2 - Member",IF(J10="Completed","3 - Presented",IF(H10&lt;&gt;"","4 - Sent",IF(F10&lt;&gt;"","5 - Contacted","6 - No Activity"))))))</f>
        <v/>
      </c>
      <c r="X10" s="25">
        <f>IF(AND($A10="",$B10=""),9999999+(ROW()-4),VALUE(LEFT($W10,1))*10000+(ROW()-4))</f>
        <v/>
      </c>
    </row>
    <row r="11" ht="15" customHeight="1" s="20">
      <c r="A11" s="25" t="n"/>
      <c r="B11" s="25" t="n"/>
      <c r="C11" s="25" t="n"/>
      <c r="D11" s="25" t="n"/>
      <c r="E11" s="25" t="n"/>
      <c r="F11" s="26" t="n"/>
      <c r="G11" s="25" t="n"/>
      <c r="H11" s="25" t="n"/>
      <c r="I11" s="26" t="n"/>
      <c r="J11" s="25" t="n"/>
      <c r="K11" s="26" t="n"/>
      <c r="L11" s="25" t="n"/>
      <c r="M11" s="25" t="n"/>
      <c r="N11" s="26" t="n"/>
      <c r="O11" s="25" t="n"/>
      <c r="P11" s="25" t="n"/>
      <c r="Q11" s="26" t="n"/>
      <c r="R11" s="25">
        <f>IF(AND($A11="",$B11=""),"",IF(Q11="Complete","Onboarded",IF(OR(M11="Member",M11="Ambassador"),"Sponsored",IF(K11&lt;&gt;"","Follow-Up",IF(I11&lt;&gt;"","Presented",IF(F11&lt;&gt;"","Contacted","New Lead"))))))</f>
        <v/>
      </c>
      <c r="S11" s="25" t="n"/>
      <c r="T11" s="25">
        <f>IF(MAX(F11,I11,K11)=0,"",TODAY()-MAX(F11,I11,K11))</f>
        <v/>
      </c>
      <c r="U11" s="25" t="n"/>
      <c r="V11" s="25" t="n"/>
      <c r="W11" s="25">
        <f>IF(AND($A11="",$B11=""),"",IF(M11="Ambassador","1 - Ambassador",IF(M11="Member","2 - Member",IF(J11="Completed","3 - Presented",IF(H11&lt;&gt;"","4 - Sent",IF(F11&lt;&gt;"","5 - Contacted","6 - No Activity"))))))</f>
        <v/>
      </c>
      <c r="X11" s="25">
        <f>IF(AND($A11="",$B11=""),9999999+(ROW()-4),VALUE(LEFT($W11,1))*10000+(ROW()-4))</f>
        <v/>
      </c>
    </row>
    <row r="12" ht="15" customHeight="1" s="20">
      <c r="A12" s="25" t="n"/>
      <c r="B12" s="25" t="n"/>
      <c r="C12" s="25" t="n"/>
      <c r="D12" s="25" t="n"/>
      <c r="E12" s="25" t="n"/>
      <c r="F12" s="26" t="n"/>
      <c r="G12" s="25" t="n"/>
      <c r="H12" s="25" t="n"/>
      <c r="I12" s="26" t="n"/>
      <c r="J12" s="25" t="n"/>
      <c r="K12" s="26" t="n"/>
      <c r="L12" s="25" t="n"/>
      <c r="M12" s="25" t="n"/>
      <c r="N12" s="26" t="n"/>
      <c r="O12" s="25" t="n"/>
      <c r="P12" s="25" t="n"/>
      <c r="Q12" s="26" t="n"/>
      <c r="R12" s="25">
        <f>IF(AND($A12="",$B12=""),"",IF(Q12="Complete","Onboarded",IF(OR(M12="Member",M12="Ambassador"),"Sponsored",IF(K12&lt;&gt;"","Follow-Up",IF(I12&lt;&gt;"","Presented",IF(F12&lt;&gt;"","Contacted","New Lead"))))))</f>
        <v/>
      </c>
      <c r="S12" s="25" t="n"/>
      <c r="T12" s="25">
        <f>IF(MAX(F12,I12,K12)=0,"",TODAY()-MAX(F12,I12,K12))</f>
        <v/>
      </c>
      <c r="U12" s="25" t="n"/>
      <c r="V12" s="25" t="n"/>
      <c r="W12" s="25">
        <f>IF(AND($A12="",$B12=""),"",IF(M12="Ambassador","1 - Ambassador",IF(M12="Member","2 - Member",IF(J12="Completed","3 - Presented",IF(H12&lt;&gt;"","4 - Sent",IF(F12&lt;&gt;"","5 - Contacted","6 - No Activity"))))))</f>
        <v/>
      </c>
      <c r="X12" s="25">
        <f>IF(AND($A12="",$B12=""),9999999+(ROW()-4),VALUE(LEFT($W12,1))*10000+(ROW()-4))</f>
        <v/>
      </c>
    </row>
    <row r="13" ht="15" customHeight="1" s="20">
      <c r="A13" s="25" t="n"/>
      <c r="B13" s="25" t="n"/>
      <c r="C13" s="25" t="n"/>
      <c r="D13" s="25" t="n"/>
      <c r="E13" s="25" t="n"/>
      <c r="F13" s="26" t="n"/>
      <c r="G13" s="25" t="n"/>
      <c r="H13" s="25" t="n"/>
      <c r="I13" s="26" t="n"/>
      <c r="J13" s="25" t="n"/>
      <c r="K13" s="26" t="n"/>
      <c r="L13" s="25" t="n"/>
      <c r="M13" s="25" t="n"/>
      <c r="N13" s="26" t="n"/>
      <c r="O13" s="25" t="n"/>
      <c r="P13" s="25" t="n"/>
      <c r="Q13" s="26" t="n"/>
      <c r="R13" s="25">
        <f>IF(AND($A13="",$B13=""),"",IF(Q13="Complete","Onboarded",IF(OR(M13="Member",M13="Ambassador"),"Sponsored",IF(K13&lt;&gt;"","Follow-Up",IF(I13&lt;&gt;"","Presented",IF(F13&lt;&gt;"","Contacted","New Lead"))))))</f>
        <v/>
      </c>
      <c r="S13" s="25" t="n"/>
      <c r="T13" s="25">
        <f>IF(MAX(F13,I13,K13)=0,"",TODAY()-MAX(F13,I13,K13))</f>
        <v/>
      </c>
      <c r="U13" s="25" t="n"/>
      <c r="V13" s="25" t="n"/>
      <c r="W13" s="25">
        <f>IF(AND($A13="",$B13=""),"",IF(M13="Ambassador","1 - Ambassador",IF(M13="Member","2 - Member",IF(J13="Completed","3 - Presented",IF(H13&lt;&gt;"","4 - Sent",IF(F13&lt;&gt;"","5 - Contacted","6 - No Activity"))))))</f>
        <v/>
      </c>
      <c r="X13" s="25">
        <f>IF(AND($A13="",$B13=""),9999999+(ROW()-4),VALUE(LEFT($W13,1))*10000+(ROW()-4))</f>
        <v/>
      </c>
    </row>
    <row r="14" ht="15" customHeight="1" s="20">
      <c r="A14" s="25" t="n"/>
      <c r="B14" s="25" t="n"/>
      <c r="C14" s="25" t="n"/>
      <c r="D14" s="25" t="n"/>
      <c r="E14" s="25" t="n"/>
      <c r="F14" s="26" t="n"/>
      <c r="G14" s="25" t="n"/>
      <c r="H14" s="25" t="n"/>
      <c r="I14" s="26" t="n"/>
      <c r="J14" s="25" t="n"/>
      <c r="K14" s="26" t="n"/>
      <c r="L14" s="25" t="n"/>
      <c r="M14" s="25" t="n"/>
      <c r="N14" s="26" t="n"/>
      <c r="O14" s="25" t="n"/>
      <c r="P14" s="25" t="n"/>
      <c r="Q14" s="26" t="n"/>
      <c r="R14" s="25">
        <f>IF(AND($A14="",$B14=""),"",IF(Q14="Complete","Onboarded",IF(OR(M14="Member",M14="Ambassador"),"Sponsored",IF(K14&lt;&gt;"","Follow-Up",IF(I14&lt;&gt;"","Presented",IF(F14&lt;&gt;"","Contacted","New Lead"))))))</f>
        <v/>
      </c>
      <c r="S14" s="25" t="n"/>
      <c r="T14" s="25">
        <f>IF(MAX(F14,I14,K14)=0,"",TODAY()-MAX(F14,I14,K14))</f>
        <v/>
      </c>
      <c r="U14" s="25" t="n"/>
      <c r="V14" s="25" t="n"/>
      <c r="W14" s="25">
        <f>IF(AND($A14="",$B14=""),"",IF(M14="Ambassador","1 - Ambassador",IF(M14="Member","2 - Member",IF(J14="Completed","3 - Presented",IF(H14&lt;&gt;"","4 - Sent",IF(F14&lt;&gt;"","5 - Contacted","6 - No Activity"))))))</f>
        <v/>
      </c>
      <c r="X14" s="25">
        <f>IF(AND($A14="",$B14=""),9999999+(ROW()-4),VALUE(LEFT($W14,1))*10000+(ROW()-4))</f>
        <v/>
      </c>
    </row>
    <row r="15" ht="15" customHeight="1" s="20">
      <c r="A15" s="25" t="n"/>
      <c r="B15" s="25" t="n"/>
      <c r="C15" s="25" t="n"/>
      <c r="D15" s="25" t="n"/>
      <c r="E15" s="25" t="n"/>
      <c r="F15" s="26" t="n"/>
      <c r="G15" s="25" t="n"/>
      <c r="H15" s="25" t="n"/>
      <c r="I15" s="26" t="n"/>
      <c r="J15" s="25" t="n"/>
      <c r="K15" s="26" t="n"/>
      <c r="L15" s="25" t="n"/>
      <c r="M15" s="25" t="n"/>
      <c r="N15" s="26" t="n"/>
      <c r="O15" s="25" t="n"/>
      <c r="P15" s="25" t="n"/>
      <c r="Q15" s="26" t="n"/>
      <c r="R15" s="25">
        <f>IF(AND($A15="",$B15=""),"",IF(Q15="Complete","Onboarded",IF(OR(M15="Member",M15="Ambassador"),"Sponsored",IF(K15&lt;&gt;"","Follow-Up",IF(I15&lt;&gt;"","Presented",IF(F15&lt;&gt;"","Contacted","New Lead"))))))</f>
        <v/>
      </c>
      <c r="S15" s="25" t="n"/>
      <c r="T15" s="25">
        <f>IF(MAX(F15,I15,K15)=0,"",TODAY()-MAX(F15,I15,K15))</f>
        <v/>
      </c>
      <c r="U15" s="25" t="n"/>
      <c r="V15" s="25" t="n"/>
      <c r="W15" s="25">
        <f>IF(AND($A15="",$B15=""),"",IF(M15="Ambassador","1 - Ambassador",IF(M15="Member","2 - Member",IF(J15="Completed","3 - Presented",IF(H15&lt;&gt;"","4 - Sent",IF(F15&lt;&gt;"","5 - Contacted","6 - No Activity"))))))</f>
        <v/>
      </c>
      <c r="X15" s="25">
        <f>IF(AND($A15="",$B15=""),9999999+(ROW()-4),VALUE(LEFT($W15,1))*10000+(ROW()-4))</f>
        <v/>
      </c>
    </row>
    <row r="16" ht="15" customHeight="1" s="20">
      <c r="A16" s="25" t="n"/>
      <c r="B16" s="25" t="n"/>
      <c r="C16" s="25" t="n"/>
      <c r="D16" s="25" t="n"/>
      <c r="E16" s="25" t="n"/>
      <c r="F16" s="26" t="n"/>
      <c r="G16" s="25" t="n"/>
      <c r="H16" s="25" t="n"/>
      <c r="I16" s="26" t="n"/>
      <c r="J16" s="25" t="n"/>
      <c r="K16" s="26" t="n"/>
      <c r="L16" s="25" t="n"/>
      <c r="M16" s="25" t="n"/>
      <c r="N16" s="26" t="n"/>
      <c r="O16" s="25" t="n"/>
      <c r="P16" s="25" t="n"/>
      <c r="Q16" s="26" t="n"/>
      <c r="R16" s="25">
        <f>IF(AND($A16="",$B16=""),"",IF(Q16="Complete","Onboarded",IF(OR(M16="Member",M16="Ambassador"),"Sponsored",IF(K16&lt;&gt;"","Follow-Up",IF(I16&lt;&gt;"","Presented",IF(F16&lt;&gt;"","Contacted","New Lead"))))))</f>
        <v/>
      </c>
      <c r="S16" s="25" t="n"/>
      <c r="T16" s="25">
        <f>IF(MAX(F16,I16,K16)=0,"",TODAY()-MAX(F16,I16,K16))</f>
        <v/>
      </c>
      <c r="U16" s="25" t="n"/>
      <c r="V16" s="25" t="n"/>
      <c r="W16" s="25">
        <f>IF(AND($A16="",$B16=""),"",IF(M16="Ambassador","1 - Ambassador",IF(M16="Member","2 - Member",IF(J16="Completed","3 - Presented",IF(H16&lt;&gt;"","4 - Sent",IF(F16&lt;&gt;"","5 - Contacted","6 - No Activity"))))))</f>
        <v/>
      </c>
      <c r="X16" s="25">
        <f>IF(AND($A16="",$B16=""),9999999+(ROW()-4),VALUE(LEFT($W16,1))*10000+(ROW()-4))</f>
        <v/>
      </c>
    </row>
    <row r="17" ht="15" customHeight="1" s="20">
      <c r="A17" s="25" t="n"/>
      <c r="B17" s="25" t="n"/>
      <c r="C17" s="25" t="n"/>
      <c r="D17" s="25" t="n"/>
      <c r="E17" s="25" t="n"/>
      <c r="F17" s="26" t="n"/>
      <c r="G17" s="25" t="n"/>
      <c r="H17" s="25" t="n"/>
      <c r="I17" s="26" t="n"/>
      <c r="J17" s="25" t="n"/>
      <c r="K17" s="26" t="n"/>
      <c r="L17" s="25" t="n"/>
      <c r="M17" s="25" t="n"/>
      <c r="N17" s="26" t="n"/>
      <c r="O17" s="25" t="n"/>
      <c r="P17" s="25" t="n"/>
      <c r="Q17" s="26" t="n"/>
      <c r="R17" s="25">
        <f>IF(AND($A17="",$B17=""),"",IF(Q17="Complete","Onboarded",IF(OR(M17="Member",M17="Ambassador"),"Sponsored",IF(K17&lt;&gt;"","Follow-Up",IF(I17&lt;&gt;"","Presented",IF(F17&lt;&gt;"","Contacted","New Lead"))))))</f>
        <v/>
      </c>
      <c r="S17" s="25" t="n"/>
      <c r="T17" s="25">
        <f>IF(MAX(F17,I17,K17)=0,"",TODAY()-MAX(F17,I17,K17))</f>
        <v/>
      </c>
      <c r="U17" s="25" t="n"/>
      <c r="V17" s="25" t="n"/>
      <c r="W17" s="25">
        <f>IF(AND($A17="",$B17=""),"",IF(M17="Ambassador","1 - Ambassador",IF(M17="Member","2 - Member",IF(J17="Completed","3 - Presented",IF(H17&lt;&gt;"","4 - Sent",IF(F17&lt;&gt;"","5 - Contacted","6 - No Activity"))))))</f>
        <v/>
      </c>
      <c r="X17" s="25">
        <f>IF(AND($A17="",$B17=""),9999999+(ROW()-4),VALUE(LEFT($W17,1))*10000+(ROW()-4))</f>
        <v/>
      </c>
    </row>
    <row r="18" ht="15" customHeight="1" s="20">
      <c r="A18" s="25" t="n"/>
      <c r="B18" s="25" t="n"/>
      <c r="C18" s="25" t="n"/>
      <c r="D18" s="25" t="n"/>
      <c r="E18" s="25" t="n"/>
      <c r="F18" s="26" t="n"/>
      <c r="G18" s="25" t="n"/>
      <c r="H18" s="25" t="n"/>
      <c r="I18" s="26" t="n"/>
      <c r="J18" s="25" t="n"/>
      <c r="K18" s="26" t="n"/>
      <c r="L18" s="25" t="n"/>
      <c r="M18" s="25" t="n"/>
      <c r="N18" s="26" t="n"/>
      <c r="O18" s="25" t="n"/>
      <c r="P18" s="25" t="n"/>
      <c r="Q18" s="26" t="n"/>
      <c r="R18" s="25">
        <f>IF(AND($A18="",$B18=""),"",IF(Q18="Complete","Onboarded",IF(OR(M18="Member",M18="Ambassador"),"Sponsored",IF(K18&lt;&gt;"","Follow-Up",IF(I18&lt;&gt;"","Presented",IF(F18&lt;&gt;"","Contacted","New Lead"))))))</f>
        <v/>
      </c>
      <c r="S18" s="25" t="n"/>
      <c r="T18" s="25">
        <f>IF(MAX(F18,I18,K18)=0,"",TODAY()-MAX(F18,I18,K18))</f>
        <v/>
      </c>
      <c r="U18" s="25" t="n"/>
      <c r="V18" s="25" t="n"/>
      <c r="W18" s="25">
        <f>IF(AND($A18="",$B18=""),"",IF(M18="Ambassador","1 - Ambassador",IF(M18="Member","2 - Member",IF(J18="Completed","3 - Presented",IF(H18&lt;&gt;"","4 - Sent",IF(F18&lt;&gt;"","5 - Contacted","6 - No Activity"))))))</f>
        <v/>
      </c>
      <c r="X18" s="25">
        <f>IF(AND($A18="",$B18=""),9999999+(ROW()-4),VALUE(LEFT($W18,1))*10000+(ROW()-4))</f>
        <v/>
      </c>
    </row>
    <row r="19" ht="15" customHeight="1" s="20">
      <c r="A19" s="25" t="n"/>
      <c r="B19" s="25" t="n"/>
      <c r="C19" s="25" t="n"/>
      <c r="D19" s="25" t="n"/>
      <c r="E19" s="25" t="n"/>
      <c r="F19" s="26" t="n"/>
      <c r="G19" s="25" t="n"/>
      <c r="H19" s="25" t="n"/>
      <c r="I19" s="26" t="n"/>
      <c r="J19" s="25" t="n"/>
      <c r="K19" s="26" t="n"/>
      <c r="L19" s="25" t="n"/>
      <c r="M19" s="25" t="n"/>
      <c r="N19" s="26" t="n"/>
      <c r="O19" s="25" t="n"/>
      <c r="P19" s="25" t="n"/>
      <c r="Q19" s="26" t="n"/>
      <c r="R19" s="25">
        <f>IF(AND($A19="",$B19=""),"",IF(Q19="Complete","Onboarded",IF(OR(M19="Member",M19="Ambassador"),"Sponsored",IF(K19&lt;&gt;"","Follow-Up",IF(I19&lt;&gt;"","Presented",IF(F19&lt;&gt;"","Contacted","New Lead"))))))</f>
        <v/>
      </c>
      <c r="S19" s="25" t="n"/>
      <c r="T19" s="25">
        <f>IF(MAX(F19,I19,K19)=0,"",TODAY()-MAX(F19,I19,K19))</f>
        <v/>
      </c>
      <c r="U19" s="25" t="n"/>
      <c r="V19" s="25" t="n"/>
      <c r="W19" s="25">
        <f>IF(AND($A19="",$B19=""),"",IF(M19="Ambassador","1 - Ambassador",IF(M19="Member","2 - Member",IF(J19="Completed","3 - Presented",IF(H19&lt;&gt;"","4 - Sent",IF(F19&lt;&gt;"","5 - Contacted","6 - No Activity"))))))</f>
        <v/>
      </c>
      <c r="X19" s="25">
        <f>IF(AND($A19="",$B19=""),9999999+(ROW()-4),VALUE(LEFT($W19,1))*10000+(ROW()-4))</f>
        <v/>
      </c>
    </row>
    <row r="20" ht="15" customHeight="1" s="20">
      <c r="A20" s="25" t="n"/>
      <c r="B20" s="25" t="n"/>
      <c r="C20" s="25" t="n"/>
      <c r="D20" s="25" t="n"/>
      <c r="E20" s="25" t="n"/>
      <c r="F20" s="26" t="n"/>
      <c r="G20" s="25" t="n"/>
      <c r="H20" s="25" t="n"/>
      <c r="I20" s="26" t="n"/>
      <c r="J20" s="25" t="n"/>
      <c r="K20" s="26" t="n"/>
      <c r="L20" s="25" t="n"/>
      <c r="M20" s="25" t="n"/>
      <c r="N20" s="26" t="n"/>
      <c r="O20" s="25" t="n"/>
      <c r="P20" s="25" t="n"/>
      <c r="Q20" s="26" t="n"/>
      <c r="R20" s="25">
        <f>IF(AND($A20="",$B20=""),"",IF(Q20="Complete","Onboarded",IF(OR(M20="Member",M20="Ambassador"),"Sponsored",IF(K20&lt;&gt;"","Follow-Up",IF(I20&lt;&gt;"","Presented",IF(F20&lt;&gt;"","Contacted","New Lead"))))))</f>
        <v/>
      </c>
      <c r="S20" s="25" t="n"/>
      <c r="T20" s="25">
        <f>IF(MAX(F20,I20,K20)=0,"",TODAY()-MAX(F20,I20,K20))</f>
        <v/>
      </c>
      <c r="U20" s="25" t="n"/>
      <c r="V20" s="25" t="n"/>
      <c r="W20" s="25">
        <f>IF(AND($A20="",$B20=""),"",IF(M20="Ambassador","1 - Ambassador",IF(M20="Member","2 - Member",IF(J20="Completed","3 - Presented",IF(H20&lt;&gt;"","4 - Sent",IF(F20&lt;&gt;"","5 - Contacted","6 - No Activity"))))))</f>
        <v/>
      </c>
      <c r="X20" s="25">
        <f>IF(AND($A20="",$B20=""),9999999+(ROW()-4),VALUE(LEFT($W20,1))*10000+(ROW()-4))</f>
        <v/>
      </c>
    </row>
    <row r="21" ht="15" customHeight="1" s="20">
      <c r="A21" s="25" t="n"/>
      <c r="B21" s="25" t="n"/>
      <c r="C21" s="25" t="n"/>
      <c r="D21" s="25" t="n"/>
      <c r="E21" s="25" t="n"/>
      <c r="F21" s="26" t="n"/>
      <c r="G21" s="25" t="n"/>
      <c r="H21" s="25" t="n"/>
      <c r="I21" s="26" t="n"/>
      <c r="J21" s="25" t="n"/>
      <c r="K21" s="26" t="n"/>
      <c r="L21" s="25" t="n"/>
      <c r="M21" s="25" t="n"/>
      <c r="N21" s="26" t="n"/>
      <c r="O21" s="25" t="n"/>
      <c r="P21" s="25" t="n"/>
      <c r="Q21" s="26" t="n"/>
      <c r="R21" s="25">
        <f>IF(AND($A21="",$B21=""),"",IF(Q21="Complete","Onboarded",IF(OR(M21="Member",M21="Ambassador"),"Sponsored",IF(K21&lt;&gt;"","Follow-Up",IF(I21&lt;&gt;"","Presented",IF(F21&lt;&gt;"","Contacted","New Lead"))))))</f>
        <v/>
      </c>
      <c r="S21" s="25" t="n"/>
      <c r="T21" s="25">
        <f>IF(MAX(F21,I21,K21)=0,"",TODAY()-MAX(F21,I21,K21))</f>
        <v/>
      </c>
      <c r="U21" s="25" t="n"/>
      <c r="V21" s="25" t="n"/>
      <c r="W21" s="25">
        <f>IF(AND($A21="",$B21=""),"",IF(M21="Ambassador","1 - Ambassador",IF(M21="Member","2 - Member",IF(J21="Completed","3 - Presented",IF(H21&lt;&gt;"","4 - Sent",IF(F21&lt;&gt;"","5 - Contacted","6 - No Activity"))))))</f>
        <v/>
      </c>
      <c r="X21" s="25">
        <f>IF(AND($A21="",$B21=""),9999999+(ROW()-4),VALUE(LEFT($W21,1))*10000+(ROW()-4))</f>
        <v/>
      </c>
    </row>
    <row r="22" ht="15" customHeight="1" s="20">
      <c r="A22" s="25" t="n"/>
      <c r="B22" s="25" t="n"/>
      <c r="C22" s="25" t="n"/>
      <c r="D22" s="25" t="n"/>
      <c r="E22" s="25" t="n"/>
      <c r="F22" s="26" t="n"/>
      <c r="G22" s="25" t="n"/>
      <c r="H22" s="25" t="n"/>
      <c r="I22" s="26" t="n"/>
      <c r="J22" s="25" t="n"/>
      <c r="K22" s="26" t="n"/>
      <c r="L22" s="25" t="n"/>
      <c r="M22" s="25" t="n"/>
      <c r="N22" s="26" t="n"/>
      <c r="O22" s="25" t="n"/>
      <c r="P22" s="25" t="n"/>
      <c r="Q22" s="26" t="n"/>
      <c r="R22" s="25">
        <f>IF(AND($A22="",$B22=""),"",IF(Q22="Complete","Onboarded",IF(OR(M22="Member",M22="Ambassador"),"Sponsored",IF(K22&lt;&gt;"","Follow-Up",IF(I22&lt;&gt;"","Presented",IF(F22&lt;&gt;"","Contacted","New Lead"))))))</f>
        <v/>
      </c>
      <c r="S22" s="25" t="n"/>
      <c r="T22" s="25">
        <f>IF(MAX(F22,I22,K22)=0,"",TODAY()-MAX(F22,I22,K22))</f>
        <v/>
      </c>
      <c r="U22" s="25" t="n"/>
      <c r="V22" s="25" t="n"/>
      <c r="W22" s="25">
        <f>IF(AND($A22="",$B22=""),"",IF(M22="Ambassador","1 - Ambassador",IF(M22="Member","2 - Member",IF(J22="Completed","3 - Presented",IF(H22&lt;&gt;"","4 - Sent",IF(F22&lt;&gt;"","5 - Contacted","6 - No Activity"))))))</f>
        <v/>
      </c>
      <c r="X22" s="25">
        <f>IF(AND($A22="",$B22=""),9999999+(ROW()-4),VALUE(LEFT($W22,1))*10000+(ROW()-4))</f>
        <v/>
      </c>
    </row>
    <row r="23" ht="15" customHeight="1" s="20">
      <c r="A23" s="25" t="n"/>
      <c r="B23" s="25" t="n"/>
      <c r="C23" s="25" t="n"/>
      <c r="D23" s="25" t="n"/>
      <c r="E23" s="25" t="n"/>
      <c r="F23" s="26" t="n"/>
      <c r="G23" s="25" t="n"/>
      <c r="H23" s="25" t="n"/>
      <c r="I23" s="26" t="n"/>
      <c r="J23" s="25" t="n"/>
      <c r="K23" s="26" t="n"/>
      <c r="L23" s="25" t="n"/>
      <c r="M23" s="25" t="n"/>
      <c r="N23" s="26" t="n"/>
      <c r="O23" s="25" t="n"/>
      <c r="P23" s="25" t="n"/>
      <c r="Q23" s="26" t="n"/>
      <c r="R23" s="25">
        <f>IF(AND($A23="",$B23=""),"",IF(Q23="Complete","Onboarded",IF(OR(M23="Member",M23="Ambassador"),"Sponsored",IF(K23&lt;&gt;"","Follow-Up",IF(I23&lt;&gt;"","Presented",IF(F23&lt;&gt;"","Contacted","New Lead"))))))</f>
        <v/>
      </c>
      <c r="S23" s="25" t="n"/>
      <c r="T23" s="25">
        <f>IF(MAX(F23,I23,K23)=0,"",TODAY()-MAX(F23,I23,K23))</f>
        <v/>
      </c>
      <c r="U23" s="25" t="n"/>
      <c r="V23" s="25" t="n"/>
      <c r="W23" s="25">
        <f>IF(AND($A23="",$B23=""),"",IF(M23="Ambassador","1 - Ambassador",IF(M23="Member","2 - Member",IF(J23="Completed","3 - Presented",IF(H23&lt;&gt;"","4 - Sent",IF(F23&lt;&gt;"","5 - Contacted","6 - No Activity"))))))</f>
        <v/>
      </c>
      <c r="X23" s="25">
        <f>IF(AND($A23="",$B23=""),9999999+(ROW()-4),VALUE(LEFT($W23,1))*10000+(ROW()-4))</f>
        <v/>
      </c>
    </row>
    <row r="24" ht="15" customHeight="1" s="20">
      <c r="A24" s="25" t="n"/>
      <c r="B24" s="25" t="n"/>
      <c r="C24" s="25" t="n"/>
      <c r="D24" s="25" t="n"/>
      <c r="E24" s="25" t="n"/>
      <c r="F24" s="26" t="n"/>
      <c r="G24" s="25" t="n"/>
      <c r="H24" s="25" t="n"/>
      <c r="I24" s="26" t="n"/>
      <c r="J24" s="25" t="n"/>
      <c r="K24" s="26" t="n"/>
      <c r="L24" s="25" t="n"/>
      <c r="M24" s="25" t="n"/>
      <c r="N24" s="26" t="n"/>
      <c r="O24" s="25" t="n"/>
      <c r="P24" s="25" t="n"/>
      <c r="Q24" s="26" t="n"/>
      <c r="R24" s="25">
        <f>IF(AND($A24="",$B24=""),"",IF(Q24="Complete","Onboarded",IF(OR(M24="Member",M24="Ambassador"),"Sponsored",IF(K24&lt;&gt;"","Follow-Up",IF(I24&lt;&gt;"","Presented",IF(F24&lt;&gt;"","Contacted","New Lead"))))))</f>
        <v/>
      </c>
      <c r="S24" s="25" t="n"/>
      <c r="T24" s="25">
        <f>IF(MAX(F24,I24,K24)=0,"",TODAY()-MAX(F24,I24,K24))</f>
        <v/>
      </c>
      <c r="U24" s="25" t="n"/>
      <c r="V24" s="25" t="n"/>
      <c r="W24" s="25">
        <f>IF(AND($A24="",$B24=""),"",IF(M24="Ambassador","1 - Ambassador",IF(M24="Member","2 - Member",IF(J24="Completed","3 - Presented",IF(H24&lt;&gt;"","4 - Sent",IF(F24&lt;&gt;"","5 - Contacted","6 - No Activity"))))))</f>
        <v/>
      </c>
      <c r="X24" s="25">
        <f>IF(AND($A24="",$B24=""),9999999+(ROW()-4),VALUE(LEFT($W24,1))*10000+(ROW()-4))</f>
        <v/>
      </c>
    </row>
    <row r="25" ht="15" customHeight="1" s="20">
      <c r="A25" s="25" t="n"/>
      <c r="B25" s="25" t="n"/>
      <c r="C25" s="25" t="n"/>
      <c r="D25" s="25" t="n"/>
      <c r="E25" s="25" t="n"/>
      <c r="F25" s="26" t="n"/>
      <c r="G25" s="25" t="n"/>
      <c r="H25" s="25" t="n"/>
      <c r="I25" s="26" t="n"/>
      <c r="J25" s="25" t="n"/>
      <c r="K25" s="26" t="n"/>
      <c r="L25" s="25" t="n"/>
      <c r="M25" s="25" t="n"/>
      <c r="N25" s="26" t="n"/>
      <c r="O25" s="25" t="n"/>
      <c r="P25" s="25" t="n"/>
      <c r="Q25" s="26" t="n"/>
      <c r="R25" s="25">
        <f>IF(AND($A25="",$B25=""),"",IF(Q25="Complete","Onboarded",IF(OR(M25="Member",M25="Ambassador"),"Sponsored",IF(K25&lt;&gt;"","Follow-Up",IF(I25&lt;&gt;"","Presented",IF(F25&lt;&gt;"","Contacted","New Lead"))))))</f>
        <v/>
      </c>
      <c r="S25" s="25" t="n"/>
      <c r="T25" s="25">
        <f>IF(MAX(F25,I25,K25)=0,"",TODAY()-MAX(F25,I25,K25))</f>
        <v/>
      </c>
      <c r="U25" s="25" t="n"/>
      <c r="V25" s="25" t="n"/>
      <c r="W25" s="25">
        <f>IF(AND($A25="",$B25=""),"",IF(M25="Ambassador","1 - Ambassador",IF(M25="Member","2 - Member",IF(J25="Completed","3 - Presented",IF(H25&lt;&gt;"","4 - Sent",IF(F25&lt;&gt;"","5 - Contacted","6 - No Activity"))))))</f>
        <v/>
      </c>
      <c r="X25" s="25">
        <f>IF(AND($A25="",$B25=""),9999999+(ROW()-4),VALUE(LEFT($W25,1))*10000+(ROW()-4))</f>
        <v/>
      </c>
    </row>
    <row r="26" ht="15" customHeight="1" s="20">
      <c r="A26" s="25" t="n"/>
      <c r="B26" s="25" t="n"/>
      <c r="C26" s="25" t="n"/>
      <c r="D26" s="25" t="n"/>
      <c r="E26" s="25" t="n"/>
      <c r="F26" s="26" t="n"/>
      <c r="G26" s="25" t="n"/>
      <c r="H26" s="25" t="n"/>
      <c r="I26" s="26" t="n"/>
      <c r="J26" s="25" t="n"/>
      <c r="K26" s="26" t="n"/>
      <c r="L26" s="25" t="n"/>
      <c r="M26" s="25" t="n"/>
      <c r="N26" s="26" t="n"/>
      <c r="O26" s="25" t="n"/>
      <c r="P26" s="25" t="n"/>
      <c r="Q26" s="26" t="n"/>
      <c r="R26" s="25">
        <f>IF(AND($A26="",$B26=""),"",IF(Q26="Complete","Onboarded",IF(OR(M26="Member",M26="Ambassador"),"Sponsored",IF(K26&lt;&gt;"","Follow-Up",IF(I26&lt;&gt;"","Presented",IF(F26&lt;&gt;"","Contacted","New Lead"))))))</f>
        <v/>
      </c>
      <c r="S26" s="25" t="n"/>
      <c r="T26" s="25">
        <f>IF(MAX(F26,I26,K26)=0,"",TODAY()-MAX(F26,I26,K26))</f>
        <v/>
      </c>
      <c r="U26" s="25" t="n"/>
      <c r="V26" s="25" t="n"/>
      <c r="W26" s="25">
        <f>IF(AND($A26="",$B26=""),"",IF(M26="Ambassador","1 - Ambassador",IF(M26="Member","2 - Member",IF(J26="Completed","3 - Presented",IF(H26&lt;&gt;"","4 - Sent",IF(F26&lt;&gt;"","5 - Contacted","6 - No Activity"))))))</f>
        <v/>
      </c>
      <c r="X26" s="25">
        <f>IF(AND($A26="",$B26=""),9999999+(ROW()-4),VALUE(LEFT($W26,1))*10000+(ROW()-4))</f>
        <v/>
      </c>
    </row>
    <row r="27" ht="15" customHeight="1" s="20">
      <c r="A27" s="25" t="n"/>
      <c r="B27" s="25" t="n"/>
      <c r="C27" s="25" t="n"/>
      <c r="D27" s="25" t="n"/>
      <c r="E27" s="25" t="n"/>
      <c r="F27" s="26" t="n"/>
      <c r="G27" s="25" t="n"/>
      <c r="H27" s="25" t="n"/>
      <c r="I27" s="26" t="n"/>
      <c r="J27" s="25" t="n"/>
      <c r="K27" s="26" t="n"/>
      <c r="L27" s="25" t="n"/>
      <c r="M27" s="25" t="n"/>
      <c r="N27" s="26" t="n"/>
      <c r="O27" s="25" t="n"/>
      <c r="P27" s="25" t="n"/>
      <c r="Q27" s="26" t="n"/>
      <c r="R27" s="25">
        <f>IF(AND($A27="",$B27=""),"",IF(Q27="Complete","Onboarded",IF(OR(M27="Member",M27="Ambassador"),"Sponsored",IF(K27&lt;&gt;"","Follow-Up",IF(I27&lt;&gt;"","Presented",IF(F27&lt;&gt;"","Contacted","New Lead"))))))</f>
        <v/>
      </c>
      <c r="S27" s="25" t="n"/>
      <c r="T27" s="25">
        <f>IF(MAX(F27,I27,K27)=0,"",TODAY()-MAX(F27,I27,K27))</f>
        <v/>
      </c>
      <c r="U27" s="25" t="n"/>
      <c r="V27" s="25" t="n"/>
      <c r="W27" s="25">
        <f>IF(AND($A27="",$B27=""),"",IF(M27="Ambassador","1 - Ambassador",IF(M27="Member","2 - Member",IF(J27="Completed","3 - Presented",IF(H27&lt;&gt;"","4 - Sent",IF(F27&lt;&gt;"","5 - Contacted","6 - No Activity"))))))</f>
        <v/>
      </c>
      <c r="X27" s="25">
        <f>IF(AND($A27="",$B27=""),9999999+(ROW()-4),VALUE(LEFT($W27,1))*10000+(ROW()-4))</f>
        <v/>
      </c>
    </row>
    <row r="28" ht="15" customHeight="1" s="20">
      <c r="A28" s="25" t="n"/>
      <c r="B28" s="25" t="n"/>
      <c r="C28" s="25" t="n"/>
      <c r="D28" s="25" t="n"/>
      <c r="E28" s="25" t="n"/>
      <c r="F28" s="26" t="n"/>
      <c r="G28" s="25" t="n"/>
      <c r="H28" s="25" t="n"/>
      <c r="I28" s="26" t="n"/>
      <c r="J28" s="25" t="n"/>
      <c r="K28" s="26" t="n"/>
      <c r="L28" s="25" t="n"/>
      <c r="M28" s="25" t="n"/>
      <c r="N28" s="26" t="n"/>
      <c r="O28" s="25" t="n"/>
      <c r="P28" s="25" t="n"/>
      <c r="Q28" s="26" t="n"/>
      <c r="R28" s="25">
        <f>IF(AND($A28="",$B28=""),"",IF(Q28="Complete","Onboarded",IF(OR(M28="Member",M28="Ambassador"),"Sponsored",IF(K28&lt;&gt;"","Follow-Up",IF(I28&lt;&gt;"","Presented",IF(F28&lt;&gt;"","Contacted","New Lead"))))))</f>
        <v/>
      </c>
      <c r="S28" s="25" t="n"/>
      <c r="T28" s="25">
        <f>IF(MAX(F28,I28,K28)=0,"",TODAY()-MAX(F28,I28,K28))</f>
        <v/>
      </c>
      <c r="U28" s="25" t="n"/>
      <c r="V28" s="25" t="n"/>
      <c r="W28" s="25">
        <f>IF(AND($A28="",$B28=""),"",IF(M28="Ambassador","1 - Ambassador",IF(M28="Member","2 - Member",IF(J28="Completed","3 - Presented",IF(H28&lt;&gt;"","4 - Sent",IF(F28&lt;&gt;"","5 - Contacted","6 - No Activity"))))))</f>
        <v/>
      </c>
      <c r="X28" s="25">
        <f>IF(AND($A28="",$B28=""),9999999+(ROW()-4),VALUE(LEFT($W28,1))*10000+(ROW()-4))</f>
        <v/>
      </c>
    </row>
    <row r="29" ht="15" customHeight="1" s="20">
      <c r="A29" s="25" t="n"/>
      <c r="B29" s="25" t="n"/>
      <c r="C29" s="25" t="n"/>
      <c r="D29" s="25" t="n"/>
      <c r="E29" s="25" t="n"/>
      <c r="F29" s="26" t="n"/>
      <c r="G29" s="25" t="n"/>
      <c r="H29" s="25" t="n"/>
      <c r="I29" s="26" t="n"/>
      <c r="J29" s="25" t="n"/>
      <c r="K29" s="26" t="n"/>
      <c r="L29" s="25" t="n"/>
      <c r="M29" s="25" t="n"/>
      <c r="N29" s="26" t="n"/>
      <c r="O29" s="25" t="n"/>
      <c r="P29" s="25" t="n"/>
      <c r="Q29" s="26" t="n"/>
      <c r="R29" s="25">
        <f>IF(AND($A29="",$B29=""),"",IF(Q29="Complete","Onboarded",IF(OR(M29="Member",M29="Ambassador"),"Sponsored",IF(K29&lt;&gt;"","Follow-Up",IF(I29&lt;&gt;"","Presented",IF(F29&lt;&gt;"","Contacted","New Lead"))))))</f>
        <v/>
      </c>
      <c r="S29" s="25" t="n"/>
      <c r="T29" s="25">
        <f>IF(MAX(F29,I29,K29)=0,"",TODAY()-MAX(F29,I29,K29))</f>
        <v/>
      </c>
      <c r="U29" s="25" t="n"/>
      <c r="V29" s="25" t="n"/>
      <c r="W29" s="25">
        <f>IF(AND($A29="",$B29=""),"",IF(M29="Ambassador","1 - Ambassador",IF(M29="Member","2 - Member",IF(J29="Completed","3 - Presented",IF(H29&lt;&gt;"","4 - Sent",IF(F29&lt;&gt;"","5 - Contacted","6 - No Activity"))))))</f>
        <v/>
      </c>
      <c r="X29" s="25">
        <f>IF(AND($A29="",$B29=""),9999999+(ROW()-4),VALUE(LEFT($W29,1))*10000+(ROW()-4))</f>
        <v/>
      </c>
    </row>
    <row r="30" ht="15" customHeight="1" s="20">
      <c r="A30" s="25" t="n"/>
      <c r="B30" s="25" t="n"/>
      <c r="C30" s="25" t="n"/>
      <c r="D30" s="25" t="n"/>
      <c r="E30" s="25" t="n"/>
      <c r="F30" s="26" t="n"/>
      <c r="G30" s="25" t="n"/>
      <c r="H30" s="25" t="n"/>
      <c r="I30" s="26" t="n"/>
      <c r="J30" s="25" t="n"/>
      <c r="K30" s="26" t="n"/>
      <c r="L30" s="25" t="n"/>
      <c r="M30" s="25" t="n"/>
      <c r="N30" s="26" t="n"/>
      <c r="O30" s="25" t="n"/>
      <c r="P30" s="25" t="n"/>
      <c r="Q30" s="26" t="n"/>
      <c r="R30" s="25">
        <f>IF(AND($A30="",$B30=""),"",IF(Q30="Complete","Onboarded",IF(OR(M30="Member",M30="Ambassador"),"Sponsored",IF(K30&lt;&gt;"","Follow-Up",IF(I30&lt;&gt;"","Presented",IF(F30&lt;&gt;"","Contacted","New Lead"))))))</f>
        <v/>
      </c>
      <c r="S30" s="25" t="n"/>
      <c r="T30" s="25">
        <f>IF(MAX(F30,I30,K30)=0,"",TODAY()-MAX(F30,I30,K30))</f>
        <v/>
      </c>
      <c r="U30" s="25" t="n"/>
      <c r="V30" s="25" t="n"/>
      <c r="W30" s="25">
        <f>IF(AND($A30="",$B30=""),"",IF(M30="Ambassador","1 - Ambassador",IF(M30="Member","2 - Member",IF(J30="Completed","3 - Presented",IF(H30&lt;&gt;"","4 - Sent",IF(F30&lt;&gt;"","5 - Contacted","6 - No Activity"))))))</f>
        <v/>
      </c>
      <c r="X30" s="25">
        <f>IF(AND($A30="",$B30=""),9999999+(ROW()-4),VALUE(LEFT($W30,1))*10000+(ROW()-4))</f>
        <v/>
      </c>
    </row>
    <row r="31" ht="15" customHeight="1" s="20">
      <c r="A31" s="25" t="n"/>
      <c r="B31" s="25" t="n"/>
      <c r="C31" s="25" t="n"/>
      <c r="D31" s="25" t="n"/>
      <c r="E31" s="25" t="n"/>
      <c r="F31" s="26" t="n"/>
      <c r="G31" s="25" t="n"/>
      <c r="H31" s="25" t="n"/>
      <c r="I31" s="26" t="n"/>
      <c r="J31" s="25" t="n"/>
      <c r="K31" s="26" t="n"/>
      <c r="L31" s="25" t="n"/>
      <c r="M31" s="25" t="n"/>
      <c r="N31" s="26" t="n"/>
      <c r="O31" s="25" t="n"/>
      <c r="P31" s="25" t="n"/>
      <c r="Q31" s="26" t="n"/>
      <c r="R31" s="25">
        <f>IF(AND($A31="",$B31=""),"",IF(Q31="Complete","Onboarded",IF(OR(M31="Member",M31="Ambassador"),"Sponsored",IF(K31&lt;&gt;"","Follow-Up",IF(I31&lt;&gt;"","Presented",IF(F31&lt;&gt;"","Contacted","New Lead"))))))</f>
        <v/>
      </c>
      <c r="S31" s="25" t="n"/>
      <c r="T31" s="25">
        <f>IF(MAX(F31,I31,K31)=0,"",TODAY()-MAX(F31,I31,K31))</f>
        <v/>
      </c>
      <c r="U31" s="25" t="n"/>
      <c r="V31" s="25" t="n"/>
      <c r="W31" s="25">
        <f>IF(AND($A31="",$B31=""),"",IF(M31="Ambassador","1 - Ambassador",IF(M31="Member","2 - Member",IF(J31="Completed","3 - Presented",IF(H31&lt;&gt;"","4 - Sent",IF(F31&lt;&gt;"","5 - Contacted","6 - No Activity"))))))</f>
        <v/>
      </c>
      <c r="X31" s="25">
        <f>IF(AND($A31="",$B31=""),9999999+(ROW()-4),VALUE(LEFT($W31,1))*10000+(ROW()-4))</f>
        <v/>
      </c>
    </row>
    <row r="32" ht="15" customHeight="1" s="20">
      <c r="A32" s="25" t="n"/>
      <c r="B32" s="25" t="n"/>
      <c r="C32" s="25" t="n"/>
      <c r="D32" s="25" t="n"/>
      <c r="E32" s="25" t="n"/>
      <c r="F32" s="26" t="n"/>
      <c r="G32" s="25" t="n"/>
      <c r="H32" s="25" t="n"/>
      <c r="I32" s="26" t="n"/>
      <c r="J32" s="25" t="n"/>
      <c r="K32" s="26" t="n"/>
      <c r="L32" s="25" t="n"/>
      <c r="M32" s="25" t="n"/>
      <c r="N32" s="26" t="n"/>
      <c r="O32" s="25" t="n"/>
      <c r="P32" s="25" t="n"/>
      <c r="Q32" s="26" t="n"/>
      <c r="R32" s="25">
        <f>IF(AND($A32="",$B32=""),"",IF(Q32="Complete","Onboarded",IF(OR(M32="Member",M32="Ambassador"),"Sponsored",IF(K32&lt;&gt;"","Follow-Up",IF(I32&lt;&gt;"","Presented",IF(F32&lt;&gt;"","Contacted","New Lead"))))))</f>
        <v/>
      </c>
      <c r="S32" s="25" t="n"/>
      <c r="T32" s="25">
        <f>IF(MAX(F32,I32,K32)=0,"",TODAY()-MAX(F32,I32,K32))</f>
        <v/>
      </c>
      <c r="U32" s="25" t="n"/>
      <c r="V32" s="25" t="n"/>
      <c r="W32" s="25">
        <f>IF(AND($A32="",$B32=""),"",IF(M32="Ambassador","1 - Ambassador",IF(M32="Member","2 - Member",IF(J32="Completed","3 - Presented",IF(H32&lt;&gt;"","4 - Sent",IF(F32&lt;&gt;"","5 - Contacted","6 - No Activity"))))))</f>
        <v/>
      </c>
      <c r="X32" s="25">
        <f>IF(AND($A32="",$B32=""),9999999+(ROW()-4),VALUE(LEFT($W32,1))*10000+(ROW()-4))</f>
        <v/>
      </c>
    </row>
    <row r="33" ht="15" customHeight="1" s="20">
      <c r="A33" s="25" t="n"/>
      <c r="B33" s="25" t="n"/>
      <c r="C33" s="25" t="n"/>
      <c r="D33" s="25" t="n"/>
      <c r="E33" s="25" t="n"/>
      <c r="F33" s="26" t="n"/>
      <c r="G33" s="25" t="n"/>
      <c r="H33" s="25" t="n"/>
      <c r="I33" s="26" t="n"/>
      <c r="J33" s="25" t="n"/>
      <c r="K33" s="26" t="n"/>
      <c r="L33" s="25" t="n"/>
      <c r="M33" s="25" t="n"/>
      <c r="N33" s="26" t="n"/>
      <c r="O33" s="25" t="n"/>
      <c r="P33" s="25" t="n"/>
      <c r="Q33" s="26" t="n"/>
      <c r="R33" s="25">
        <f>IF(AND($A33="",$B33=""),"",IF(Q33="Complete","Onboarded",IF(OR(M33="Member",M33="Ambassador"),"Sponsored",IF(K33&lt;&gt;"","Follow-Up",IF(I33&lt;&gt;"","Presented",IF(F33&lt;&gt;"","Contacted","New Lead"))))))</f>
        <v/>
      </c>
      <c r="S33" s="25" t="n"/>
      <c r="T33" s="25">
        <f>IF(MAX(F33,I33,K33)=0,"",TODAY()-MAX(F33,I33,K33))</f>
        <v/>
      </c>
      <c r="U33" s="25" t="n"/>
      <c r="V33" s="25" t="n"/>
      <c r="W33" s="25">
        <f>IF(AND($A33="",$B33=""),"",IF(M33="Ambassador","1 - Ambassador",IF(M33="Member","2 - Member",IF(J33="Completed","3 - Presented",IF(H33&lt;&gt;"","4 - Sent",IF(F33&lt;&gt;"","5 - Contacted","6 - No Activity"))))))</f>
        <v/>
      </c>
      <c r="X33" s="25">
        <f>IF(AND($A33="",$B33=""),9999999+(ROW()-4),VALUE(LEFT($W33,1))*10000+(ROW()-4))</f>
        <v/>
      </c>
    </row>
    <row r="34" ht="15" customHeight="1" s="20">
      <c r="A34" s="25" t="n"/>
      <c r="B34" s="25" t="n"/>
      <c r="C34" s="25" t="n"/>
      <c r="D34" s="25" t="n"/>
      <c r="E34" s="25" t="n"/>
      <c r="F34" s="26" t="n"/>
      <c r="G34" s="25" t="n"/>
      <c r="H34" s="25" t="n"/>
      <c r="I34" s="26" t="n"/>
      <c r="J34" s="25" t="n"/>
      <c r="K34" s="26" t="n"/>
      <c r="L34" s="25" t="n"/>
      <c r="M34" s="25" t="n"/>
      <c r="N34" s="26" t="n"/>
      <c r="O34" s="25" t="n"/>
      <c r="P34" s="25" t="n"/>
      <c r="Q34" s="26" t="n"/>
      <c r="R34" s="25">
        <f>IF(AND($A34="",$B34=""),"",IF(Q34="Complete","Onboarded",IF(OR(M34="Member",M34="Ambassador"),"Sponsored",IF(K34&lt;&gt;"","Follow-Up",IF(I34&lt;&gt;"","Presented",IF(F34&lt;&gt;"","Contacted","New Lead"))))))</f>
        <v/>
      </c>
      <c r="S34" s="25" t="n"/>
      <c r="T34" s="25">
        <f>IF(MAX(F34,I34,K34)=0,"",TODAY()-MAX(F34,I34,K34))</f>
        <v/>
      </c>
      <c r="U34" s="25" t="n"/>
      <c r="V34" s="25" t="n"/>
      <c r="W34" s="25">
        <f>IF(AND($A34="",$B34=""),"",IF(M34="Ambassador","1 - Ambassador",IF(M34="Member","2 - Member",IF(J34="Completed","3 - Presented",IF(H34&lt;&gt;"","4 - Sent",IF(F34&lt;&gt;"","5 - Contacted","6 - No Activity"))))))</f>
        <v/>
      </c>
      <c r="X34" s="25">
        <f>IF(AND($A34="",$B34=""),9999999+(ROW()-4),VALUE(LEFT($W34,1))*10000+(ROW()-4))</f>
        <v/>
      </c>
    </row>
    <row r="35" ht="15" customHeight="1" s="20">
      <c r="A35" s="25" t="n"/>
      <c r="B35" s="25" t="n"/>
      <c r="C35" s="25" t="n"/>
      <c r="D35" s="25" t="n"/>
      <c r="E35" s="25" t="n"/>
      <c r="F35" s="26" t="n"/>
      <c r="G35" s="25" t="n"/>
      <c r="H35" s="25" t="n"/>
      <c r="I35" s="26" t="n"/>
      <c r="J35" s="25" t="n"/>
      <c r="K35" s="26" t="n"/>
      <c r="L35" s="25" t="n"/>
      <c r="M35" s="25" t="n"/>
      <c r="N35" s="26" t="n"/>
      <c r="O35" s="25" t="n"/>
      <c r="P35" s="25" t="n"/>
      <c r="Q35" s="26" t="n"/>
      <c r="R35" s="25">
        <f>IF(AND($A35="",$B35=""),"",IF(Q35="Complete","Onboarded",IF(OR(M35="Member",M35="Ambassador"),"Sponsored",IF(K35&lt;&gt;"","Follow-Up",IF(I35&lt;&gt;"","Presented",IF(F35&lt;&gt;"","Contacted","New Lead"))))))</f>
        <v/>
      </c>
      <c r="S35" s="25" t="n"/>
      <c r="T35" s="25">
        <f>IF(MAX(F35,I35,K35)=0,"",TODAY()-MAX(F35,I35,K35))</f>
        <v/>
      </c>
      <c r="U35" s="25" t="n"/>
      <c r="V35" s="25" t="n"/>
      <c r="W35" s="25">
        <f>IF(AND($A35="",$B35=""),"",IF(M35="Ambassador","1 - Ambassador",IF(M35="Member","2 - Member",IF(J35="Completed","3 - Presented",IF(H35&lt;&gt;"","4 - Sent",IF(F35&lt;&gt;"","5 - Contacted","6 - No Activity"))))))</f>
        <v/>
      </c>
      <c r="X35" s="25">
        <f>IF(AND($A35="",$B35=""),9999999+(ROW()-4),VALUE(LEFT($W35,1))*10000+(ROW()-4))</f>
        <v/>
      </c>
    </row>
    <row r="36" ht="15" customHeight="1" s="20">
      <c r="A36" s="25" t="n"/>
      <c r="B36" s="25" t="n"/>
      <c r="C36" s="25" t="n"/>
      <c r="D36" s="25" t="n"/>
      <c r="E36" s="25" t="n"/>
      <c r="F36" s="26" t="n"/>
      <c r="G36" s="25" t="n"/>
      <c r="H36" s="25" t="n"/>
      <c r="I36" s="26" t="n"/>
      <c r="J36" s="25" t="n"/>
      <c r="K36" s="26" t="n"/>
      <c r="L36" s="25" t="n"/>
      <c r="M36" s="25" t="n"/>
      <c r="N36" s="26" t="n"/>
      <c r="O36" s="25" t="n"/>
      <c r="P36" s="25" t="n"/>
      <c r="Q36" s="26" t="n"/>
      <c r="R36" s="25">
        <f>IF(AND($A36="",$B36=""),"",IF(Q36="Complete","Onboarded",IF(OR(M36="Member",M36="Ambassador"),"Sponsored",IF(K36&lt;&gt;"","Follow-Up",IF(I36&lt;&gt;"","Presented",IF(F36&lt;&gt;"","Contacted","New Lead"))))))</f>
        <v/>
      </c>
      <c r="S36" s="25" t="n"/>
      <c r="T36" s="25">
        <f>IF(MAX(F36,I36,K36)=0,"",TODAY()-MAX(F36,I36,K36))</f>
        <v/>
      </c>
      <c r="U36" s="25" t="n"/>
      <c r="V36" s="25" t="n"/>
      <c r="W36" s="25">
        <f>IF(AND($A36="",$B36=""),"",IF(M36="Ambassador","1 - Ambassador",IF(M36="Member","2 - Member",IF(J36="Completed","3 - Presented",IF(H36&lt;&gt;"","4 - Sent",IF(F36&lt;&gt;"","5 - Contacted","6 - No Activity"))))))</f>
        <v/>
      </c>
      <c r="X36" s="25">
        <f>IF(AND($A36="",$B36=""),9999999+(ROW()-4),VALUE(LEFT($W36,1))*10000+(ROW()-4))</f>
        <v/>
      </c>
    </row>
    <row r="37" ht="15" customHeight="1" s="20">
      <c r="A37" s="25" t="n"/>
      <c r="B37" s="25" t="n"/>
      <c r="C37" s="25" t="n"/>
      <c r="D37" s="25" t="n"/>
      <c r="E37" s="25" t="n"/>
      <c r="F37" s="26" t="n"/>
      <c r="G37" s="25" t="n"/>
      <c r="H37" s="25" t="n"/>
      <c r="I37" s="26" t="n"/>
      <c r="J37" s="25" t="n"/>
      <c r="K37" s="26" t="n"/>
      <c r="L37" s="25" t="n"/>
      <c r="M37" s="25" t="n"/>
      <c r="N37" s="26" t="n"/>
      <c r="O37" s="25" t="n"/>
      <c r="P37" s="25" t="n"/>
      <c r="Q37" s="26" t="n"/>
      <c r="R37" s="25">
        <f>IF(AND($A37="",$B37=""),"",IF(Q37="Complete","Onboarded",IF(OR(M37="Member",M37="Ambassador"),"Sponsored",IF(K37&lt;&gt;"","Follow-Up",IF(I37&lt;&gt;"","Presented",IF(F37&lt;&gt;"","Contacted","New Lead"))))))</f>
        <v/>
      </c>
      <c r="S37" s="25" t="n"/>
      <c r="T37" s="25">
        <f>IF(MAX(F37,I37,K37)=0,"",TODAY()-MAX(F37,I37,K37))</f>
        <v/>
      </c>
      <c r="U37" s="25" t="n"/>
      <c r="V37" s="25" t="n"/>
      <c r="W37" s="25">
        <f>IF(AND($A37="",$B37=""),"",IF(M37="Ambassador","1 - Ambassador",IF(M37="Member","2 - Member",IF(J37="Completed","3 - Presented",IF(H37&lt;&gt;"","4 - Sent",IF(F37&lt;&gt;"","5 - Contacted","6 - No Activity"))))))</f>
        <v/>
      </c>
      <c r="X37" s="25">
        <f>IF(AND($A37="",$B37=""),9999999+(ROW()-4),VALUE(LEFT($W37,1))*10000+(ROW()-4))</f>
        <v/>
      </c>
    </row>
    <row r="38" ht="15" customHeight="1" s="20">
      <c r="A38" s="25" t="n"/>
      <c r="B38" s="25" t="n"/>
      <c r="C38" s="25" t="n"/>
      <c r="D38" s="25" t="n"/>
      <c r="E38" s="25" t="n"/>
      <c r="F38" s="26" t="n"/>
      <c r="G38" s="25" t="n"/>
      <c r="H38" s="25" t="n"/>
      <c r="I38" s="26" t="n"/>
      <c r="J38" s="25" t="n"/>
      <c r="K38" s="26" t="n"/>
      <c r="L38" s="25" t="n"/>
      <c r="M38" s="25" t="n"/>
      <c r="N38" s="26" t="n"/>
      <c r="O38" s="25" t="n"/>
      <c r="P38" s="25" t="n"/>
      <c r="Q38" s="26" t="n"/>
      <c r="R38" s="25">
        <f>IF(AND($A38="",$B38=""),"",IF(Q38="Complete","Onboarded",IF(OR(M38="Member",M38="Ambassador"),"Sponsored",IF(K38&lt;&gt;"","Follow-Up",IF(I38&lt;&gt;"","Presented",IF(F38&lt;&gt;"","Contacted","New Lead"))))))</f>
        <v/>
      </c>
      <c r="S38" s="25" t="n"/>
      <c r="T38" s="25">
        <f>IF(MAX(F38,I38,K38)=0,"",TODAY()-MAX(F38,I38,K38))</f>
        <v/>
      </c>
      <c r="U38" s="25" t="n"/>
      <c r="V38" s="25" t="n"/>
      <c r="W38" s="25">
        <f>IF(AND($A38="",$B38=""),"",IF(M38="Ambassador","1 - Ambassador",IF(M38="Member","2 - Member",IF(J38="Completed","3 - Presented",IF(H38&lt;&gt;"","4 - Sent",IF(F38&lt;&gt;"","5 - Contacted","6 - No Activity"))))))</f>
        <v/>
      </c>
      <c r="X38" s="25">
        <f>IF(AND($A38="",$B38=""),9999999+(ROW()-4),VALUE(LEFT($W38,1))*10000+(ROW()-4))</f>
        <v/>
      </c>
    </row>
    <row r="39" ht="15" customHeight="1" s="20">
      <c r="A39" s="25" t="n"/>
      <c r="B39" s="25" t="n"/>
      <c r="C39" s="25" t="n"/>
      <c r="D39" s="25" t="n"/>
      <c r="E39" s="25" t="n"/>
      <c r="F39" s="26" t="n"/>
      <c r="G39" s="25" t="n"/>
      <c r="H39" s="25" t="n"/>
      <c r="I39" s="26" t="n"/>
      <c r="J39" s="25" t="n"/>
      <c r="K39" s="26" t="n"/>
      <c r="L39" s="25" t="n"/>
      <c r="M39" s="25" t="n"/>
      <c r="N39" s="26" t="n"/>
      <c r="O39" s="25" t="n"/>
      <c r="P39" s="25" t="n"/>
      <c r="Q39" s="26" t="n"/>
      <c r="R39" s="25">
        <f>IF(AND($A39="",$B39=""),"",IF(Q39="Complete","Onboarded",IF(OR(M39="Member",M39="Ambassador"),"Sponsored",IF(K39&lt;&gt;"","Follow-Up",IF(I39&lt;&gt;"","Presented",IF(F39&lt;&gt;"","Contacted","New Lead"))))))</f>
        <v/>
      </c>
      <c r="S39" s="25" t="n"/>
      <c r="T39" s="25">
        <f>IF(MAX(F39,I39,K39)=0,"",TODAY()-MAX(F39,I39,K39))</f>
        <v/>
      </c>
      <c r="U39" s="25" t="n"/>
      <c r="V39" s="25" t="n"/>
      <c r="W39" s="25">
        <f>IF(AND($A39="",$B39=""),"",IF(M39="Ambassador","1 - Ambassador",IF(M39="Member","2 - Member",IF(J39="Completed","3 - Presented",IF(H39&lt;&gt;"","4 - Sent",IF(F39&lt;&gt;"","5 - Contacted","6 - No Activity"))))))</f>
        <v/>
      </c>
      <c r="X39" s="25">
        <f>IF(AND($A39="",$B39=""),9999999+(ROW()-4),VALUE(LEFT($W39,1))*10000+(ROW()-4))</f>
        <v/>
      </c>
    </row>
    <row r="40" ht="15" customHeight="1" s="20">
      <c r="A40" s="25" t="n"/>
      <c r="B40" s="25" t="n"/>
      <c r="C40" s="25" t="n"/>
      <c r="D40" s="25" t="n"/>
      <c r="E40" s="25" t="n"/>
      <c r="F40" s="26" t="n"/>
      <c r="G40" s="25" t="n"/>
      <c r="H40" s="25" t="n"/>
      <c r="I40" s="26" t="n"/>
      <c r="J40" s="25" t="n"/>
      <c r="K40" s="26" t="n"/>
      <c r="L40" s="25" t="n"/>
      <c r="M40" s="25" t="n"/>
      <c r="N40" s="26" t="n"/>
      <c r="O40" s="25" t="n"/>
      <c r="P40" s="25" t="n"/>
      <c r="Q40" s="26" t="n"/>
      <c r="R40" s="25">
        <f>IF(AND($A40="",$B40=""),"",IF(Q40="Complete","Onboarded",IF(OR(M40="Member",M40="Ambassador"),"Sponsored",IF(K40&lt;&gt;"","Follow-Up",IF(I40&lt;&gt;"","Presented",IF(F40&lt;&gt;"","Contacted","New Lead"))))))</f>
        <v/>
      </c>
      <c r="S40" s="25" t="n"/>
      <c r="T40" s="25">
        <f>IF(MAX(F40,I40,K40)=0,"",TODAY()-MAX(F40,I40,K40))</f>
        <v/>
      </c>
      <c r="U40" s="25" t="n"/>
      <c r="V40" s="25" t="n"/>
      <c r="W40" s="25">
        <f>IF(AND($A40="",$B40=""),"",IF(M40="Ambassador","1 - Ambassador",IF(M40="Member","2 - Member",IF(J40="Completed","3 - Presented",IF(H40&lt;&gt;"","4 - Sent",IF(F40&lt;&gt;"","5 - Contacted","6 - No Activity"))))))</f>
        <v/>
      </c>
      <c r="X40" s="25">
        <f>IF(AND($A40="",$B40=""),9999999+(ROW()-4),VALUE(LEFT($W40,1))*10000+(ROW()-4))</f>
        <v/>
      </c>
    </row>
    <row r="41" ht="15" customHeight="1" s="20">
      <c r="A41" s="25" t="n"/>
      <c r="B41" s="25" t="n"/>
      <c r="C41" s="25" t="n"/>
      <c r="D41" s="25" t="n"/>
      <c r="E41" s="25" t="n"/>
      <c r="F41" s="26" t="n"/>
      <c r="G41" s="25" t="n"/>
      <c r="H41" s="25" t="n"/>
      <c r="I41" s="26" t="n"/>
      <c r="J41" s="25" t="n"/>
      <c r="K41" s="26" t="n"/>
      <c r="L41" s="25" t="n"/>
      <c r="M41" s="25" t="n"/>
      <c r="N41" s="26" t="n"/>
      <c r="O41" s="25" t="n"/>
      <c r="P41" s="25" t="n"/>
      <c r="Q41" s="26" t="n"/>
      <c r="R41" s="25">
        <f>IF(AND($A41="",$B41=""),"",IF(Q41="Complete","Onboarded",IF(OR(M41="Member",M41="Ambassador"),"Sponsored",IF(K41&lt;&gt;"","Follow-Up",IF(I41&lt;&gt;"","Presented",IF(F41&lt;&gt;"","Contacted","New Lead"))))))</f>
        <v/>
      </c>
      <c r="S41" s="25" t="n"/>
      <c r="T41" s="25">
        <f>IF(MAX(F41,I41,K41)=0,"",TODAY()-MAX(F41,I41,K41))</f>
        <v/>
      </c>
      <c r="U41" s="25" t="n"/>
      <c r="V41" s="25" t="n"/>
      <c r="W41" s="25">
        <f>IF(AND($A41="",$B41=""),"",IF(M41="Ambassador","1 - Ambassador",IF(M41="Member","2 - Member",IF(J41="Completed","3 - Presented",IF(H41&lt;&gt;"","4 - Sent",IF(F41&lt;&gt;"","5 - Contacted","6 - No Activity"))))))</f>
        <v/>
      </c>
      <c r="X41" s="25">
        <f>IF(AND($A41="",$B41=""),9999999+(ROW()-4),VALUE(LEFT($W41,1))*10000+(ROW()-4))</f>
        <v/>
      </c>
    </row>
    <row r="42" ht="15" customHeight="1" s="20">
      <c r="A42" s="25" t="n"/>
      <c r="B42" s="25" t="n"/>
      <c r="C42" s="25" t="n"/>
      <c r="D42" s="25" t="n"/>
      <c r="E42" s="25" t="n"/>
      <c r="F42" s="26" t="n"/>
      <c r="G42" s="25" t="n"/>
      <c r="H42" s="25" t="n"/>
      <c r="I42" s="26" t="n"/>
      <c r="J42" s="25" t="n"/>
      <c r="K42" s="26" t="n"/>
      <c r="L42" s="25" t="n"/>
      <c r="M42" s="25" t="n"/>
      <c r="N42" s="26" t="n"/>
      <c r="O42" s="25" t="n"/>
      <c r="P42" s="25" t="n"/>
      <c r="Q42" s="26" t="n"/>
      <c r="R42" s="25">
        <f>IF(AND($A42="",$B42=""),"",IF(Q42="Complete","Onboarded",IF(OR(M42="Member",M42="Ambassador"),"Sponsored",IF(K42&lt;&gt;"","Follow-Up",IF(I42&lt;&gt;"","Presented",IF(F42&lt;&gt;"","Contacted","New Lead"))))))</f>
        <v/>
      </c>
      <c r="S42" s="25" t="n"/>
      <c r="T42" s="25">
        <f>IF(MAX(F42,I42,K42)=0,"",TODAY()-MAX(F42,I42,K42))</f>
        <v/>
      </c>
      <c r="U42" s="25" t="n"/>
      <c r="V42" s="25" t="n"/>
      <c r="W42" s="25">
        <f>IF(AND($A42="",$B42=""),"",IF(M42="Ambassador","1 - Ambassador",IF(M42="Member","2 - Member",IF(J42="Completed","3 - Presented",IF(H42&lt;&gt;"","4 - Sent",IF(F42&lt;&gt;"","5 - Contacted","6 - No Activity"))))))</f>
        <v/>
      </c>
      <c r="X42" s="25">
        <f>IF(AND($A42="",$B42=""),9999999+(ROW()-4),VALUE(LEFT($W42,1))*10000+(ROW()-4))</f>
        <v/>
      </c>
    </row>
    <row r="43" ht="15" customHeight="1" s="20">
      <c r="A43" s="25" t="n"/>
      <c r="B43" s="25" t="n"/>
      <c r="C43" s="25" t="n"/>
      <c r="D43" s="25" t="n"/>
      <c r="E43" s="25" t="n"/>
      <c r="F43" s="26" t="n"/>
      <c r="G43" s="25" t="n"/>
      <c r="H43" s="25" t="n"/>
      <c r="I43" s="26" t="n"/>
      <c r="J43" s="25" t="n"/>
      <c r="K43" s="26" t="n"/>
      <c r="L43" s="25" t="n"/>
      <c r="M43" s="25" t="n"/>
      <c r="N43" s="26" t="n"/>
      <c r="O43" s="25" t="n"/>
      <c r="P43" s="25" t="n"/>
      <c r="Q43" s="26" t="n"/>
      <c r="R43" s="25">
        <f>IF(AND($A43="",$B43=""),"",IF(Q43="Complete","Onboarded",IF(OR(M43="Member",M43="Ambassador"),"Sponsored",IF(K43&lt;&gt;"","Follow-Up",IF(I43&lt;&gt;"","Presented",IF(F43&lt;&gt;"","Contacted","New Lead"))))))</f>
        <v/>
      </c>
      <c r="S43" s="25" t="n"/>
      <c r="T43" s="25">
        <f>IF(MAX(F43,I43,K43)=0,"",TODAY()-MAX(F43,I43,K43))</f>
        <v/>
      </c>
      <c r="U43" s="25" t="n"/>
      <c r="V43" s="25" t="n"/>
      <c r="W43" s="25">
        <f>IF(AND($A43="",$B43=""),"",IF(M43="Ambassador","1 - Ambassador",IF(M43="Member","2 - Member",IF(J43="Completed","3 - Presented",IF(H43&lt;&gt;"","4 - Sent",IF(F43&lt;&gt;"","5 - Contacted","6 - No Activity"))))))</f>
        <v/>
      </c>
      <c r="X43" s="25">
        <f>IF(AND($A43="",$B43=""),9999999+(ROW()-4),VALUE(LEFT($W43,1))*10000+(ROW()-4))</f>
        <v/>
      </c>
    </row>
    <row r="44" ht="15" customHeight="1" s="20">
      <c r="A44" s="25" t="n"/>
      <c r="B44" s="25" t="n"/>
      <c r="C44" s="25" t="n"/>
      <c r="D44" s="25" t="n"/>
      <c r="E44" s="25" t="n"/>
      <c r="F44" s="26" t="n"/>
      <c r="G44" s="25" t="n"/>
      <c r="H44" s="25" t="n"/>
      <c r="I44" s="26" t="n"/>
      <c r="J44" s="25" t="n"/>
      <c r="K44" s="26" t="n"/>
      <c r="L44" s="25" t="n"/>
      <c r="M44" s="25" t="n"/>
      <c r="N44" s="26" t="n"/>
      <c r="O44" s="25" t="n"/>
      <c r="P44" s="25" t="n"/>
      <c r="Q44" s="26" t="n"/>
      <c r="R44" s="25">
        <f>IF(AND($A44="",$B44=""),"",IF(Q44="Complete","Onboarded",IF(OR(M44="Member",M44="Ambassador"),"Sponsored",IF(K44&lt;&gt;"","Follow-Up",IF(I44&lt;&gt;"","Presented",IF(F44&lt;&gt;"","Contacted","New Lead"))))))</f>
        <v/>
      </c>
      <c r="S44" s="25" t="n"/>
      <c r="T44" s="25">
        <f>IF(MAX(F44,I44,K44)=0,"",TODAY()-MAX(F44,I44,K44))</f>
        <v/>
      </c>
      <c r="U44" s="25" t="n"/>
      <c r="V44" s="25" t="n"/>
      <c r="W44" s="25">
        <f>IF(AND($A44="",$B44=""),"",IF(M44="Ambassador","1 - Ambassador",IF(M44="Member","2 - Member",IF(J44="Completed","3 - Presented",IF(H44&lt;&gt;"","4 - Sent",IF(F44&lt;&gt;"","5 - Contacted","6 - No Activity"))))))</f>
        <v/>
      </c>
      <c r="X44" s="25">
        <f>IF(AND($A44="",$B44=""),9999999+(ROW()-4),VALUE(LEFT($W44,1))*10000+(ROW()-4))</f>
        <v/>
      </c>
    </row>
    <row r="45" ht="15" customHeight="1" s="20">
      <c r="A45" s="25" t="n"/>
      <c r="B45" s="25" t="n"/>
      <c r="C45" s="25" t="n"/>
      <c r="D45" s="25" t="n"/>
      <c r="E45" s="25" t="n"/>
      <c r="F45" s="26" t="n"/>
      <c r="G45" s="25" t="n"/>
      <c r="H45" s="25" t="n"/>
      <c r="I45" s="26" t="n"/>
      <c r="J45" s="25" t="n"/>
      <c r="K45" s="26" t="n"/>
      <c r="L45" s="25" t="n"/>
      <c r="M45" s="25" t="n"/>
      <c r="N45" s="26" t="n"/>
      <c r="O45" s="25" t="n"/>
      <c r="P45" s="25" t="n"/>
      <c r="Q45" s="26" t="n"/>
      <c r="R45" s="25">
        <f>IF(AND($A45="",$B45=""),"",IF(Q45="Complete","Onboarded",IF(OR(M45="Member",M45="Ambassador"),"Sponsored",IF(K45&lt;&gt;"","Follow-Up",IF(I45&lt;&gt;"","Presented",IF(F45&lt;&gt;"","Contacted","New Lead"))))))</f>
        <v/>
      </c>
      <c r="S45" s="25" t="n"/>
      <c r="T45" s="25">
        <f>IF(MAX(F45,I45,K45)=0,"",TODAY()-MAX(F45,I45,K45))</f>
        <v/>
      </c>
      <c r="U45" s="25" t="n"/>
      <c r="V45" s="25" t="n"/>
      <c r="W45" s="25">
        <f>IF(AND($A45="",$B45=""),"",IF(M45="Ambassador","1 - Ambassador",IF(M45="Member","2 - Member",IF(J45="Completed","3 - Presented",IF(H45&lt;&gt;"","4 - Sent",IF(F45&lt;&gt;"","5 - Contacted","6 - No Activity"))))))</f>
        <v/>
      </c>
      <c r="X45" s="25">
        <f>IF(AND($A45="",$B45=""),9999999+(ROW()-4),VALUE(LEFT($W45,1))*10000+(ROW()-4))</f>
        <v/>
      </c>
    </row>
    <row r="46" ht="15" customHeight="1" s="20">
      <c r="A46" s="25" t="n"/>
      <c r="B46" s="25" t="n"/>
      <c r="C46" s="25" t="n"/>
      <c r="D46" s="25" t="n"/>
      <c r="E46" s="25" t="n"/>
      <c r="F46" s="26" t="n"/>
      <c r="G46" s="25" t="n"/>
      <c r="H46" s="25" t="n"/>
      <c r="I46" s="26" t="n"/>
      <c r="J46" s="25" t="n"/>
      <c r="K46" s="26" t="n"/>
      <c r="L46" s="25" t="n"/>
      <c r="M46" s="25" t="n"/>
      <c r="N46" s="26" t="n"/>
      <c r="O46" s="25" t="n"/>
      <c r="P46" s="25" t="n"/>
      <c r="Q46" s="26" t="n"/>
      <c r="R46" s="25">
        <f>IF(AND($A46="",$B46=""),"",IF(Q46="Complete","Onboarded",IF(OR(M46="Member",M46="Ambassador"),"Sponsored",IF(K46&lt;&gt;"","Follow-Up",IF(I46&lt;&gt;"","Presented",IF(F46&lt;&gt;"","Contacted","New Lead"))))))</f>
        <v/>
      </c>
      <c r="S46" s="25" t="n"/>
      <c r="T46" s="25">
        <f>IF(MAX(F46,I46,K46)=0,"",TODAY()-MAX(F46,I46,K46))</f>
        <v/>
      </c>
      <c r="U46" s="25" t="n"/>
      <c r="V46" s="25" t="n"/>
      <c r="W46" s="25">
        <f>IF(AND($A46="",$B46=""),"",IF(M46="Ambassador","1 - Ambassador",IF(M46="Member","2 - Member",IF(J46="Completed","3 - Presented",IF(H46&lt;&gt;"","4 - Sent",IF(F46&lt;&gt;"","5 - Contacted","6 - No Activity"))))))</f>
        <v/>
      </c>
      <c r="X46" s="25">
        <f>IF(AND($A46="",$B46=""),9999999+(ROW()-4),VALUE(LEFT($W46,1))*10000+(ROW()-4))</f>
        <v/>
      </c>
    </row>
    <row r="47" ht="15" customHeight="1" s="20">
      <c r="A47" s="25" t="n"/>
      <c r="B47" s="25" t="n"/>
      <c r="C47" s="25" t="n"/>
      <c r="D47" s="25" t="n"/>
      <c r="E47" s="25" t="n"/>
      <c r="F47" s="26" t="n"/>
      <c r="G47" s="25" t="n"/>
      <c r="H47" s="25" t="n"/>
      <c r="I47" s="26" t="n"/>
      <c r="J47" s="25" t="n"/>
      <c r="K47" s="26" t="n"/>
      <c r="L47" s="25" t="n"/>
      <c r="M47" s="25" t="n"/>
      <c r="N47" s="26" t="n"/>
      <c r="O47" s="25" t="n"/>
      <c r="P47" s="25" t="n"/>
      <c r="Q47" s="26" t="n"/>
      <c r="R47" s="25">
        <f>IF(AND($A47="",$B47=""),"",IF(Q47="Complete","Onboarded",IF(OR(M47="Member",M47="Ambassador"),"Sponsored",IF(K47&lt;&gt;"","Follow-Up",IF(I47&lt;&gt;"","Presented",IF(F47&lt;&gt;"","Contacted","New Lead"))))))</f>
        <v/>
      </c>
      <c r="S47" s="25" t="n"/>
      <c r="T47" s="25">
        <f>IF(MAX(F47,I47,K47)=0,"",TODAY()-MAX(F47,I47,K47))</f>
        <v/>
      </c>
      <c r="U47" s="25" t="n"/>
      <c r="V47" s="25" t="n"/>
      <c r="W47" s="25">
        <f>IF(AND($A47="",$B47=""),"",IF(M47="Ambassador","1 - Ambassador",IF(M47="Member","2 - Member",IF(J47="Completed","3 - Presented",IF(H47&lt;&gt;"","4 - Sent",IF(F47&lt;&gt;"","5 - Contacted","6 - No Activity"))))))</f>
        <v/>
      </c>
      <c r="X47" s="25">
        <f>IF(AND($A47="",$B47=""),9999999+(ROW()-4),VALUE(LEFT($W47,1))*10000+(ROW()-4))</f>
        <v/>
      </c>
    </row>
    <row r="48" ht="15" customHeight="1" s="20">
      <c r="A48" s="25" t="n"/>
      <c r="B48" s="25" t="n"/>
      <c r="C48" s="25" t="n"/>
      <c r="D48" s="25" t="n"/>
      <c r="E48" s="25" t="n"/>
      <c r="F48" s="26" t="n"/>
      <c r="G48" s="25" t="n"/>
      <c r="H48" s="25" t="n"/>
      <c r="I48" s="26" t="n"/>
      <c r="J48" s="25" t="n"/>
      <c r="K48" s="26" t="n"/>
      <c r="L48" s="25" t="n"/>
      <c r="M48" s="25" t="n"/>
      <c r="N48" s="26" t="n"/>
      <c r="O48" s="25" t="n"/>
      <c r="P48" s="25" t="n"/>
      <c r="Q48" s="26" t="n"/>
      <c r="R48" s="25">
        <f>IF(AND($A48="",$B48=""),"",IF(Q48="Complete","Onboarded",IF(OR(M48="Member",M48="Ambassador"),"Sponsored",IF(K48&lt;&gt;"","Follow-Up",IF(I48&lt;&gt;"","Presented",IF(F48&lt;&gt;"","Contacted","New Lead"))))))</f>
        <v/>
      </c>
      <c r="S48" s="25" t="n"/>
      <c r="T48" s="25">
        <f>IF(MAX(F48,I48,K48)=0,"",TODAY()-MAX(F48,I48,K48))</f>
        <v/>
      </c>
      <c r="U48" s="25" t="n"/>
      <c r="V48" s="25" t="n"/>
      <c r="W48" s="25">
        <f>IF(AND($A48="",$B48=""),"",IF(M48="Ambassador","1 - Ambassador",IF(M48="Member","2 - Member",IF(J48="Completed","3 - Presented",IF(H48&lt;&gt;"","4 - Sent",IF(F48&lt;&gt;"","5 - Contacted","6 - No Activity"))))))</f>
        <v/>
      </c>
      <c r="X48" s="25">
        <f>IF(AND($A48="",$B48=""),9999999+(ROW()-4),VALUE(LEFT($W48,1))*10000+(ROW()-4))</f>
        <v/>
      </c>
    </row>
    <row r="49" ht="15" customHeight="1" s="20">
      <c r="A49" s="25" t="n"/>
      <c r="B49" s="25" t="n"/>
      <c r="C49" s="25" t="n"/>
      <c r="D49" s="25" t="n"/>
      <c r="E49" s="25" t="n"/>
      <c r="F49" s="26" t="n"/>
      <c r="G49" s="25" t="n"/>
      <c r="H49" s="25" t="n"/>
      <c r="I49" s="26" t="n"/>
      <c r="J49" s="25" t="n"/>
      <c r="K49" s="26" t="n"/>
      <c r="L49" s="25" t="n"/>
      <c r="M49" s="25" t="n"/>
      <c r="N49" s="26" t="n"/>
      <c r="O49" s="25" t="n"/>
      <c r="P49" s="25" t="n"/>
      <c r="Q49" s="26" t="n"/>
      <c r="R49" s="25">
        <f>IF(AND($A49="",$B49=""),"",IF(Q49="Complete","Onboarded",IF(OR(M49="Member",M49="Ambassador"),"Sponsored",IF(K49&lt;&gt;"","Follow-Up",IF(I49&lt;&gt;"","Presented",IF(F49&lt;&gt;"","Contacted","New Lead"))))))</f>
        <v/>
      </c>
      <c r="S49" s="25" t="n"/>
      <c r="T49" s="25">
        <f>IF(MAX(F49,I49,K49)=0,"",TODAY()-MAX(F49,I49,K49))</f>
        <v/>
      </c>
      <c r="U49" s="25" t="n"/>
      <c r="V49" s="25" t="n"/>
      <c r="W49" s="25">
        <f>IF(AND($A49="",$B49=""),"",IF(M49="Ambassador","1 - Ambassador",IF(M49="Member","2 - Member",IF(J49="Completed","3 - Presented",IF(H49&lt;&gt;"","4 - Sent",IF(F49&lt;&gt;"","5 - Contacted","6 - No Activity"))))))</f>
        <v/>
      </c>
      <c r="X49" s="25">
        <f>IF(AND($A49="",$B49=""),9999999+(ROW()-4),VALUE(LEFT($W49,1))*10000+(ROW()-4))</f>
        <v/>
      </c>
    </row>
    <row r="50" ht="15" customHeight="1" s="20">
      <c r="A50" s="25" t="n"/>
      <c r="B50" s="25" t="n"/>
      <c r="C50" s="25" t="n"/>
      <c r="D50" s="25" t="n"/>
      <c r="E50" s="25" t="n"/>
      <c r="F50" s="26" t="n"/>
      <c r="G50" s="25" t="n"/>
      <c r="H50" s="25" t="n"/>
      <c r="I50" s="26" t="n"/>
      <c r="J50" s="25" t="n"/>
      <c r="K50" s="26" t="n"/>
      <c r="L50" s="25" t="n"/>
      <c r="M50" s="25" t="n"/>
      <c r="N50" s="26" t="n"/>
      <c r="O50" s="25" t="n"/>
      <c r="P50" s="25" t="n"/>
      <c r="Q50" s="26" t="n"/>
      <c r="R50" s="25">
        <f>IF(AND($A50="",$B50=""),"",IF(Q50="Complete","Onboarded",IF(OR(M50="Member",M50="Ambassador"),"Sponsored",IF(K50&lt;&gt;"","Follow-Up",IF(I50&lt;&gt;"","Presented",IF(F50&lt;&gt;"","Contacted","New Lead"))))))</f>
        <v/>
      </c>
      <c r="S50" s="25" t="n"/>
      <c r="T50" s="25">
        <f>IF(MAX(F50,I50,K50)=0,"",TODAY()-MAX(F50,I50,K50))</f>
        <v/>
      </c>
      <c r="U50" s="25" t="n"/>
      <c r="V50" s="25" t="n"/>
      <c r="W50" s="25">
        <f>IF(AND($A50="",$B50=""),"",IF(M50="Ambassador","1 - Ambassador",IF(M50="Member","2 - Member",IF(J50="Completed","3 - Presented",IF(H50&lt;&gt;"","4 - Sent",IF(F50&lt;&gt;"","5 - Contacted","6 - No Activity"))))))</f>
        <v/>
      </c>
      <c r="X50" s="25">
        <f>IF(AND($A50="",$B50=""),9999999+(ROW()-4),VALUE(LEFT($W50,1))*10000+(ROW()-4))</f>
        <v/>
      </c>
    </row>
    <row r="51" ht="15" customHeight="1" s="20">
      <c r="A51" s="25" t="n"/>
      <c r="B51" s="25" t="n"/>
      <c r="C51" s="25" t="n"/>
      <c r="D51" s="25" t="n"/>
      <c r="E51" s="25" t="n"/>
      <c r="F51" s="26" t="n"/>
      <c r="G51" s="25" t="n"/>
      <c r="H51" s="25" t="n"/>
      <c r="I51" s="26" t="n"/>
      <c r="J51" s="25" t="n"/>
      <c r="K51" s="26" t="n"/>
      <c r="L51" s="25" t="n"/>
      <c r="M51" s="25" t="n"/>
      <c r="N51" s="26" t="n"/>
      <c r="O51" s="25" t="n"/>
      <c r="P51" s="25" t="n"/>
      <c r="Q51" s="26" t="n"/>
      <c r="R51" s="25">
        <f>IF(AND($A51="",$B51=""),"",IF(Q51="Complete","Onboarded",IF(OR(M51="Member",M51="Ambassador"),"Sponsored",IF(K51&lt;&gt;"","Follow-Up",IF(I51&lt;&gt;"","Presented",IF(F51&lt;&gt;"","Contacted","New Lead"))))))</f>
        <v/>
      </c>
      <c r="S51" s="25" t="n"/>
      <c r="T51" s="25">
        <f>IF(MAX(F51,I51,K51)=0,"",TODAY()-MAX(F51,I51,K51))</f>
        <v/>
      </c>
      <c r="U51" s="25" t="n"/>
      <c r="V51" s="25" t="n"/>
      <c r="W51" s="25">
        <f>IF(AND($A51="",$B51=""),"",IF(M51="Ambassador","1 - Ambassador",IF(M51="Member","2 - Member",IF(J51="Completed","3 - Presented",IF(H51&lt;&gt;"","4 - Sent",IF(F51&lt;&gt;"","5 - Contacted","6 - No Activity"))))))</f>
        <v/>
      </c>
      <c r="X51" s="25">
        <f>IF(AND($A51="",$B51=""),9999999+(ROW()-4),VALUE(LEFT($W51,1))*10000+(ROW()-4))</f>
        <v/>
      </c>
    </row>
    <row r="52" ht="15" customHeight="1" s="20">
      <c r="A52" s="25" t="n"/>
      <c r="B52" s="25" t="n"/>
      <c r="C52" s="25" t="n"/>
      <c r="D52" s="25" t="n"/>
      <c r="E52" s="25" t="n"/>
      <c r="F52" s="26" t="n"/>
      <c r="G52" s="25" t="n"/>
      <c r="H52" s="25" t="n"/>
      <c r="I52" s="26" t="n"/>
      <c r="J52" s="25" t="n"/>
      <c r="K52" s="26" t="n"/>
      <c r="L52" s="25" t="n"/>
      <c r="M52" s="25" t="n"/>
      <c r="N52" s="26" t="n"/>
      <c r="O52" s="25" t="n"/>
      <c r="P52" s="25" t="n"/>
      <c r="Q52" s="26" t="n"/>
      <c r="R52" s="25">
        <f>IF(AND($A52="",$B52=""),"",IF(Q52="Complete","Onboarded",IF(OR(M52="Member",M52="Ambassador"),"Sponsored",IF(K52&lt;&gt;"","Follow-Up",IF(I52&lt;&gt;"","Presented",IF(F52&lt;&gt;"","Contacted","New Lead"))))))</f>
        <v/>
      </c>
      <c r="S52" s="25" t="n"/>
      <c r="T52" s="25">
        <f>IF(MAX(F52,I52,K52)=0,"",TODAY()-MAX(F52,I52,K52))</f>
        <v/>
      </c>
      <c r="U52" s="25" t="n"/>
      <c r="V52" s="25" t="n"/>
      <c r="W52" s="25">
        <f>IF(AND($A52="",$B52=""),"",IF(M52="Ambassador","1 - Ambassador",IF(M52="Member","2 - Member",IF(J52="Completed","3 - Presented",IF(H52&lt;&gt;"","4 - Sent",IF(F52&lt;&gt;"","5 - Contacted","6 - No Activity"))))))</f>
        <v/>
      </c>
      <c r="X52" s="25">
        <f>IF(AND($A52="",$B52=""),9999999+(ROW()-4),VALUE(LEFT($W52,1))*10000+(ROW()-4))</f>
        <v/>
      </c>
    </row>
    <row r="53" ht="15" customHeight="1" s="20">
      <c r="A53" s="25" t="n"/>
      <c r="B53" s="25" t="n"/>
      <c r="C53" s="25" t="n"/>
      <c r="D53" s="25" t="n"/>
      <c r="E53" s="25" t="n"/>
      <c r="F53" s="26" t="n"/>
      <c r="G53" s="25" t="n"/>
      <c r="H53" s="25" t="n"/>
      <c r="I53" s="26" t="n"/>
      <c r="J53" s="25" t="n"/>
      <c r="K53" s="26" t="n"/>
      <c r="L53" s="25" t="n"/>
      <c r="M53" s="25" t="n"/>
      <c r="N53" s="26" t="n"/>
      <c r="O53" s="25" t="n"/>
      <c r="P53" s="25" t="n"/>
      <c r="Q53" s="26" t="n"/>
      <c r="R53" s="25">
        <f>IF(AND($A53="",$B53=""),"",IF(Q53="Complete","Onboarded",IF(OR(M53="Member",M53="Ambassador"),"Sponsored",IF(K53&lt;&gt;"","Follow-Up",IF(I53&lt;&gt;"","Presented",IF(F53&lt;&gt;"","Contacted","New Lead"))))))</f>
        <v/>
      </c>
      <c r="S53" s="25" t="n"/>
      <c r="T53" s="25">
        <f>IF(MAX(F53,I53,K53)=0,"",TODAY()-MAX(F53,I53,K53))</f>
        <v/>
      </c>
      <c r="U53" s="25" t="n"/>
      <c r="V53" s="25" t="n"/>
      <c r="W53" s="25">
        <f>IF(AND($A53="",$B53=""),"",IF(M53="Ambassador","1 - Ambassador",IF(M53="Member","2 - Member",IF(J53="Completed","3 - Presented",IF(H53&lt;&gt;"","4 - Sent",IF(F53&lt;&gt;"","5 - Contacted","6 - No Activity"))))))</f>
        <v/>
      </c>
      <c r="X53" s="25">
        <f>IF(AND($A53="",$B53=""),9999999+(ROW()-4),VALUE(LEFT($W53,1))*10000+(ROW()-4))</f>
        <v/>
      </c>
    </row>
    <row r="54" ht="15" customHeight="1" s="20">
      <c r="A54" s="25" t="n"/>
      <c r="B54" s="25" t="n"/>
      <c r="C54" s="25" t="n"/>
      <c r="D54" s="25" t="n"/>
      <c r="E54" s="25" t="n"/>
      <c r="F54" s="26" t="n"/>
      <c r="G54" s="25" t="n"/>
      <c r="H54" s="25" t="n"/>
      <c r="I54" s="26" t="n"/>
      <c r="J54" s="25" t="n"/>
      <c r="K54" s="26" t="n"/>
      <c r="L54" s="25" t="n"/>
      <c r="M54" s="25" t="n"/>
      <c r="N54" s="26" t="n"/>
      <c r="O54" s="25" t="n"/>
      <c r="P54" s="25" t="n"/>
      <c r="Q54" s="26" t="n"/>
      <c r="R54" s="25">
        <f>IF(AND($A54="",$B54=""),"",IF(Q54="Complete","Onboarded",IF(OR(M54="Member",M54="Ambassador"),"Sponsored",IF(K54&lt;&gt;"","Follow-Up",IF(I54&lt;&gt;"","Presented",IF(F54&lt;&gt;"","Contacted","New Lead"))))))</f>
        <v/>
      </c>
      <c r="S54" s="25" t="n"/>
      <c r="T54" s="25">
        <f>IF(MAX(F54,I54,K54)=0,"",TODAY()-MAX(F54,I54,K54))</f>
        <v/>
      </c>
      <c r="U54" s="25" t="n"/>
      <c r="V54" s="25" t="n"/>
      <c r="W54" s="25">
        <f>IF(AND($A54="",$B54=""),"",IF(M54="Ambassador","1 - Ambassador",IF(M54="Member","2 - Member",IF(J54="Completed","3 - Presented",IF(H54&lt;&gt;"","4 - Sent",IF(F54&lt;&gt;"","5 - Contacted","6 - No Activity"))))))</f>
        <v/>
      </c>
      <c r="X54" s="25">
        <f>IF(AND($A54="",$B54=""),9999999+(ROW()-4),VALUE(LEFT($W54,1))*10000+(ROW()-4))</f>
        <v/>
      </c>
    </row>
    <row r="55" ht="15" customHeight="1" s="20">
      <c r="A55" s="25" t="n"/>
      <c r="B55" s="25" t="n"/>
      <c r="C55" s="25" t="n"/>
      <c r="D55" s="25" t="n"/>
      <c r="E55" s="25" t="n"/>
      <c r="F55" s="26" t="n"/>
      <c r="G55" s="25" t="n"/>
      <c r="H55" s="25" t="n"/>
      <c r="I55" s="26" t="n"/>
      <c r="J55" s="25" t="n"/>
      <c r="K55" s="26" t="n"/>
      <c r="L55" s="25" t="n"/>
      <c r="M55" s="25" t="n"/>
      <c r="N55" s="26" t="n"/>
      <c r="O55" s="25" t="n"/>
      <c r="P55" s="25" t="n"/>
      <c r="Q55" s="26" t="n"/>
      <c r="R55" s="25">
        <f>IF(AND($A55="",$B55=""),"",IF(Q55="Complete","Onboarded",IF(OR(M55="Member",M55="Ambassador"),"Sponsored",IF(K55&lt;&gt;"","Follow-Up",IF(I55&lt;&gt;"","Presented",IF(F55&lt;&gt;"","Contacted","New Lead"))))))</f>
        <v/>
      </c>
      <c r="S55" s="25" t="n"/>
      <c r="T55" s="25">
        <f>IF(MAX(F55,I55,K55)=0,"",TODAY()-MAX(F55,I55,K55))</f>
        <v/>
      </c>
      <c r="U55" s="25" t="n"/>
      <c r="V55" s="25" t="n"/>
      <c r="W55" s="25">
        <f>IF(AND($A55="",$B55=""),"",IF(M55="Ambassador","1 - Ambassador",IF(M55="Member","2 - Member",IF(J55="Completed","3 - Presented",IF(H55&lt;&gt;"","4 - Sent",IF(F55&lt;&gt;"","5 - Contacted","6 - No Activity"))))))</f>
        <v/>
      </c>
      <c r="X55" s="25">
        <f>IF(AND($A55="",$B55=""),9999999+(ROW()-4),VALUE(LEFT($W55,1))*10000+(ROW()-4))</f>
        <v/>
      </c>
    </row>
    <row r="56" ht="15" customHeight="1" s="20">
      <c r="A56" s="25" t="n"/>
      <c r="B56" s="25" t="n"/>
      <c r="C56" s="25" t="n"/>
      <c r="D56" s="25" t="n"/>
      <c r="E56" s="25" t="n"/>
      <c r="F56" s="26" t="n"/>
      <c r="G56" s="25" t="n"/>
      <c r="H56" s="25" t="n"/>
      <c r="I56" s="26" t="n"/>
      <c r="J56" s="25" t="n"/>
      <c r="K56" s="26" t="n"/>
      <c r="L56" s="25" t="n"/>
      <c r="M56" s="25" t="n"/>
      <c r="N56" s="26" t="n"/>
      <c r="O56" s="25" t="n"/>
      <c r="P56" s="25" t="n"/>
      <c r="Q56" s="26" t="n"/>
      <c r="R56" s="25">
        <f>IF(AND($A56="",$B56=""),"",IF(Q56="Complete","Onboarded",IF(OR(M56="Member",M56="Ambassador"),"Sponsored",IF(K56&lt;&gt;"","Follow-Up",IF(I56&lt;&gt;"","Presented",IF(F56&lt;&gt;"","Contacted","New Lead"))))))</f>
        <v/>
      </c>
      <c r="S56" s="25" t="n"/>
      <c r="T56" s="25">
        <f>IF(MAX(F56,I56,K56)=0,"",TODAY()-MAX(F56,I56,K56))</f>
        <v/>
      </c>
      <c r="U56" s="25" t="n"/>
      <c r="V56" s="25" t="n"/>
      <c r="W56" s="25">
        <f>IF(AND($A56="",$B56=""),"",IF(M56="Ambassador","1 - Ambassador",IF(M56="Member","2 - Member",IF(J56="Completed","3 - Presented",IF(H56&lt;&gt;"","4 - Sent",IF(F56&lt;&gt;"","5 - Contacted","6 - No Activity"))))))</f>
        <v/>
      </c>
      <c r="X56" s="25">
        <f>IF(AND($A56="",$B56=""),9999999+(ROW()-4),VALUE(LEFT($W56,1))*10000+(ROW()-4))</f>
        <v/>
      </c>
    </row>
    <row r="57" ht="15" customHeight="1" s="20">
      <c r="A57" s="25" t="n"/>
      <c r="B57" s="25" t="n"/>
      <c r="C57" s="25" t="n"/>
      <c r="D57" s="25" t="n"/>
      <c r="E57" s="25" t="n"/>
      <c r="F57" s="26" t="n"/>
      <c r="G57" s="25" t="n"/>
      <c r="H57" s="25" t="n"/>
      <c r="I57" s="26" t="n"/>
      <c r="J57" s="25" t="n"/>
      <c r="K57" s="26" t="n"/>
      <c r="L57" s="25" t="n"/>
      <c r="M57" s="25" t="n"/>
      <c r="N57" s="26" t="n"/>
      <c r="O57" s="25" t="n"/>
      <c r="P57" s="25" t="n"/>
      <c r="Q57" s="26" t="n"/>
      <c r="R57" s="25">
        <f>IF(AND($A57="",$B57=""),"",IF(Q57="Complete","Onboarded",IF(OR(M57="Member",M57="Ambassador"),"Sponsored",IF(K57&lt;&gt;"","Follow-Up",IF(I57&lt;&gt;"","Presented",IF(F57&lt;&gt;"","Contacted","New Lead"))))))</f>
        <v/>
      </c>
      <c r="S57" s="25" t="n"/>
      <c r="T57" s="25">
        <f>IF(MAX(F57,I57,K57)=0,"",TODAY()-MAX(F57,I57,K57))</f>
        <v/>
      </c>
      <c r="U57" s="25" t="n"/>
      <c r="V57" s="25" t="n"/>
      <c r="W57" s="25">
        <f>IF(AND($A57="",$B57=""),"",IF(M57="Ambassador","1 - Ambassador",IF(M57="Member","2 - Member",IF(J57="Completed","3 - Presented",IF(H57&lt;&gt;"","4 - Sent",IF(F57&lt;&gt;"","5 - Contacted","6 - No Activity"))))))</f>
        <v/>
      </c>
      <c r="X57" s="25">
        <f>IF(AND($A57="",$B57=""),9999999+(ROW()-4),VALUE(LEFT($W57,1))*10000+(ROW()-4))</f>
        <v/>
      </c>
    </row>
    <row r="58" ht="15" customHeight="1" s="20">
      <c r="A58" s="25" t="n"/>
      <c r="B58" s="25" t="n"/>
      <c r="C58" s="25" t="n"/>
      <c r="D58" s="25" t="n"/>
      <c r="E58" s="25" t="n"/>
      <c r="F58" s="26" t="n"/>
      <c r="G58" s="25" t="n"/>
      <c r="H58" s="25" t="n"/>
      <c r="I58" s="26" t="n"/>
      <c r="J58" s="25" t="n"/>
      <c r="K58" s="26" t="n"/>
      <c r="L58" s="25" t="n"/>
      <c r="M58" s="25" t="n"/>
      <c r="N58" s="26" t="n"/>
      <c r="O58" s="25" t="n"/>
      <c r="P58" s="25" t="n"/>
      <c r="Q58" s="26" t="n"/>
      <c r="R58" s="25">
        <f>IF(AND($A58="",$B58=""),"",IF(Q58="Complete","Onboarded",IF(OR(M58="Member",M58="Ambassador"),"Sponsored",IF(K58&lt;&gt;"","Follow-Up",IF(I58&lt;&gt;"","Presented",IF(F58&lt;&gt;"","Contacted","New Lead"))))))</f>
        <v/>
      </c>
      <c r="S58" s="25" t="n"/>
      <c r="T58" s="25">
        <f>IF(MAX(F58,I58,K58)=0,"",TODAY()-MAX(F58,I58,K58))</f>
        <v/>
      </c>
      <c r="U58" s="25" t="n"/>
      <c r="V58" s="25" t="n"/>
      <c r="W58" s="25">
        <f>IF(AND($A58="",$B58=""),"",IF(M58="Ambassador","1 - Ambassador",IF(M58="Member","2 - Member",IF(J58="Completed","3 - Presented",IF(H58&lt;&gt;"","4 - Sent",IF(F58&lt;&gt;"","5 - Contacted","6 - No Activity"))))))</f>
        <v/>
      </c>
      <c r="X58" s="25">
        <f>IF(AND($A58="",$B58=""),9999999+(ROW()-4),VALUE(LEFT($W58,1))*10000+(ROW()-4))</f>
        <v/>
      </c>
    </row>
    <row r="59" ht="15" customHeight="1" s="20">
      <c r="A59" s="25" t="n"/>
      <c r="B59" s="25" t="n"/>
      <c r="C59" s="25" t="n"/>
      <c r="D59" s="25" t="n"/>
      <c r="E59" s="25" t="n"/>
      <c r="F59" s="26" t="n"/>
      <c r="G59" s="25" t="n"/>
      <c r="H59" s="25" t="n"/>
      <c r="I59" s="26" t="n"/>
      <c r="J59" s="25" t="n"/>
      <c r="K59" s="26" t="n"/>
      <c r="L59" s="25" t="n"/>
      <c r="M59" s="25" t="n"/>
      <c r="N59" s="26" t="n"/>
      <c r="O59" s="25" t="n"/>
      <c r="P59" s="25" t="n"/>
      <c r="Q59" s="26" t="n"/>
      <c r="R59" s="25">
        <f>IF(AND($A59="",$B59=""),"",IF(Q59="Complete","Onboarded",IF(OR(M59="Member",M59="Ambassador"),"Sponsored",IF(K59&lt;&gt;"","Follow-Up",IF(I59&lt;&gt;"","Presented",IF(F59&lt;&gt;"","Contacted","New Lead"))))))</f>
        <v/>
      </c>
      <c r="S59" s="25" t="n"/>
      <c r="T59" s="25">
        <f>IF(MAX(F59,I59,K59)=0,"",TODAY()-MAX(F59,I59,K59))</f>
        <v/>
      </c>
      <c r="U59" s="25" t="n"/>
      <c r="V59" s="25" t="n"/>
      <c r="W59" s="25">
        <f>IF(AND($A59="",$B59=""),"",IF(M59="Ambassador","1 - Ambassador",IF(M59="Member","2 - Member",IF(J59="Completed","3 - Presented",IF(H59&lt;&gt;"","4 - Sent",IF(F59&lt;&gt;"","5 - Contacted","6 - No Activity"))))))</f>
        <v/>
      </c>
      <c r="X59" s="25">
        <f>IF(AND($A59="",$B59=""),9999999+(ROW()-4),VALUE(LEFT($W59,1))*10000+(ROW()-4))</f>
        <v/>
      </c>
    </row>
    <row r="60" ht="15" customHeight="1" s="20">
      <c r="A60" s="25" t="n"/>
      <c r="B60" s="25" t="n"/>
      <c r="C60" s="25" t="n"/>
      <c r="D60" s="25" t="n"/>
      <c r="E60" s="25" t="n"/>
      <c r="F60" s="26" t="n"/>
      <c r="G60" s="25" t="n"/>
      <c r="H60" s="25" t="n"/>
      <c r="I60" s="26" t="n"/>
      <c r="J60" s="25" t="n"/>
      <c r="K60" s="26" t="n"/>
      <c r="L60" s="25" t="n"/>
      <c r="M60" s="25" t="n"/>
      <c r="N60" s="26" t="n"/>
      <c r="O60" s="25" t="n"/>
      <c r="P60" s="25" t="n"/>
      <c r="Q60" s="26" t="n"/>
      <c r="R60" s="25">
        <f>IF(AND($A60="",$B60=""),"",IF(Q60="Complete","Onboarded",IF(OR(M60="Member",M60="Ambassador"),"Sponsored",IF(K60&lt;&gt;"","Follow-Up",IF(I60&lt;&gt;"","Presented",IF(F60&lt;&gt;"","Contacted","New Lead"))))))</f>
        <v/>
      </c>
      <c r="S60" s="25" t="n"/>
      <c r="T60" s="25">
        <f>IF(MAX(F60,I60,K60)=0,"",TODAY()-MAX(F60,I60,K60))</f>
        <v/>
      </c>
      <c r="U60" s="25" t="n"/>
      <c r="V60" s="25" t="n"/>
      <c r="W60" s="25">
        <f>IF(AND($A60="",$B60=""),"",IF(M60="Ambassador","1 - Ambassador",IF(M60="Member","2 - Member",IF(J60="Completed","3 - Presented",IF(H60&lt;&gt;"","4 - Sent",IF(F60&lt;&gt;"","5 - Contacted","6 - No Activity"))))))</f>
        <v/>
      </c>
      <c r="X60" s="25">
        <f>IF(AND($A60="",$B60=""),9999999+(ROW()-4),VALUE(LEFT($W60,1))*10000+(ROW()-4))</f>
        <v/>
      </c>
    </row>
    <row r="61" ht="15" customHeight="1" s="20">
      <c r="A61" s="25" t="n"/>
      <c r="B61" s="25" t="n"/>
      <c r="C61" s="25" t="n"/>
      <c r="D61" s="25" t="n"/>
      <c r="E61" s="25" t="n"/>
      <c r="F61" s="26" t="n"/>
      <c r="G61" s="25" t="n"/>
      <c r="H61" s="25" t="n"/>
      <c r="I61" s="26" t="n"/>
      <c r="J61" s="25" t="n"/>
      <c r="K61" s="26" t="n"/>
      <c r="L61" s="25" t="n"/>
      <c r="M61" s="25" t="n"/>
      <c r="N61" s="26" t="n"/>
      <c r="O61" s="25" t="n"/>
      <c r="P61" s="25" t="n"/>
      <c r="Q61" s="26" t="n"/>
      <c r="R61" s="25">
        <f>IF(AND($A61="",$B61=""),"",IF(Q61="Complete","Onboarded",IF(OR(M61="Member",M61="Ambassador"),"Sponsored",IF(K61&lt;&gt;"","Follow-Up",IF(I61&lt;&gt;"","Presented",IF(F61&lt;&gt;"","Contacted","New Lead"))))))</f>
        <v/>
      </c>
      <c r="S61" s="25" t="n"/>
      <c r="T61" s="25">
        <f>IF(MAX(F61,I61,K61)=0,"",TODAY()-MAX(F61,I61,K61))</f>
        <v/>
      </c>
      <c r="U61" s="25" t="n"/>
      <c r="V61" s="25" t="n"/>
      <c r="W61" s="25">
        <f>IF(AND($A61="",$B61=""),"",IF(M61="Ambassador","1 - Ambassador",IF(M61="Member","2 - Member",IF(J61="Completed","3 - Presented",IF(H61&lt;&gt;"","4 - Sent",IF(F61&lt;&gt;"","5 - Contacted","6 - No Activity"))))))</f>
        <v/>
      </c>
      <c r="X61" s="25">
        <f>IF(AND($A61="",$B61=""),9999999+(ROW()-4),VALUE(LEFT($W61,1))*10000+(ROW()-4))</f>
        <v/>
      </c>
    </row>
    <row r="62" ht="15" customHeight="1" s="20">
      <c r="A62" s="25" t="n"/>
      <c r="B62" s="25" t="n"/>
      <c r="C62" s="25" t="n"/>
      <c r="D62" s="25" t="n"/>
      <c r="E62" s="25" t="n"/>
      <c r="F62" s="26" t="n"/>
      <c r="G62" s="25" t="n"/>
      <c r="H62" s="25" t="n"/>
      <c r="I62" s="26" t="n"/>
      <c r="J62" s="25" t="n"/>
      <c r="K62" s="26" t="n"/>
      <c r="L62" s="25" t="n"/>
      <c r="M62" s="25" t="n"/>
      <c r="N62" s="26" t="n"/>
      <c r="O62" s="25" t="n"/>
      <c r="P62" s="25" t="n"/>
      <c r="Q62" s="26" t="n"/>
      <c r="R62" s="25">
        <f>IF(AND($A62="",$B62=""),"",IF(Q62="Complete","Onboarded",IF(OR(M62="Member",M62="Ambassador"),"Sponsored",IF(K62&lt;&gt;"","Follow-Up",IF(I62&lt;&gt;"","Presented",IF(F62&lt;&gt;"","Contacted","New Lead"))))))</f>
        <v/>
      </c>
      <c r="S62" s="25" t="n"/>
      <c r="T62" s="25">
        <f>IF(MAX(F62,I62,K62)=0,"",TODAY()-MAX(F62,I62,K62))</f>
        <v/>
      </c>
      <c r="U62" s="25" t="n"/>
      <c r="V62" s="25" t="n"/>
      <c r="W62" s="25">
        <f>IF(AND($A62="",$B62=""),"",IF(M62="Ambassador","1 - Ambassador",IF(M62="Member","2 - Member",IF(J62="Completed","3 - Presented",IF(H62&lt;&gt;"","4 - Sent",IF(F62&lt;&gt;"","5 - Contacted","6 - No Activity"))))))</f>
        <v/>
      </c>
      <c r="X62" s="25">
        <f>IF(AND($A62="",$B62=""),9999999+(ROW()-4),VALUE(LEFT($W62,1))*10000+(ROW()-4))</f>
        <v/>
      </c>
    </row>
    <row r="63" ht="15" customHeight="1" s="20">
      <c r="A63" s="25" t="n"/>
      <c r="B63" s="25" t="n"/>
      <c r="C63" s="25" t="n"/>
      <c r="D63" s="25" t="n"/>
      <c r="E63" s="25" t="n"/>
      <c r="F63" s="26" t="n"/>
      <c r="G63" s="25" t="n"/>
      <c r="H63" s="25" t="n"/>
      <c r="I63" s="26" t="n"/>
      <c r="J63" s="25" t="n"/>
      <c r="K63" s="26" t="n"/>
      <c r="L63" s="25" t="n"/>
      <c r="M63" s="25" t="n"/>
      <c r="N63" s="26" t="n"/>
      <c r="O63" s="25" t="n"/>
      <c r="P63" s="25" t="n"/>
      <c r="Q63" s="26" t="n"/>
      <c r="R63" s="25">
        <f>IF(AND($A63="",$B63=""),"",IF(Q63="Complete","Onboarded",IF(OR(M63="Member",M63="Ambassador"),"Sponsored",IF(K63&lt;&gt;"","Follow-Up",IF(I63&lt;&gt;"","Presented",IF(F63&lt;&gt;"","Contacted","New Lead"))))))</f>
        <v/>
      </c>
      <c r="S63" s="25" t="n"/>
      <c r="T63" s="25">
        <f>IF(MAX(F63,I63,K63)=0,"",TODAY()-MAX(F63,I63,K63))</f>
        <v/>
      </c>
      <c r="U63" s="25" t="n"/>
      <c r="V63" s="25" t="n"/>
      <c r="W63" s="25">
        <f>IF(AND($A63="",$B63=""),"",IF(M63="Ambassador","1 - Ambassador",IF(M63="Member","2 - Member",IF(J63="Completed","3 - Presented",IF(H63&lt;&gt;"","4 - Sent",IF(F63&lt;&gt;"","5 - Contacted","6 - No Activity"))))))</f>
        <v/>
      </c>
      <c r="X63" s="25">
        <f>IF(AND($A63="",$B63=""),9999999+(ROW()-4),VALUE(LEFT($W63,1))*10000+(ROW()-4))</f>
        <v/>
      </c>
    </row>
    <row r="64" ht="15" customHeight="1" s="20">
      <c r="A64" s="25" t="n"/>
      <c r="B64" s="25" t="n"/>
      <c r="C64" s="25" t="n"/>
      <c r="D64" s="25" t="n"/>
      <c r="E64" s="25" t="n"/>
      <c r="F64" s="26" t="n"/>
      <c r="G64" s="25" t="n"/>
      <c r="H64" s="25" t="n"/>
      <c r="I64" s="26" t="n"/>
      <c r="J64" s="25" t="n"/>
      <c r="K64" s="26" t="n"/>
      <c r="L64" s="25" t="n"/>
      <c r="M64" s="25" t="n"/>
      <c r="N64" s="26" t="n"/>
      <c r="O64" s="25" t="n"/>
      <c r="P64" s="25" t="n"/>
      <c r="Q64" s="26" t="n"/>
      <c r="R64" s="25">
        <f>IF(AND($A64="",$B64=""),"",IF(Q64="Complete","Onboarded",IF(OR(M64="Member",M64="Ambassador"),"Sponsored",IF(K64&lt;&gt;"","Follow-Up",IF(I64&lt;&gt;"","Presented",IF(F64&lt;&gt;"","Contacted","New Lead"))))))</f>
        <v/>
      </c>
      <c r="S64" s="25" t="n"/>
      <c r="T64" s="25">
        <f>IF(MAX(F64,I64,K64)=0,"",TODAY()-MAX(F64,I64,K64))</f>
        <v/>
      </c>
      <c r="U64" s="25" t="n"/>
      <c r="V64" s="25" t="n"/>
      <c r="W64" s="25">
        <f>IF(AND($A64="",$B64=""),"",IF(M64="Ambassador","1 - Ambassador",IF(M64="Member","2 - Member",IF(J64="Completed","3 - Presented",IF(H64&lt;&gt;"","4 - Sent",IF(F64&lt;&gt;"","5 - Contacted","6 - No Activity"))))))</f>
        <v/>
      </c>
      <c r="X64" s="25">
        <f>IF(AND($A64="",$B64=""),9999999+(ROW()-4),VALUE(LEFT($W64,1))*10000+(ROW()-4))</f>
        <v/>
      </c>
    </row>
    <row r="65" ht="15" customHeight="1" s="20">
      <c r="A65" s="25" t="n"/>
      <c r="B65" s="25" t="n"/>
      <c r="C65" s="25" t="n"/>
      <c r="D65" s="25" t="n"/>
      <c r="E65" s="25" t="n"/>
      <c r="F65" s="26" t="n"/>
      <c r="G65" s="25" t="n"/>
      <c r="H65" s="25" t="n"/>
      <c r="I65" s="26" t="n"/>
      <c r="J65" s="25" t="n"/>
      <c r="K65" s="26" t="n"/>
      <c r="L65" s="25" t="n"/>
      <c r="M65" s="25" t="n"/>
      <c r="N65" s="26" t="n"/>
      <c r="O65" s="25" t="n"/>
      <c r="P65" s="25" t="n"/>
      <c r="Q65" s="26" t="n"/>
      <c r="R65" s="25">
        <f>IF(AND($A65="",$B65=""),"",IF(Q65="Complete","Onboarded",IF(OR(M65="Member",M65="Ambassador"),"Sponsored",IF(K65&lt;&gt;"","Follow-Up",IF(I65&lt;&gt;"","Presented",IF(F65&lt;&gt;"","Contacted","New Lead"))))))</f>
        <v/>
      </c>
      <c r="S65" s="25" t="n"/>
      <c r="T65" s="25">
        <f>IF(MAX(F65,I65,K65)=0,"",TODAY()-MAX(F65,I65,K65))</f>
        <v/>
      </c>
      <c r="U65" s="25" t="n"/>
      <c r="V65" s="25" t="n"/>
      <c r="W65" s="25">
        <f>IF(AND($A65="",$B65=""),"",IF(M65="Ambassador","1 - Ambassador",IF(M65="Member","2 - Member",IF(J65="Completed","3 - Presented",IF(H65&lt;&gt;"","4 - Sent",IF(F65&lt;&gt;"","5 - Contacted","6 - No Activity"))))))</f>
        <v/>
      </c>
      <c r="X65" s="25">
        <f>IF(AND($A65="",$B65=""),9999999+(ROW()-4),VALUE(LEFT($W65,1))*10000+(ROW()-4))</f>
        <v/>
      </c>
    </row>
    <row r="66" ht="15" customHeight="1" s="20">
      <c r="A66" s="25" t="n"/>
      <c r="B66" s="25" t="n"/>
      <c r="C66" s="25" t="n"/>
      <c r="D66" s="25" t="n"/>
      <c r="E66" s="25" t="n"/>
      <c r="F66" s="26" t="n"/>
      <c r="G66" s="25" t="n"/>
      <c r="H66" s="25" t="n"/>
      <c r="I66" s="26" t="n"/>
      <c r="J66" s="25" t="n"/>
      <c r="K66" s="26" t="n"/>
      <c r="L66" s="25" t="n"/>
      <c r="M66" s="25" t="n"/>
      <c r="N66" s="26" t="n"/>
      <c r="O66" s="25" t="n"/>
      <c r="P66" s="25" t="n"/>
      <c r="Q66" s="26" t="n"/>
      <c r="R66" s="25">
        <f>IF(AND($A66="",$B66=""),"",IF(Q66="Complete","Onboarded",IF(OR(M66="Member",M66="Ambassador"),"Sponsored",IF(K66&lt;&gt;"","Follow-Up",IF(I66&lt;&gt;"","Presented",IF(F66&lt;&gt;"","Contacted","New Lead"))))))</f>
        <v/>
      </c>
      <c r="S66" s="25" t="n"/>
      <c r="T66" s="25">
        <f>IF(MAX(F66,I66,K66)=0,"",TODAY()-MAX(F66,I66,K66))</f>
        <v/>
      </c>
      <c r="U66" s="25" t="n"/>
      <c r="V66" s="25" t="n"/>
      <c r="W66" s="25">
        <f>IF(AND($A66="",$B66=""),"",IF(M66="Ambassador","1 - Ambassador",IF(M66="Member","2 - Member",IF(J66="Completed","3 - Presented",IF(H66&lt;&gt;"","4 - Sent",IF(F66&lt;&gt;"","5 - Contacted","6 - No Activity"))))))</f>
        <v/>
      </c>
      <c r="X66" s="25">
        <f>IF(AND($A66="",$B66=""),9999999+(ROW()-4),VALUE(LEFT($W66,1))*10000+(ROW()-4))</f>
        <v/>
      </c>
    </row>
    <row r="67" ht="15" customHeight="1" s="20">
      <c r="A67" s="25" t="n"/>
      <c r="B67" s="25" t="n"/>
      <c r="C67" s="25" t="n"/>
      <c r="D67" s="25" t="n"/>
      <c r="E67" s="25" t="n"/>
      <c r="F67" s="26" t="n"/>
      <c r="G67" s="25" t="n"/>
      <c r="H67" s="25" t="n"/>
      <c r="I67" s="26" t="n"/>
      <c r="J67" s="25" t="n"/>
      <c r="K67" s="26" t="n"/>
      <c r="L67" s="25" t="n"/>
      <c r="M67" s="25" t="n"/>
      <c r="N67" s="26" t="n"/>
      <c r="O67" s="25" t="n"/>
      <c r="P67" s="25" t="n"/>
      <c r="Q67" s="26" t="n"/>
      <c r="R67" s="25">
        <f>IF(AND($A67="",$B67=""),"",IF(Q67="Complete","Onboarded",IF(OR(M67="Member",M67="Ambassador"),"Sponsored",IF(K67&lt;&gt;"","Follow-Up",IF(I67&lt;&gt;"","Presented",IF(F67&lt;&gt;"","Contacted","New Lead"))))))</f>
        <v/>
      </c>
      <c r="S67" s="25" t="n"/>
      <c r="T67" s="25">
        <f>IF(MAX(F67,I67,K67)=0,"",TODAY()-MAX(F67,I67,K67))</f>
        <v/>
      </c>
      <c r="U67" s="25" t="n"/>
      <c r="V67" s="25" t="n"/>
      <c r="W67" s="25">
        <f>IF(AND($A67="",$B67=""),"",IF(M67="Ambassador","1 - Ambassador",IF(M67="Member","2 - Member",IF(J67="Completed","3 - Presented",IF(H67&lt;&gt;"","4 - Sent",IF(F67&lt;&gt;"","5 - Contacted","6 - No Activity"))))))</f>
        <v/>
      </c>
      <c r="X67" s="25">
        <f>IF(AND($A67="",$B67=""),9999999+(ROW()-4),VALUE(LEFT($W67,1))*10000+(ROW()-4))</f>
        <v/>
      </c>
    </row>
    <row r="68" ht="15" customHeight="1" s="20">
      <c r="A68" s="25" t="n"/>
      <c r="B68" s="25" t="n"/>
      <c r="C68" s="25" t="n"/>
      <c r="D68" s="25" t="n"/>
      <c r="E68" s="25" t="n"/>
      <c r="F68" s="26" t="n"/>
      <c r="G68" s="25" t="n"/>
      <c r="H68" s="25" t="n"/>
      <c r="I68" s="26" t="n"/>
      <c r="J68" s="25" t="n"/>
      <c r="K68" s="26" t="n"/>
      <c r="L68" s="25" t="n"/>
      <c r="M68" s="25" t="n"/>
      <c r="N68" s="26" t="n"/>
      <c r="O68" s="25" t="n"/>
      <c r="P68" s="25" t="n"/>
      <c r="Q68" s="26" t="n"/>
      <c r="R68" s="25">
        <f>IF(AND($A68="",$B68=""),"",IF(Q68="Complete","Onboarded",IF(OR(M68="Member",M68="Ambassador"),"Sponsored",IF(K68&lt;&gt;"","Follow-Up",IF(I68&lt;&gt;"","Presented",IF(F68&lt;&gt;"","Contacted","New Lead"))))))</f>
        <v/>
      </c>
      <c r="S68" s="25" t="n"/>
      <c r="T68" s="25">
        <f>IF(MAX(F68,I68,K68)=0,"",TODAY()-MAX(F68,I68,K68))</f>
        <v/>
      </c>
      <c r="U68" s="25" t="n"/>
      <c r="V68" s="25" t="n"/>
      <c r="W68" s="25">
        <f>IF(AND($A68="",$B68=""),"",IF(M68="Ambassador","1 - Ambassador",IF(M68="Member","2 - Member",IF(J68="Completed","3 - Presented",IF(H68&lt;&gt;"","4 - Sent",IF(F68&lt;&gt;"","5 - Contacted","6 - No Activity"))))))</f>
        <v/>
      </c>
      <c r="X68" s="25">
        <f>IF(AND($A68="",$B68=""),9999999+(ROW()-4),VALUE(LEFT($W68,1))*10000+(ROW()-4))</f>
        <v/>
      </c>
    </row>
    <row r="69" ht="15" customHeight="1" s="20">
      <c r="A69" s="25" t="n"/>
      <c r="B69" s="25" t="n"/>
      <c r="C69" s="25" t="n"/>
      <c r="D69" s="25" t="n"/>
      <c r="E69" s="25" t="n"/>
      <c r="F69" s="26" t="n"/>
      <c r="G69" s="25" t="n"/>
      <c r="H69" s="25" t="n"/>
      <c r="I69" s="26" t="n"/>
      <c r="J69" s="25" t="n"/>
      <c r="K69" s="26" t="n"/>
      <c r="L69" s="25" t="n"/>
      <c r="M69" s="25" t="n"/>
      <c r="N69" s="26" t="n"/>
      <c r="O69" s="25" t="n"/>
      <c r="P69" s="25" t="n"/>
      <c r="Q69" s="26" t="n"/>
      <c r="R69" s="25">
        <f>IF(AND($A69="",$B69=""),"",IF(Q69="Complete","Onboarded",IF(OR(M69="Member",M69="Ambassador"),"Sponsored",IF(K69&lt;&gt;"","Follow-Up",IF(I69&lt;&gt;"","Presented",IF(F69&lt;&gt;"","Contacted","New Lead"))))))</f>
        <v/>
      </c>
      <c r="S69" s="25" t="n"/>
      <c r="T69" s="25">
        <f>IF(MAX(F69,I69,K69)=0,"",TODAY()-MAX(F69,I69,K69))</f>
        <v/>
      </c>
      <c r="U69" s="25" t="n"/>
      <c r="V69" s="25" t="n"/>
      <c r="W69" s="25">
        <f>IF(AND($A69="",$B69=""),"",IF(M69="Ambassador","1 - Ambassador",IF(M69="Member","2 - Member",IF(J69="Completed","3 - Presented",IF(H69&lt;&gt;"","4 - Sent",IF(F69&lt;&gt;"","5 - Contacted","6 - No Activity"))))))</f>
        <v/>
      </c>
      <c r="X69" s="25">
        <f>IF(AND($A69="",$B69=""),9999999+(ROW()-4),VALUE(LEFT($W69,1))*10000+(ROW()-4))</f>
        <v/>
      </c>
    </row>
    <row r="70" ht="15" customHeight="1" s="20">
      <c r="A70" s="25" t="n"/>
      <c r="B70" s="25" t="n"/>
      <c r="C70" s="25" t="n"/>
      <c r="D70" s="25" t="n"/>
      <c r="E70" s="25" t="n"/>
      <c r="F70" s="26" t="n"/>
      <c r="G70" s="25" t="n"/>
      <c r="H70" s="25" t="n"/>
      <c r="I70" s="26" t="n"/>
      <c r="J70" s="25" t="n"/>
      <c r="K70" s="26" t="n"/>
      <c r="L70" s="25" t="n"/>
      <c r="M70" s="25" t="n"/>
      <c r="N70" s="26" t="n"/>
      <c r="O70" s="25" t="n"/>
      <c r="P70" s="25" t="n"/>
      <c r="Q70" s="26" t="n"/>
      <c r="R70" s="25">
        <f>IF(AND($A70="",$B70=""),"",IF(Q70="Complete","Onboarded",IF(OR(M70="Member",M70="Ambassador"),"Sponsored",IF(K70&lt;&gt;"","Follow-Up",IF(I70&lt;&gt;"","Presented",IF(F70&lt;&gt;"","Contacted","New Lead"))))))</f>
        <v/>
      </c>
      <c r="S70" s="25" t="n"/>
      <c r="T70" s="25">
        <f>IF(MAX(F70,I70,K70)=0,"",TODAY()-MAX(F70,I70,K70))</f>
        <v/>
      </c>
      <c r="U70" s="25" t="n"/>
      <c r="V70" s="25" t="n"/>
      <c r="W70" s="25">
        <f>IF(AND($A70="",$B70=""),"",IF(M70="Ambassador","1 - Ambassador",IF(M70="Member","2 - Member",IF(J70="Completed","3 - Presented",IF(H70&lt;&gt;"","4 - Sent",IF(F70&lt;&gt;"","5 - Contacted","6 - No Activity"))))))</f>
        <v/>
      </c>
      <c r="X70" s="25">
        <f>IF(AND($A70="",$B70=""),9999999+(ROW()-4),VALUE(LEFT($W70,1))*10000+(ROW()-4))</f>
        <v/>
      </c>
    </row>
    <row r="71" ht="15" customHeight="1" s="20">
      <c r="A71" s="25" t="n"/>
      <c r="B71" s="25" t="n"/>
      <c r="C71" s="25" t="n"/>
      <c r="D71" s="25" t="n"/>
      <c r="E71" s="25" t="n"/>
      <c r="F71" s="26" t="n"/>
      <c r="G71" s="25" t="n"/>
      <c r="H71" s="25" t="n"/>
      <c r="I71" s="26" t="n"/>
      <c r="J71" s="25" t="n"/>
      <c r="K71" s="26" t="n"/>
      <c r="L71" s="25" t="n"/>
      <c r="M71" s="25" t="n"/>
      <c r="N71" s="26" t="n"/>
      <c r="O71" s="25" t="n"/>
      <c r="P71" s="25" t="n"/>
      <c r="Q71" s="26" t="n"/>
      <c r="R71" s="25">
        <f>IF(AND($A71="",$B71=""),"",IF(Q71="Complete","Onboarded",IF(OR(M71="Member",M71="Ambassador"),"Sponsored",IF(K71&lt;&gt;"","Follow-Up",IF(I71&lt;&gt;"","Presented",IF(F71&lt;&gt;"","Contacted","New Lead"))))))</f>
        <v/>
      </c>
      <c r="S71" s="25" t="n"/>
      <c r="T71" s="25">
        <f>IF(MAX(F71,I71,K71)=0,"",TODAY()-MAX(F71,I71,K71))</f>
        <v/>
      </c>
      <c r="U71" s="25" t="n"/>
      <c r="V71" s="25" t="n"/>
      <c r="W71" s="25">
        <f>IF(AND($A71="",$B71=""),"",IF(M71="Ambassador","1 - Ambassador",IF(M71="Member","2 - Member",IF(J71="Completed","3 - Presented",IF(H71&lt;&gt;"","4 - Sent",IF(F71&lt;&gt;"","5 - Contacted","6 - No Activity"))))))</f>
        <v/>
      </c>
      <c r="X71" s="25">
        <f>IF(AND($A71="",$B71=""),9999999+(ROW()-4),VALUE(LEFT($W71,1))*10000+(ROW()-4))</f>
        <v/>
      </c>
    </row>
    <row r="72" ht="15" customHeight="1" s="20">
      <c r="A72" s="25" t="n"/>
      <c r="B72" s="25" t="n"/>
      <c r="C72" s="25" t="n"/>
      <c r="D72" s="25" t="n"/>
      <c r="E72" s="25" t="n"/>
      <c r="F72" s="26" t="n"/>
      <c r="G72" s="25" t="n"/>
      <c r="H72" s="25" t="n"/>
      <c r="I72" s="26" t="n"/>
      <c r="J72" s="25" t="n"/>
      <c r="K72" s="26" t="n"/>
      <c r="L72" s="25" t="n"/>
      <c r="M72" s="25" t="n"/>
      <c r="N72" s="26" t="n"/>
      <c r="O72" s="25" t="n"/>
      <c r="P72" s="25" t="n"/>
      <c r="Q72" s="26" t="n"/>
      <c r="R72" s="25">
        <f>IF(AND($A72="",$B72=""),"",IF(Q72="Complete","Onboarded",IF(OR(M72="Member",M72="Ambassador"),"Sponsored",IF(K72&lt;&gt;"","Follow-Up",IF(I72&lt;&gt;"","Presented",IF(F72&lt;&gt;"","Contacted","New Lead"))))))</f>
        <v/>
      </c>
      <c r="S72" s="25" t="n"/>
      <c r="T72" s="25">
        <f>IF(MAX(F72,I72,K72)=0,"",TODAY()-MAX(F72,I72,K72))</f>
        <v/>
      </c>
      <c r="U72" s="25" t="n"/>
      <c r="V72" s="25" t="n"/>
      <c r="W72" s="25">
        <f>IF(AND($A72="",$B72=""),"",IF(M72="Ambassador","1 - Ambassador",IF(M72="Member","2 - Member",IF(J72="Completed","3 - Presented",IF(H72&lt;&gt;"","4 - Sent",IF(F72&lt;&gt;"","5 - Contacted","6 - No Activity"))))))</f>
        <v/>
      </c>
      <c r="X72" s="25">
        <f>IF(AND($A72="",$B72=""),9999999+(ROW()-4),VALUE(LEFT($W72,1))*10000+(ROW()-4))</f>
        <v/>
      </c>
    </row>
    <row r="73" ht="15" customHeight="1" s="20">
      <c r="A73" s="25" t="n"/>
      <c r="B73" s="25" t="n"/>
      <c r="C73" s="25" t="n"/>
      <c r="D73" s="25" t="n"/>
      <c r="E73" s="25" t="n"/>
      <c r="F73" s="26" t="n"/>
      <c r="G73" s="25" t="n"/>
      <c r="H73" s="25" t="n"/>
      <c r="I73" s="26" t="n"/>
      <c r="J73" s="25" t="n"/>
      <c r="K73" s="26" t="n"/>
      <c r="L73" s="25" t="n"/>
      <c r="M73" s="25" t="n"/>
      <c r="N73" s="26" t="n"/>
      <c r="O73" s="25" t="n"/>
      <c r="P73" s="25" t="n"/>
      <c r="Q73" s="26" t="n"/>
      <c r="R73" s="25">
        <f>IF(AND($A73="",$B73=""),"",IF(Q73="Complete","Onboarded",IF(OR(M73="Member",M73="Ambassador"),"Sponsored",IF(K73&lt;&gt;"","Follow-Up",IF(I73&lt;&gt;"","Presented",IF(F73&lt;&gt;"","Contacted","New Lead"))))))</f>
        <v/>
      </c>
      <c r="S73" s="25" t="n"/>
      <c r="T73" s="25">
        <f>IF(MAX(F73,I73,K73)=0,"",TODAY()-MAX(F73,I73,K73))</f>
        <v/>
      </c>
      <c r="U73" s="25" t="n"/>
      <c r="V73" s="25" t="n"/>
      <c r="W73" s="25">
        <f>IF(AND($A73="",$B73=""),"",IF(M73="Ambassador","1 - Ambassador",IF(M73="Member","2 - Member",IF(J73="Completed","3 - Presented",IF(H73&lt;&gt;"","4 - Sent",IF(F73&lt;&gt;"","5 - Contacted","6 - No Activity"))))))</f>
        <v/>
      </c>
      <c r="X73" s="25">
        <f>IF(AND($A73="",$B73=""),9999999+(ROW()-4),VALUE(LEFT($W73,1))*10000+(ROW()-4))</f>
        <v/>
      </c>
    </row>
    <row r="74" ht="15" customHeight="1" s="20">
      <c r="A74" s="25" t="n"/>
      <c r="B74" s="25" t="n"/>
      <c r="C74" s="25" t="n"/>
      <c r="D74" s="25" t="n"/>
      <c r="E74" s="25" t="n"/>
      <c r="F74" s="26" t="n"/>
      <c r="G74" s="25" t="n"/>
      <c r="H74" s="25" t="n"/>
      <c r="I74" s="26" t="n"/>
      <c r="J74" s="25" t="n"/>
      <c r="K74" s="26" t="n"/>
      <c r="L74" s="25" t="n"/>
      <c r="M74" s="25" t="n"/>
      <c r="N74" s="26" t="n"/>
      <c r="O74" s="25" t="n"/>
      <c r="P74" s="25" t="n"/>
      <c r="Q74" s="26" t="n"/>
      <c r="R74" s="25">
        <f>IF(AND($A74="",$B74=""),"",IF(Q74="Complete","Onboarded",IF(OR(M74="Member",M74="Ambassador"),"Sponsored",IF(K74&lt;&gt;"","Follow-Up",IF(I74&lt;&gt;"","Presented",IF(F74&lt;&gt;"","Contacted","New Lead"))))))</f>
        <v/>
      </c>
      <c r="S74" s="25" t="n"/>
      <c r="T74" s="25">
        <f>IF(MAX(F74,I74,K74)=0,"",TODAY()-MAX(F74,I74,K74))</f>
        <v/>
      </c>
      <c r="U74" s="25" t="n"/>
      <c r="V74" s="25" t="n"/>
      <c r="W74" s="25">
        <f>IF(AND($A74="",$B74=""),"",IF(M74="Ambassador","1 - Ambassador",IF(M74="Member","2 - Member",IF(J74="Completed","3 - Presented",IF(H74&lt;&gt;"","4 - Sent",IF(F74&lt;&gt;"","5 - Contacted","6 - No Activity"))))))</f>
        <v/>
      </c>
      <c r="X74" s="25">
        <f>IF(AND($A74="",$B74=""),9999999+(ROW()-4),VALUE(LEFT($W74,1))*10000+(ROW()-4))</f>
        <v/>
      </c>
    </row>
    <row r="75" ht="15" customHeight="1" s="20">
      <c r="A75" s="25" t="n"/>
      <c r="B75" s="25" t="n"/>
      <c r="C75" s="25" t="n"/>
      <c r="D75" s="25" t="n"/>
      <c r="E75" s="25" t="n"/>
      <c r="F75" s="26" t="n"/>
      <c r="G75" s="25" t="n"/>
      <c r="H75" s="25" t="n"/>
      <c r="I75" s="26" t="n"/>
      <c r="J75" s="25" t="n"/>
      <c r="K75" s="26" t="n"/>
      <c r="L75" s="25" t="n"/>
      <c r="M75" s="25" t="n"/>
      <c r="N75" s="26" t="n"/>
      <c r="O75" s="25" t="n"/>
      <c r="P75" s="25" t="n"/>
      <c r="Q75" s="26" t="n"/>
      <c r="R75" s="25">
        <f>IF(AND($A75="",$B75=""),"",IF(Q75="Complete","Onboarded",IF(OR(M75="Member",M75="Ambassador"),"Sponsored",IF(K75&lt;&gt;"","Follow-Up",IF(I75&lt;&gt;"","Presented",IF(F75&lt;&gt;"","Contacted","New Lead"))))))</f>
        <v/>
      </c>
      <c r="S75" s="25" t="n"/>
      <c r="T75" s="25">
        <f>IF(MAX(F75,I75,K75)=0,"",TODAY()-MAX(F75,I75,K75))</f>
        <v/>
      </c>
      <c r="U75" s="25" t="n"/>
      <c r="V75" s="25" t="n"/>
      <c r="W75" s="25">
        <f>IF(AND($A75="",$B75=""),"",IF(M75="Ambassador","1 - Ambassador",IF(M75="Member","2 - Member",IF(J75="Completed","3 - Presented",IF(H75&lt;&gt;"","4 - Sent",IF(F75&lt;&gt;"","5 - Contacted","6 - No Activity"))))))</f>
        <v/>
      </c>
      <c r="X75" s="25">
        <f>IF(AND($A75="",$B75=""),9999999+(ROW()-4),VALUE(LEFT($W75,1))*10000+(ROW()-4))</f>
        <v/>
      </c>
    </row>
    <row r="76" ht="15" customHeight="1" s="20">
      <c r="A76" s="25" t="n"/>
      <c r="B76" s="25" t="n"/>
      <c r="C76" s="25" t="n"/>
      <c r="D76" s="25" t="n"/>
      <c r="E76" s="25" t="n"/>
      <c r="F76" s="26" t="n"/>
      <c r="G76" s="25" t="n"/>
      <c r="H76" s="25" t="n"/>
      <c r="I76" s="26" t="n"/>
      <c r="J76" s="25" t="n"/>
      <c r="K76" s="26" t="n"/>
      <c r="L76" s="25" t="n"/>
      <c r="M76" s="25" t="n"/>
      <c r="N76" s="26" t="n"/>
      <c r="O76" s="25" t="n"/>
      <c r="P76" s="25" t="n"/>
      <c r="Q76" s="26" t="n"/>
      <c r="R76" s="25">
        <f>IF(AND($A76="",$B76=""),"",IF(Q76="Complete","Onboarded",IF(OR(M76="Member",M76="Ambassador"),"Sponsored",IF(K76&lt;&gt;"","Follow-Up",IF(I76&lt;&gt;"","Presented",IF(F76&lt;&gt;"","Contacted","New Lead"))))))</f>
        <v/>
      </c>
      <c r="S76" s="25" t="n"/>
      <c r="T76" s="25">
        <f>IF(MAX(F76,I76,K76)=0,"",TODAY()-MAX(F76,I76,K76))</f>
        <v/>
      </c>
      <c r="U76" s="25" t="n"/>
      <c r="V76" s="25" t="n"/>
      <c r="W76" s="25">
        <f>IF(AND($A76="",$B76=""),"",IF(M76="Ambassador","1 - Ambassador",IF(M76="Member","2 - Member",IF(J76="Completed","3 - Presented",IF(H76&lt;&gt;"","4 - Sent",IF(F76&lt;&gt;"","5 - Contacted","6 - No Activity"))))))</f>
        <v/>
      </c>
      <c r="X76" s="25">
        <f>IF(AND($A76="",$B76=""),9999999+(ROW()-4),VALUE(LEFT($W76,1))*10000+(ROW()-4))</f>
        <v/>
      </c>
    </row>
    <row r="77" ht="15" customHeight="1" s="20">
      <c r="A77" s="25" t="n"/>
      <c r="B77" s="25" t="n"/>
      <c r="C77" s="25" t="n"/>
      <c r="D77" s="25" t="n"/>
      <c r="E77" s="25" t="n"/>
      <c r="F77" s="26" t="n"/>
      <c r="G77" s="25" t="n"/>
      <c r="H77" s="25" t="n"/>
      <c r="I77" s="26" t="n"/>
      <c r="J77" s="25" t="n"/>
      <c r="K77" s="26" t="n"/>
      <c r="L77" s="25" t="n"/>
      <c r="M77" s="25" t="n"/>
      <c r="N77" s="26" t="n"/>
      <c r="O77" s="25" t="n"/>
      <c r="P77" s="25" t="n"/>
      <c r="Q77" s="26" t="n"/>
      <c r="R77" s="25">
        <f>IF(AND($A77="",$B77=""),"",IF(Q77="Complete","Onboarded",IF(OR(M77="Member",M77="Ambassador"),"Sponsored",IF(K77&lt;&gt;"","Follow-Up",IF(I77&lt;&gt;"","Presented",IF(F77&lt;&gt;"","Contacted","New Lead"))))))</f>
        <v/>
      </c>
      <c r="S77" s="25" t="n"/>
      <c r="T77" s="25">
        <f>IF(MAX(F77,I77,K77)=0,"",TODAY()-MAX(F77,I77,K77))</f>
        <v/>
      </c>
      <c r="U77" s="25" t="n"/>
      <c r="V77" s="25" t="n"/>
      <c r="W77" s="25">
        <f>IF(AND($A77="",$B77=""),"",IF(M77="Ambassador","1 - Ambassador",IF(M77="Member","2 - Member",IF(J77="Completed","3 - Presented",IF(H77&lt;&gt;"","4 - Sent",IF(F77&lt;&gt;"","5 - Contacted","6 - No Activity"))))))</f>
        <v/>
      </c>
      <c r="X77" s="25">
        <f>IF(AND($A77="",$B77=""),9999999+(ROW()-4),VALUE(LEFT($W77,1))*10000+(ROW()-4))</f>
        <v/>
      </c>
    </row>
    <row r="78" ht="15" customHeight="1" s="20">
      <c r="A78" s="25" t="n"/>
      <c r="B78" s="25" t="n"/>
      <c r="C78" s="25" t="n"/>
      <c r="D78" s="25" t="n"/>
      <c r="E78" s="25" t="n"/>
      <c r="F78" s="26" t="n"/>
      <c r="G78" s="25" t="n"/>
      <c r="H78" s="25" t="n"/>
      <c r="I78" s="26" t="n"/>
      <c r="J78" s="25" t="n"/>
      <c r="K78" s="26" t="n"/>
      <c r="L78" s="25" t="n"/>
      <c r="M78" s="25" t="n"/>
      <c r="N78" s="26" t="n"/>
      <c r="O78" s="25" t="n"/>
      <c r="P78" s="25" t="n"/>
      <c r="Q78" s="26" t="n"/>
      <c r="R78" s="25">
        <f>IF(AND($A78="",$B78=""),"",IF(Q78="Complete","Onboarded",IF(OR(M78="Member",M78="Ambassador"),"Sponsored",IF(K78&lt;&gt;"","Follow-Up",IF(I78&lt;&gt;"","Presented",IF(F78&lt;&gt;"","Contacted","New Lead"))))))</f>
        <v/>
      </c>
      <c r="S78" s="25" t="n"/>
      <c r="T78" s="25">
        <f>IF(MAX(F78,I78,K78)=0,"",TODAY()-MAX(F78,I78,K78))</f>
        <v/>
      </c>
      <c r="U78" s="25" t="n"/>
      <c r="V78" s="25" t="n"/>
      <c r="W78" s="25">
        <f>IF(AND($A78="",$B78=""),"",IF(M78="Ambassador","1 - Ambassador",IF(M78="Member","2 - Member",IF(J78="Completed","3 - Presented",IF(H78&lt;&gt;"","4 - Sent",IF(F78&lt;&gt;"","5 - Contacted","6 - No Activity"))))))</f>
        <v/>
      </c>
      <c r="X78" s="25">
        <f>IF(AND($A78="",$B78=""),9999999+(ROW()-4),VALUE(LEFT($W78,1))*10000+(ROW()-4))</f>
        <v/>
      </c>
    </row>
    <row r="79" ht="15" customHeight="1" s="20">
      <c r="A79" s="25" t="n"/>
      <c r="B79" s="25" t="n"/>
      <c r="C79" s="25" t="n"/>
      <c r="D79" s="25" t="n"/>
      <c r="E79" s="25" t="n"/>
      <c r="F79" s="26" t="n"/>
      <c r="G79" s="25" t="n"/>
      <c r="H79" s="25" t="n"/>
      <c r="I79" s="26" t="n"/>
      <c r="J79" s="25" t="n"/>
      <c r="K79" s="26" t="n"/>
      <c r="L79" s="25" t="n"/>
      <c r="M79" s="25" t="n"/>
      <c r="N79" s="26" t="n"/>
      <c r="O79" s="25" t="n"/>
      <c r="P79" s="25" t="n"/>
      <c r="Q79" s="26" t="n"/>
      <c r="R79" s="25">
        <f>IF(AND($A79="",$B79=""),"",IF(Q79="Complete","Onboarded",IF(OR(M79="Member",M79="Ambassador"),"Sponsored",IF(K79&lt;&gt;"","Follow-Up",IF(I79&lt;&gt;"","Presented",IF(F79&lt;&gt;"","Contacted","New Lead"))))))</f>
        <v/>
      </c>
      <c r="S79" s="25" t="n"/>
      <c r="T79" s="25">
        <f>IF(MAX(F79,I79,K79)=0,"",TODAY()-MAX(F79,I79,K79))</f>
        <v/>
      </c>
      <c r="U79" s="25" t="n"/>
      <c r="V79" s="25" t="n"/>
      <c r="W79" s="25">
        <f>IF(AND($A79="",$B79=""),"",IF(M79="Ambassador","1 - Ambassador",IF(M79="Member","2 - Member",IF(J79="Completed","3 - Presented",IF(H79&lt;&gt;"","4 - Sent",IF(F79&lt;&gt;"","5 - Contacted","6 - No Activity"))))))</f>
        <v/>
      </c>
      <c r="X79" s="25">
        <f>IF(AND($A79="",$B79=""),9999999+(ROW()-4),VALUE(LEFT($W79,1))*10000+(ROW()-4))</f>
        <v/>
      </c>
    </row>
    <row r="80" ht="15" customHeight="1" s="20">
      <c r="A80" s="25" t="n"/>
      <c r="B80" s="25" t="n"/>
      <c r="C80" s="25" t="n"/>
      <c r="D80" s="25" t="n"/>
      <c r="E80" s="25" t="n"/>
      <c r="F80" s="26" t="n"/>
      <c r="G80" s="25" t="n"/>
      <c r="H80" s="25" t="n"/>
      <c r="I80" s="26" t="n"/>
      <c r="J80" s="25" t="n"/>
      <c r="K80" s="26" t="n"/>
      <c r="L80" s="25" t="n"/>
      <c r="M80" s="25" t="n"/>
      <c r="N80" s="26" t="n"/>
      <c r="O80" s="25" t="n"/>
      <c r="P80" s="25" t="n"/>
      <c r="Q80" s="26" t="n"/>
      <c r="R80" s="25">
        <f>IF(AND($A80="",$B80=""),"",IF(Q80="Complete","Onboarded",IF(OR(M80="Member",M80="Ambassador"),"Sponsored",IF(K80&lt;&gt;"","Follow-Up",IF(I80&lt;&gt;"","Presented",IF(F80&lt;&gt;"","Contacted","New Lead"))))))</f>
        <v/>
      </c>
      <c r="S80" s="25" t="n"/>
      <c r="T80" s="25">
        <f>IF(MAX(F80,I80,K80)=0,"",TODAY()-MAX(F80,I80,K80))</f>
        <v/>
      </c>
      <c r="U80" s="25" t="n"/>
      <c r="V80" s="25" t="n"/>
      <c r="W80" s="25">
        <f>IF(AND($A80="",$B80=""),"",IF(M80="Ambassador","1 - Ambassador",IF(M80="Member","2 - Member",IF(J80="Completed","3 - Presented",IF(H80&lt;&gt;"","4 - Sent",IF(F80&lt;&gt;"","5 - Contacted","6 - No Activity"))))))</f>
        <v/>
      </c>
      <c r="X80" s="25">
        <f>IF(AND($A80="",$B80=""),9999999+(ROW()-4),VALUE(LEFT($W80,1))*10000+(ROW()-4))</f>
        <v/>
      </c>
    </row>
    <row r="81" ht="15" customHeight="1" s="20">
      <c r="A81" s="25" t="n"/>
      <c r="B81" s="25" t="n"/>
      <c r="C81" s="25" t="n"/>
      <c r="D81" s="25" t="n"/>
      <c r="E81" s="25" t="n"/>
      <c r="F81" s="26" t="n"/>
      <c r="G81" s="25" t="n"/>
      <c r="H81" s="25" t="n"/>
      <c r="I81" s="26" t="n"/>
      <c r="J81" s="25" t="n"/>
      <c r="K81" s="26" t="n"/>
      <c r="L81" s="25" t="n"/>
      <c r="M81" s="25" t="n"/>
      <c r="N81" s="26" t="n"/>
      <c r="O81" s="25" t="n"/>
      <c r="P81" s="25" t="n"/>
      <c r="Q81" s="26" t="n"/>
      <c r="R81" s="25">
        <f>IF(AND($A81="",$B81=""),"",IF(Q81="Complete","Onboarded",IF(OR(M81="Member",M81="Ambassador"),"Sponsored",IF(K81&lt;&gt;"","Follow-Up",IF(I81&lt;&gt;"","Presented",IF(F81&lt;&gt;"","Contacted","New Lead"))))))</f>
        <v/>
      </c>
      <c r="S81" s="25" t="n"/>
      <c r="T81" s="25">
        <f>IF(MAX(F81,I81,K81)=0,"",TODAY()-MAX(F81,I81,K81))</f>
        <v/>
      </c>
      <c r="U81" s="25" t="n"/>
      <c r="V81" s="25" t="n"/>
      <c r="W81" s="25">
        <f>IF(AND($A81="",$B81=""),"",IF(M81="Ambassador","1 - Ambassador",IF(M81="Member","2 - Member",IF(J81="Completed","3 - Presented",IF(H81&lt;&gt;"","4 - Sent",IF(F81&lt;&gt;"","5 - Contacted","6 - No Activity"))))))</f>
        <v/>
      </c>
      <c r="X81" s="25">
        <f>IF(AND($A81="",$B81=""),9999999+(ROW()-4),VALUE(LEFT($W81,1))*10000+(ROW()-4))</f>
        <v/>
      </c>
    </row>
    <row r="82" ht="15" customHeight="1" s="20">
      <c r="A82" s="25" t="n"/>
      <c r="B82" s="25" t="n"/>
      <c r="C82" s="25" t="n"/>
      <c r="D82" s="25" t="n"/>
      <c r="E82" s="25" t="n"/>
      <c r="F82" s="26" t="n"/>
      <c r="G82" s="25" t="n"/>
      <c r="H82" s="25" t="n"/>
      <c r="I82" s="26" t="n"/>
      <c r="J82" s="25" t="n"/>
      <c r="K82" s="26" t="n"/>
      <c r="L82" s="25" t="n"/>
      <c r="M82" s="25" t="n"/>
      <c r="N82" s="26" t="n"/>
      <c r="O82" s="25" t="n"/>
      <c r="P82" s="25" t="n"/>
      <c r="Q82" s="26" t="n"/>
      <c r="R82" s="25">
        <f>IF(AND($A82="",$B82=""),"",IF(Q82="Complete","Onboarded",IF(OR(M82="Member",M82="Ambassador"),"Sponsored",IF(K82&lt;&gt;"","Follow-Up",IF(I82&lt;&gt;"","Presented",IF(F82&lt;&gt;"","Contacted","New Lead"))))))</f>
        <v/>
      </c>
      <c r="S82" s="25" t="n"/>
      <c r="T82" s="25">
        <f>IF(MAX(F82,I82,K82)=0,"",TODAY()-MAX(F82,I82,K82))</f>
        <v/>
      </c>
      <c r="U82" s="25" t="n"/>
      <c r="V82" s="25" t="n"/>
      <c r="W82" s="25">
        <f>IF(AND($A82="",$B82=""),"",IF(M82="Ambassador","1 - Ambassador",IF(M82="Member","2 - Member",IF(J82="Completed","3 - Presented",IF(H82&lt;&gt;"","4 - Sent",IF(F82&lt;&gt;"","5 - Contacted","6 - No Activity"))))))</f>
        <v/>
      </c>
      <c r="X82" s="25">
        <f>IF(AND($A82="",$B82=""),9999999+(ROW()-4),VALUE(LEFT($W82,1))*10000+(ROW()-4))</f>
        <v/>
      </c>
    </row>
    <row r="83" ht="15" customHeight="1" s="20">
      <c r="A83" s="25" t="n"/>
      <c r="B83" s="25" t="n"/>
      <c r="C83" s="25" t="n"/>
      <c r="D83" s="25" t="n"/>
      <c r="E83" s="25" t="n"/>
      <c r="F83" s="26" t="n"/>
      <c r="G83" s="25" t="n"/>
      <c r="H83" s="25" t="n"/>
      <c r="I83" s="26" t="n"/>
      <c r="J83" s="25" t="n"/>
      <c r="K83" s="26" t="n"/>
      <c r="L83" s="25" t="n"/>
      <c r="M83" s="25" t="n"/>
      <c r="N83" s="26" t="n"/>
      <c r="O83" s="25" t="n"/>
      <c r="P83" s="25" t="n"/>
      <c r="Q83" s="26" t="n"/>
      <c r="R83" s="25">
        <f>IF(AND($A83="",$B83=""),"",IF(Q83="Complete","Onboarded",IF(OR(M83="Member",M83="Ambassador"),"Sponsored",IF(K83&lt;&gt;"","Follow-Up",IF(I83&lt;&gt;"","Presented",IF(F83&lt;&gt;"","Contacted","New Lead"))))))</f>
        <v/>
      </c>
      <c r="S83" s="25" t="n"/>
      <c r="T83" s="25">
        <f>IF(MAX(F83,I83,K83)=0,"",TODAY()-MAX(F83,I83,K83))</f>
        <v/>
      </c>
      <c r="U83" s="25" t="n"/>
      <c r="V83" s="25" t="n"/>
      <c r="W83" s="25">
        <f>IF(AND($A83="",$B83=""),"",IF(M83="Ambassador","1 - Ambassador",IF(M83="Member","2 - Member",IF(J83="Completed","3 - Presented",IF(H83&lt;&gt;"","4 - Sent",IF(F83&lt;&gt;"","5 - Contacted","6 - No Activity"))))))</f>
        <v/>
      </c>
      <c r="X83" s="25">
        <f>IF(AND($A83="",$B83=""),9999999+(ROW()-4),VALUE(LEFT($W83,1))*10000+(ROW()-4))</f>
        <v/>
      </c>
    </row>
    <row r="84" ht="15" customHeight="1" s="20">
      <c r="A84" s="25" t="n"/>
      <c r="B84" s="25" t="n"/>
      <c r="C84" s="25" t="n"/>
      <c r="D84" s="25" t="n"/>
      <c r="E84" s="25" t="n"/>
      <c r="F84" s="26" t="n"/>
      <c r="G84" s="25" t="n"/>
      <c r="H84" s="25" t="n"/>
      <c r="I84" s="26" t="n"/>
      <c r="J84" s="25" t="n"/>
      <c r="K84" s="26" t="n"/>
      <c r="L84" s="25" t="n"/>
      <c r="M84" s="25" t="n"/>
      <c r="N84" s="26" t="n"/>
      <c r="O84" s="25" t="n"/>
      <c r="P84" s="25" t="n"/>
      <c r="Q84" s="26" t="n"/>
      <c r="R84" s="25">
        <f>IF(AND($A84="",$B84=""),"",IF(Q84="Complete","Onboarded",IF(OR(M84="Member",M84="Ambassador"),"Sponsored",IF(K84&lt;&gt;"","Follow-Up",IF(I84&lt;&gt;"","Presented",IF(F84&lt;&gt;"","Contacted","New Lead"))))))</f>
        <v/>
      </c>
      <c r="S84" s="25" t="n"/>
      <c r="T84" s="25">
        <f>IF(MAX(F84,I84,K84)=0,"",TODAY()-MAX(F84,I84,K84))</f>
        <v/>
      </c>
      <c r="U84" s="25" t="n"/>
      <c r="V84" s="25" t="n"/>
      <c r="W84" s="25">
        <f>IF(AND($A84="",$B84=""),"",IF(M84="Ambassador","1 - Ambassador",IF(M84="Member","2 - Member",IF(J84="Completed","3 - Presented",IF(H84&lt;&gt;"","4 - Sent",IF(F84&lt;&gt;"","5 - Contacted","6 - No Activity"))))))</f>
        <v/>
      </c>
      <c r="X84" s="25">
        <f>IF(AND($A84="",$B84=""),9999999+(ROW()-4),VALUE(LEFT($W84,1))*10000+(ROW()-4))</f>
        <v/>
      </c>
    </row>
    <row r="85" ht="15" customHeight="1" s="20">
      <c r="A85" s="25" t="n"/>
      <c r="B85" s="25" t="n"/>
      <c r="C85" s="25" t="n"/>
      <c r="D85" s="25" t="n"/>
      <c r="E85" s="25" t="n"/>
      <c r="F85" s="26" t="n"/>
      <c r="G85" s="25" t="n"/>
      <c r="H85" s="25" t="n"/>
      <c r="I85" s="26" t="n"/>
      <c r="J85" s="25" t="n"/>
      <c r="K85" s="26" t="n"/>
      <c r="L85" s="25" t="n"/>
      <c r="M85" s="25" t="n"/>
      <c r="N85" s="26" t="n"/>
      <c r="O85" s="25" t="n"/>
      <c r="P85" s="25" t="n"/>
      <c r="Q85" s="26" t="n"/>
      <c r="R85" s="25">
        <f>IF(AND($A85="",$B85=""),"",IF(Q85="Complete","Onboarded",IF(OR(M85="Member",M85="Ambassador"),"Sponsored",IF(K85&lt;&gt;"","Follow-Up",IF(I85&lt;&gt;"","Presented",IF(F85&lt;&gt;"","Contacted","New Lead"))))))</f>
        <v/>
      </c>
      <c r="S85" s="25" t="n"/>
      <c r="T85" s="25">
        <f>IF(MAX(F85,I85,K85)=0,"",TODAY()-MAX(F85,I85,K85))</f>
        <v/>
      </c>
      <c r="U85" s="25" t="n"/>
      <c r="V85" s="25" t="n"/>
      <c r="W85" s="25">
        <f>IF(AND($A85="",$B85=""),"",IF(M85="Ambassador","1 - Ambassador",IF(M85="Member","2 - Member",IF(J85="Completed","3 - Presented",IF(H85&lt;&gt;"","4 - Sent",IF(F85&lt;&gt;"","5 - Contacted","6 - No Activity"))))))</f>
        <v/>
      </c>
      <c r="X85" s="25">
        <f>IF(AND($A85="",$B85=""),9999999+(ROW()-4),VALUE(LEFT($W85,1))*10000+(ROW()-4))</f>
        <v/>
      </c>
    </row>
    <row r="86" ht="15" customHeight="1" s="20">
      <c r="A86" s="25" t="n"/>
      <c r="B86" s="25" t="n"/>
      <c r="C86" s="25" t="n"/>
      <c r="D86" s="25" t="n"/>
      <c r="E86" s="25" t="n"/>
      <c r="F86" s="26" t="n"/>
      <c r="G86" s="25" t="n"/>
      <c r="H86" s="25" t="n"/>
      <c r="I86" s="26" t="n"/>
      <c r="J86" s="25" t="n"/>
      <c r="K86" s="26" t="n"/>
      <c r="L86" s="25" t="n"/>
      <c r="M86" s="25" t="n"/>
      <c r="N86" s="26" t="n"/>
      <c r="O86" s="25" t="n"/>
      <c r="P86" s="25" t="n"/>
      <c r="Q86" s="26" t="n"/>
      <c r="R86" s="25">
        <f>IF(AND($A86="",$B86=""),"",IF(Q86="Complete","Onboarded",IF(OR(M86="Member",M86="Ambassador"),"Sponsored",IF(K86&lt;&gt;"","Follow-Up",IF(I86&lt;&gt;"","Presented",IF(F86&lt;&gt;"","Contacted","New Lead"))))))</f>
        <v/>
      </c>
      <c r="S86" s="25" t="n"/>
      <c r="T86" s="25">
        <f>IF(MAX(F86,I86,K86)=0,"",TODAY()-MAX(F86,I86,K86))</f>
        <v/>
      </c>
      <c r="U86" s="25" t="n"/>
      <c r="V86" s="25" t="n"/>
      <c r="W86" s="25">
        <f>IF(AND($A86="",$B86=""),"",IF(M86="Ambassador","1 - Ambassador",IF(M86="Member","2 - Member",IF(J86="Completed","3 - Presented",IF(H86&lt;&gt;"","4 - Sent",IF(F86&lt;&gt;"","5 - Contacted","6 - No Activity"))))))</f>
        <v/>
      </c>
      <c r="X86" s="25">
        <f>IF(AND($A86="",$B86=""),9999999+(ROW()-4),VALUE(LEFT($W86,1))*10000+(ROW()-4))</f>
        <v/>
      </c>
    </row>
    <row r="87" ht="15" customHeight="1" s="20">
      <c r="A87" s="25" t="n"/>
      <c r="B87" s="25" t="n"/>
      <c r="C87" s="25" t="n"/>
      <c r="D87" s="25" t="n"/>
      <c r="E87" s="25" t="n"/>
      <c r="F87" s="26" t="n"/>
      <c r="G87" s="25" t="n"/>
      <c r="H87" s="25" t="n"/>
      <c r="I87" s="26" t="n"/>
      <c r="J87" s="25" t="n"/>
      <c r="K87" s="26" t="n"/>
      <c r="L87" s="25" t="n"/>
      <c r="M87" s="25" t="n"/>
      <c r="N87" s="26" t="n"/>
      <c r="O87" s="25" t="n"/>
      <c r="P87" s="25" t="n"/>
      <c r="Q87" s="26" t="n"/>
      <c r="R87" s="25">
        <f>IF(AND($A87="",$B87=""),"",IF(Q87="Complete","Onboarded",IF(OR(M87="Member",M87="Ambassador"),"Sponsored",IF(K87&lt;&gt;"","Follow-Up",IF(I87&lt;&gt;"","Presented",IF(F87&lt;&gt;"","Contacted","New Lead"))))))</f>
        <v/>
      </c>
      <c r="S87" s="25" t="n"/>
      <c r="T87" s="25">
        <f>IF(MAX(F87,I87,K87)=0,"",TODAY()-MAX(F87,I87,K87))</f>
        <v/>
      </c>
      <c r="U87" s="25" t="n"/>
      <c r="V87" s="25" t="n"/>
      <c r="W87" s="25">
        <f>IF(AND($A87="",$B87=""),"",IF(M87="Ambassador","1 - Ambassador",IF(M87="Member","2 - Member",IF(J87="Completed","3 - Presented",IF(H87&lt;&gt;"","4 - Sent",IF(F87&lt;&gt;"","5 - Contacted","6 - No Activity"))))))</f>
        <v/>
      </c>
      <c r="X87" s="25">
        <f>IF(AND($A87="",$B87=""),9999999+(ROW()-4),VALUE(LEFT($W87,1))*10000+(ROW()-4))</f>
        <v/>
      </c>
    </row>
    <row r="88" ht="15" customHeight="1" s="20">
      <c r="A88" s="25" t="n"/>
      <c r="B88" s="25" t="n"/>
      <c r="C88" s="25" t="n"/>
      <c r="D88" s="25" t="n"/>
      <c r="E88" s="25" t="n"/>
      <c r="F88" s="26" t="n"/>
      <c r="G88" s="25" t="n"/>
      <c r="H88" s="25" t="n"/>
      <c r="I88" s="26" t="n"/>
      <c r="J88" s="25" t="n"/>
      <c r="K88" s="26" t="n"/>
      <c r="L88" s="25" t="n"/>
      <c r="M88" s="25" t="n"/>
      <c r="N88" s="26" t="n"/>
      <c r="O88" s="25" t="n"/>
      <c r="P88" s="25" t="n"/>
      <c r="Q88" s="26" t="n"/>
      <c r="R88" s="25">
        <f>IF(AND($A88="",$B88=""),"",IF(Q88="Complete","Onboarded",IF(OR(M88="Member",M88="Ambassador"),"Sponsored",IF(K88&lt;&gt;"","Follow-Up",IF(I88&lt;&gt;"","Presented",IF(F88&lt;&gt;"","Contacted","New Lead"))))))</f>
        <v/>
      </c>
      <c r="S88" s="25" t="n"/>
      <c r="T88" s="25">
        <f>IF(MAX(F88,I88,K88)=0,"",TODAY()-MAX(F88,I88,K88))</f>
        <v/>
      </c>
      <c r="U88" s="25" t="n"/>
      <c r="V88" s="25" t="n"/>
      <c r="W88" s="25">
        <f>IF(AND($A88="",$B88=""),"",IF(M88="Ambassador","1 - Ambassador",IF(M88="Member","2 - Member",IF(J88="Completed","3 - Presented",IF(H88&lt;&gt;"","4 - Sent",IF(F88&lt;&gt;"","5 - Contacted","6 - No Activity"))))))</f>
        <v/>
      </c>
      <c r="X88" s="25">
        <f>IF(AND($A88="",$B88=""),9999999+(ROW()-4),VALUE(LEFT($W88,1))*10000+(ROW()-4))</f>
        <v/>
      </c>
    </row>
    <row r="89" ht="15" customHeight="1" s="20">
      <c r="A89" s="25" t="n"/>
      <c r="B89" s="25" t="n"/>
      <c r="C89" s="25" t="n"/>
      <c r="D89" s="25" t="n"/>
      <c r="E89" s="25" t="n"/>
      <c r="F89" s="26" t="n"/>
      <c r="G89" s="25" t="n"/>
      <c r="H89" s="25" t="n"/>
      <c r="I89" s="26" t="n"/>
      <c r="J89" s="25" t="n"/>
      <c r="K89" s="26" t="n"/>
      <c r="L89" s="25" t="n"/>
      <c r="M89" s="25" t="n"/>
      <c r="N89" s="26" t="n"/>
      <c r="O89" s="25" t="n"/>
      <c r="P89" s="25" t="n"/>
      <c r="Q89" s="26" t="n"/>
      <c r="R89" s="25">
        <f>IF(AND($A89="",$B89=""),"",IF(Q89="Complete","Onboarded",IF(OR(M89="Member",M89="Ambassador"),"Sponsored",IF(K89&lt;&gt;"","Follow-Up",IF(I89&lt;&gt;"","Presented",IF(F89&lt;&gt;"","Contacted","New Lead"))))))</f>
        <v/>
      </c>
      <c r="S89" s="25" t="n"/>
      <c r="T89" s="25">
        <f>IF(MAX(F89,I89,K89)=0,"",TODAY()-MAX(F89,I89,K89))</f>
        <v/>
      </c>
      <c r="U89" s="25" t="n"/>
      <c r="V89" s="25" t="n"/>
      <c r="W89" s="25">
        <f>IF(AND($A89="",$B89=""),"",IF(M89="Ambassador","1 - Ambassador",IF(M89="Member","2 - Member",IF(J89="Completed","3 - Presented",IF(H89&lt;&gt;"","4 - Sent",IF(F89&lt;&gt;"","5 - Contacted","6 - No Activity"))))))</f>
        <v/>
      </c>
      <c r="X89" s="25">
        <f>IF(AND($A89="",$B89=""),9999999+(ROW()-4),VALUE(LEFT($W89,1))*10000+(ROW()-4))</f>
        <v/>
      </c>
    </row>
    <row r="90" ht="15" customHeight="1" s="20">
      <c r="A90" s="25" t="n"/>
      <c r="B90" s="25" t="n"/>
      <c r="C90" s="25" t="n"/>
      <c r="D90" s="25" t="n"/>
      <c r="E90" s="25" t="n"/>
      <c r="F90" s="26" t="n"/>
      <c r="G90" s="25" t="n"/>
      <c r="H90" s="25" t="n"/>
      <c r="I90" s="26" t="n"/>
      <c r="J90" s="25" t="n"/>
      <c r="K90" s="26" t="n"/>
      <c r="L90" s="25" t="n"/>
      <c r="M90" s="25" t="n"/>
      <c r="N90" s="26" t="n"/>
      <c r="O90" s="25" t="n"/>
      <c r="P90" s="25" t="n"/>
      <c r="Q90" s="26" t="n"/>
      <c r="R90" s="25">
        <f>IF(AND($A90="",$B90=""),"",IF(Q90="Complete","Onboarded",IF(OR(M90="Member",M90="Ambassador"),"Sponsored",IF(K90&lt;&gt;"","Follow-Up",IF(I90&lt;&gt;"","Presented",IF(F90&lt;&gt;"","Contacted","New Lead"))))))</f>
        <v/>
      </c>
      <c r="S90" s="25" t="n"/>
      <c r="T90" s="25">
        <f>IF(MAX(F90,I90,K90)=0,"",TODAY()-MAX(F90,I90,K90))</f>
        <v/>
      </c>
      <c r="U90" s="25" t="n"/>
      <c r="V90" s="25" t="n"/>
      <c r="W90" s="25">
        <f>IF(AND($A90="",$B90=""),"",IF(M90="Ambassador","1 - Ambassador",IF(M90="Member","2 - Member",IF(J90="Completed","3 - Presented",IF(H90&lt;&gt;"","4 - Sent",IF(F90&lt;&gt;"","5 - Contacted","6 - No Activity"))))))</f>
        <v/>
      </c>
      <c r="X90" s="25">
        <f>IF(AND($A90="",$B90=""),9999999+(ROW()-4),VALUE(LEFT($W90,1))*10000+(ROW()-4))</f>
        <v/>
      </c>
    </row>
    <row r="91" ht="15" customHeight="1" s="20">
      <c r="A91" s="25" t="n"/>
      <c r="B91" s="25" t="n"/>
      <c r="C91" s="25" t="n"/>
      <c r="D91" s="25" t="n"/>
      <c r="E91" s="25" t="n"/>
      <c r="F91" s="26" t="n"/>
      <c r="G91" s="25" t="n"/>
      <c r="H91" s="25" t="n"/>
      <c r="I91" s="26" t="n"/>
      <c r="J91" s="25" t="n"/>
      <c r="K91" s="26" t="n"/>
      <c r="L91" s="25" t="n"/>
      <c r="M91" s="25" t="n"/>
      <c r="N91" s="26" t="n"/>
      <c r="O91" s="25" t="n"/>
      <c r="P91" s="25" t="n"/>
      <c r="Q91" s="26" t="n"/>
      <c r="R91" s="25">
        <f>IF(AND($A91="",$B91=""),"",IF(Q91="Complete","Onboarded",IF(OR(M91="Member",M91="Ambassador"),"Sponsored",IF(K91&lt;&gt;"","Follow-Up",IF(I91&lt;&gt;"","Presented",IF(F91&lt;&gt;"","Contacted","New Lead"))))))</f>
        <v/>
      </c>
      <c r="S91" s="25" t="n"/>
      <c r="T91" s="25">
        <f>IF(MAX(F91,I91,K91)=0,"",TODAY()-MAX(F91,I91,K91))</f>
        <v/>
      </c>
      <c r="U91" s="25" t="n"/>
      <c r="V91" s="25" t="n"/>
      <c r="W91" s="25">
        <f>IF(AND($A91="",$B91=""),"",IF(M91="Ambassador","1 - Ambassador",IF(M91="Member","2 - Member",IF(J91="Completed","3 - Presented",IF(H91&lt;&gt;"","4 - Sent",IF(F91&lt;&gt;"","5 - Contacted","6 - No Activity"))))))</f>
        <v/>
      </c>
      <c r="X91" s="25">
        <f>IF(AND($A91="",$B91=""),9999999+(ROW()-4),VALUE(LEFT($W91,1))*10000+(ROW()-4))</f>
        <v/>
      </c>
    </row>
    <row r="92" ht="15" customHeight="1" s="20">
      <c r="A92" s="25" t="n"/>
      <c r="B92" s="25" t="n"/>
      <c r="C92" s="25" t="n"/>
      <c r="D92" s="25" t="n"/>
      <c r="E92" s="25" t="n"/>
      <c r="F92" s="26" t="n"/>
      <c r="G92" s="25" t="n"/>
      <c r="H92" s="25" t="n"/>
      <c r="I92" s="26" t="n"/>
      <c r="J92" s="25" t="n"/>
      <c r="K92" s="26" t="n"/>
      <c r="L92" s="25" t="n"/>
      <c r="M92" s="25" t="n"/>
      <c r="N92" s="26" t="n"/>
      <c r="O92" s="25" t="n"/>
      <c r="P92" s="25" t="n"/>
      <c r="Q92" s="26" t="n"/>
      <c r="R92" s="25">
        <f>IF(AND($A92="",$B92=""),"",IF(Q92="Complete","Onboarded",IF(OR(M92="Member",M92="Ambassador"),"Sponsored",IF(K92&lt;&gt;"","Follow-Up",IF(I92&lt;&gt;"","Presented",IF(F92&lt;&gt;"","Contacted","New Lead"))))))</f>
        <v/>
      </c>
      <c r="S92" s="25" t="n"/>
      <c r="T92" s="25">
        <f>IF(MAX(F92,I92,K92)=0,"",TODAY()-MAX(F92,I92,K92))</f>
        <v/>
      </c>
      <c r="U92" s="25" t="n"/>
      <c r="V92" s="25" t="n"/>
      <c r="W92" s="25">
        <f>IF(AND($A92="",$B92=""),"",IF(M92="Ambassador","1 - Ambassador",IF(M92="Member","2 - Member",IF(J92="Completed","3 - Presented",IF(H92&lt;&gt;"","4 - Sent",IF(F92&lt;&gt;"","5 - Contacted","6 - No Activity"))))))</f>
        <v/>
      </c>
      <c r="X92" s="25">
        <f>IF(AND($A92="",$B92=""),9999999+(ROW()-4),VALUE(LEFT($W92,1))*10000+(ROW()-4))</f>
        <v/>
      </c>
    </row>
    <row r="93" ht="15" customHeight="1" s="20">
      <c r="A93" s="25" t="n"/>
      <c r="B93" s="25" t="n"/>
      <c r="C93" s="25" t="n"/>
      <c r="D93" s="25" t="n"/>
      <c r="E93" s="25" t="n"/>
      <c r="F93" s="26" t="n"/>
      <c r="G93" s="25" t="n"/>
      <c r="H93" s="25" t="n"/>
      <c r="I93" s="26" t="n"/>
      <c r="J93" s="25" t="n"/>
      <c r="K93" s="26" t="n"/>
      <c r="L93" s="25" t="n"/>
      <c r="M93" s="25" t="n"/>
      <c r="N93" s="26" t="n"/>
      <c r="O93" s="25" t="n"/>
      <c r="P93" s="25" t="n"/>
      <c r="Q93" s="26" t="n"/>
      <c r="R93" s="25">
        <f>IF(AND($A93="",$B93=""),"",IF(Q93="Complete","Onboarded",IF(OR(M93="Member",M93="Ambassador"),"Sponsored",IF(K93&lt;&gt;"","Follow-Up",IF(I93&lt;&gt;"","Presented",IF(F93&lt;&gt;"","Contacted","New Lead"))))))</f>
        <v/>
      </c>
      <c r="S93" s="25" t="n"/>
      <c r="T93" s="25">
        <f>IF(MAX(F93,I93,K93)=0,"",TODAY()-MAX(F93,I93,K93))</f>
        <v/>
      </c>
      <c r="U93" s="25" t="n"/>
      <c r="V93" s="25" t="n"/>
      <c r="W93" s="25">
        <f>IF(AND($A93="",$B93=""),"",IF(M93="Ambassador","1 - Ambassador",IF(M93="Member","2 - Member",IF(J93="Completed","3 - Presented",IF(H93&lt;&gt;"","4 - Sent",IF(F93&lt;&gt;"","5 - Contacted","6 - No Activity"))))))</f>
        <v/>
      </c>
      <c r="X93" s="25">
        <f>IF(AND($A93="",$B93=""),9999999+(ROW()-4),VALUE(LEFT($W93,1))*10000+(ROW()-4))</f>
        <v/>
      </c>
    </row>
    <row r="94" ht="15" customHeight="1" s="20">
      <c r="A94" s="25" t="n"/>
      <c r="B94" s="25" t="n"/>
      <c r="C94" s="25" t="n"/>
      <c r="D94" s="25" t="n"/>
      <c r="E94" s="25" t="n"/>
      <c r="F94" s="26" t="n"/>
      <c r="G94" s="25" t="n"/>
      <c r="H94" s="25" t="n"/>
      <c r="I94" s="26" t="n"/>
      <c r="J94" s="25" t="n"/>
      <c r="K94" s="26" t="n"/>
      <c r="L94" s="25" t="n"/>
      <c r="M94" s="25" t="n"/>
      <c r="N94" s="26" t="n"/>
      <c r="O94" s="25" t="n"/>
      <c r="P94" s="25" t="n"/>
      <c r="Q94" s="26" t="n"/>
      <c r="R94" s="25">
        <f>IF(AND($A94="",$B94=""),"",IF(Q94="Complete","Onboarded",IF(OR(M94="Member",M94="Ambassador"),"Sponsored",IF(K94&lt;&gt;"","Follow-Up",IF(I94&lt;&gt;"","Presented",IF(F94&lt;&gt;"","Contacted","New Lead"))))))</f>
        <v/>
      </c>
      <c r="S94" s="25" t="n"/>
      <c r="T94" s="25">
        <f>IF(MAX(F94,I94,K94)=0,"",TODAY()-MAX(F94,I94,K94))</f>
        <v/>
      </c>
      <c r="U94" s="25" t="n"/>
      <c r="V94" s="25" t="n"/>
      <c r="W94" s="25">
        <f>IF(AND($A94="",$B94=""),"",IF(M94="Ambassador","1 - Ambassador",IF(M94="Member","2 - Member",IF(J94="Completed","3 - Presented",IF(H94&lt;&gt;"","4 - Sent",IF(F94&lt;&gt;"","5 - Contacted","6 - No Activity"))))))</f>
        <v/>
      </c>
      <c r="X94" s="25">
        <f>IF(AND($A94="",$B94=""),9999999+(ROW()-4),VALUE(LEFT($W94,1))*10000+(ROW()-4))</f>
        <v/>
      </c>
    </row>
    <row r="95" ht="15" customHeight="1" s="20">
      <c r="A95" s="25" t="n"/>
      <c r="B95" s="25" t="n"/>
      <c r="C95" s="25" t="n"/>
      <c r="D95" s="25" t="n"/>
      <c r="E95" s="25" t="n"/>
      <c r="F95" s="26" t="n"/>
      <c r="G95" s="25" t="n"/>
      <c r="H95" s="25" t="n"/>
      <c r="I95" s="26" t="n"/>
      <c r="J95" s="25" t="n"/>
      <c r="K95" s="26" t="n"/>
      <c r="L95" s="25" t="n"/>
      <c r="M95" s="25" t="n"/>
      <c r="N95" s="26" t="n"/>
      <c r="O95" s="25" t="n"/>
      <c r="P95" s="25" t="n"/>
      <c r="Q95" s="26" t="n"/>
      <c r="R95" s="25">
        <f>IF(AND($A95="",$B95=""),"",IF(Q95="Complete","Onboarded",IF(OR(M95="Member",M95="Ambassador"),"Sponsored",IF(K95&lt;&gt;"","Follow-Up",IF(I95&lt;&gt;"","Presented",IF(F95&lt;&gt;"","Contacted","New Lead"))))))</f>
        <v/>
      </c>
      <c r="S95" s="25" t="n"/>
      <c r="T95" s="25">
        <f>IF(MAX(F95,I95,K95)=0,"",TODAY()-MAX(F95,I95,K95))</f>
        <v/>
      </c>
      <c r="U95" s="25" t="n"/>
      <c r="V95" s="25" t="n"/>
      <c r="W95" s="25">
        <f>IF(AND($A95="",$B95=""),"",IF(M95="Ambassador","1 - Ambassador",IF(M95="Member","2 - Member",IF(J95="Completed","3 - Presented",IF(H95&lt;&gt;"","4 - Sent",IF(F95&lt;&gt;"","5 - Contacted","6 - No Activity"))))))</f>
        <v/>
      </c>
      <c r="X95" s="25">
        <f>IF(AND($A95="",$B95=""),9999999+(ROW()-4),VALUE(LEFT($W95,1))*10000+(ROW()-4))</f>
        <v/>
      </c>
    </row>
    <row r="96" ht="15" customHeight="1" s="20">
      <c r="A96" s="25" t="n"/>
      <c r="B96" s="25" t="n"/>
      <c r="C96" s="25" t="n"/>
      <c r="D96" s="25" t="n"/>
      <c r="E96" s="25" t="n"/>
      <c r="F96" s="26" t="n"/>
      <c r="G96" s="25" t="n"/>
      <c r="H96" s="25" t="n"/>
      <c r="I96" s="26" t="n"/>
      <c r="J96" s="25" t="n"/>
      <c r="K96" s="26" t="n"/>
      <c r="L96" s="25" t="n"/>
      <c r="M96" s="25" t="n"/>
      <c r="N96" s="26" t="n"/>
      <c r="O96" s="25" t="n"/>
      <c r="P96" s="25" t="n"/>
      <c r="Q96" s="26" t="n"/>
      <c r="R96" s="25">
        <f>IF(AND($A96="",$B96=""),"",IF(Q96="Complete","Onboarded",IF(OR(M96="Member",M96="Ambassador"),"Sponsored",IF(K96&lt;&gt;"","Follow-Up",IF(I96&lt;&gt;"","Presented",IF(F96&lt;&gt;"","Contacted","New Lead"))))))</f>
        <v/>
      </c>
      <c r="S96" s="25" t="n"/>
      <c r="T96" s="25">
        <f>IF(MAX(F96,I96,K96)=0,"",TODAY()-MAX(F96,I96,K96))</f>
        <v/>
      </c>
      <c r="U96" s="25" t="n"/>
      <c r="V96" s="25" t="n"/>
      <c r="W96" s="25">
        <f>IF(AND($A96="",$B96=""),"",IF(M96="Ambassador","1 - Ambassador",IF(M96="Member","2 - Member",IF(J96="Completed","3 - Presented",IF(H96&lt;&gt;"","4 - Sent",IF(F96&lt;&gt;"","5 - Contacted","6 - No Activity"))))))</f>
        <v/>
      </c>
      <c r="X96" s="25">
        <f>IF(AND($A96="",$B96=""),9999999+(ROW()-4),VALUE(LEFT($W96,1))*10000+(ROW()-4))</f>
        <v/>
      </c>
    </row>
    <row r="97" ht="15" customHeight="1" s="20">
      <c r="A97" s="25" t="n"/>
      <c r="B97" s="25" t="n"/>
      <c r="C97" s="25" t="n"/>
      <c r="D97" s="25" t="n"/>
      <c r="E97" s="25" t="n"/>
      <c r="F97" s="26" t="n"/>
      <c r="G97" s="25" t="n"/>
      <c r="H97" s="25" t="n"/>
      <c r="I97" s="26" t="n"/>
      <c r="J97" s="25" t="n"/>
      <c r="K97" s="26" t="n"/>
      <c r="L97" s="25" t="n"/>
      <c r="M97" s="25" t="n"/>
      <c r="N97" s="26" t="n"/>
      <c r="O97" s="25" t="n"/>
      <c r="P97" s="25" t="n"/>
      <c r="Q97" s="26" t="n"/>
      <c r="R97" s="25">
        <f>IF(AND($A97="",$B97=""),"",IF(Q97="Complete","Onboarded",IF(OR(M97="Member",M97="Ambassador"),"Sponsored",IF(K97&lt;&gt;"","Follow-Up",IF(I97&lt;&gt;"","Presented",IF(F97&lt;&gt;"","Contacted","New Lead"))))))</f>
        <v/>
      </c>
      <c r="S97" s="25" t="n"/>
      <c r="T97" s="25">
        <f>IF(MAX(F97,I97,K97)=0,"",TODAY()-MAX(F97,I97,K97))</f>
        <v/>
      </c>
      <c r="U97" s="25" t="n"/>
      <c r="V97" s="25" t="n"/>
      <c r="W97" s="25">
        <f>IF(AND($A97="",$B97=""),"",IF(M97="Ambassador","1 - Ambassador",IF(M97="Member","2 - Member",IF(J97="Completed","3 - Presented",IF(H97&lt;&gt;"","4 - Sent",IF(F97&lt;&gt;"","5 - Contacted","6 - No Activity"))))))</f>
        <v/>
      </c>
      <c r="X97" s="25">
        <f>IF(AND($A97="",$B97=""),9999999+(ROW()-4),VALUE(LEFT($W97,1))*10000+(ROW()-4))</f>
        <v/>
      </c>
    </row>
    <row r="98" ht="15" customHeight="1" s="20">
      <c r="A98" s="25" t="n"/>
      <c r="B98" s="25" t="n"/>
      <c r="C98" s="25" t="n"/>
      <c r="D98" s="25" t="n"/>
      <c r="E98" s="25" t="n"/>
      <c r="F98" s="26" t="n"/>
      <c r="G98" s="25" t="n"/>
      <c r="H98" s="25" t="n"/>
      <c r="I98" s="26" t="n"/>
      <c r="J98" s="25" t="n"/>
      <c r="K98" s="26" t="n"/>
      <c r="L98" s="25" t="n"/>
      <c r="M98" s="25" t="n"/>
      <c r="N98" s="26" t="n"/>
      <c r="O98" s="25" t="n"/>
      <c r="P98" s="25" t="n"/>
      <c r="Q98" s="26" t="n"/>
      <c r="R98" s="25">
        <f>IF(AND($A98="",$B98=""),"",IF(Q98="Complete","Onboarded",IF(OR(M98="Member",M98="Ambassador"),"Sponsored",IF(K98&lt;&gt;"","Follow-Up",IF(I98&lt;&gt;"","Presented",IF(F98&lt;&gt;"","Contacted","New Lead"))))))</f>
        <v/>
      </c>
      <c r="S98" s="25" t="n"/>
      <c r="T98" s="25">
        <f>IF(MAX(F98,I98,K98)=0,"",TODAY()-MAX(F98,I98,K98))</f>
        <v/>
      </c>
      <c r="U98" s="25" t="n"/>
      <c r="V98" s="25" t="n"/>
      <c r="W98" s="25">
        <f>IF(AND($A98="",$B98=""),"",IF(M98="Ambassador","1 - Ambassador",IF(M98="Member","2 - Member",IF(J98="Completed","3 - Presented",IF(H98&lt;&gt;"","4 - Sent",IF(F98&lt;&gt;"","5 - Contacted","6 - No Activity"))))))</f>
        <v/>
      </c>
      <c r="X98" s="25">
        <f>IF(AND($A98="",$B98=""),9999999+(ROW()-4),VALUE(LEFT($W98,1))*10000+(ROW()-4))</f>
        <v/>
      </c>
    </row>
    <row r="99" ht="15" customHeight="1" s="20">
      <c r="A99" s="25" t="n"/>
      <c r="B99" s="25" t="n"/>
      <c r="C99" s="25" t="n"/>
      <c r="D99" s="25" t="n"/>
      <c r="E99" s="25" t="n"/>
      <c r="F99" s="26" t="n"/>
      <c r="G99" s="25" t="n"/>
      <c r="H99" s="25" t="n"/>
      <c r="I99" s="26" t="n"/>
      <c r="J99" s="25" t="n"/>
      <c r="K99" s="26" t="n"/>
      <c r="L99" s="25" t="n"/>
      <c r="M99" s="25" t="n"/>
      <c r="N99" s="26" t="n"/>
      <c r="O99" s="25" t="n"/>
      <c r="P99" s="25" t="n"/>
      <c r="Q99" s="26" t="n"/>
      <c r="R99" s="25">
        <f>IF(AND($A99="",$B99=""),"",IF(Q99="Complete","Onboarded",IF(OR(M99="Member",M99="Ambassador"),"Sponsored",IF(K99&lt;&gt;"","Follow-Up",IF(I99&lt;&gt;"","Presented",IF(F99&lt;&gt;"","Contacted","New Lead"))))))</f>
        <v/>
      </c>
      <c r="S99" s="25" t="n"/>
      <c r="T99" s="25">
        <f>IF(MAX(F99,I99,K99)=0,"",TODAY()-MAX(F99,I99,K99))</f>
        <v/>
      </c>
      <c r="U99" s="25" t="n"/>
      <c r="V99" s="25" t="n"/>
      <c r="W99" s="25">
        <f>IF(AND($A99="",$B99=""),"",IF(M99="Ambassador","1 - Ambassador",IF(M99="Member","2 - Member",IF(J99="Completed","3 - Presented",IF(H99&lt;&gt;"","4 - Sent",IF(F99&lt;&gt;"","5 - Contacted","6 - No Activity"))))))</f>
        <v/>
      </c>
      <c r="X99" s="25">
        <f>IF(AND($A99="",$B99=""),9999999+(ROW()-4),VALUE(LEFT($W99,1))*10000+(ROW()-4))</f>
        <v/>
      </c>
    </row>
    <row r="100" ht="15" customHeight="1" s="20">
      <c r="A100" s="25" t="n"/>
      <c r="B100" s="25" t="n"/>
      <c r="C100" s="25" t="n"/>
      <c r="D100" s="25" t="n"/>
      <c r="E100" s="25" t="n"/>
      <c r="F100" s="26" t="n"/>
      <c r="G100" s="25" t="n"/>
      <c r="H100" s="25" t="n"/>
      <c r="I100" s="26" t="n"/>
      <c r="J100" s="25" t="n"/>
      <c r="K100" s="26" t="n"/>
      <c r="L100" s="25" t="n"/>
      <c r="M100" s="25" t="n"/>
      <c r="N100" s="26" t="n"/>
      <c r="O100" s="25" t="n"/>
      <c r="P100" s="25" t="n"/>
      <c r="Q100" s="26" t="n"/>
      <c r="R100" s="25">
        <f>IF(AND($A100="",$B100=""),"",IF(Q100="Complete","Onboarded",IF(OR(M100="Member",M100="Ambassador"),"Sponsored",IF(K100&lt;&gt;"","Follow-Up",IF(I100&lt;&gt;"","Presented",IF(F100&lt;&gt;"","Contacted","New Lead"))))))</f>
        <v/>
      </c>
      <c r="S100" s="25" t="n"/>
      <c r="T100" s="25">
        <f>IF(MAX(F100,I100,K100)=0,"",TODAY()-MAX(F100,I100,K100))</f>
        <v/>
      </c>
      <c r="U100" s="25" t="n"/>
      <c r="V100" s="25" t="n"/>
      <c r="W100" s="25">
        <f>IF(AND($A100="",$B100=""),"",IF(M100="Ambassador","1 - Ambassador",IF(M100="Member","2 - Member",IF(J100="Completed","3 - Presented",IF(H100&lt;&gt;"","4 - Sent",IF(F100&lt;&gt;"","5 - Contacted","6 - No Activity"))))))</f>
        <v/>
      </c>
      <c r="X100" s="25">
        <f>IF(AND($A100="",$B100=""),9999999+(ROW()-4),VALUE(LEFT($W100,1))*10000+(ROW()-4))</f>
        <v/>
      </c>
    </row>
    <row r="101" ht="15" customHeight="1" s="20">
      <c r="A101" s="25" t="n"/>
      <c r="B101" s="25" t="n"/>
      <c r="C101" s="25" t="n"/>
      <c r="D101" s="25" t="n"/>
      <c r="E101" s="25" t="n"/>
      <c r="F101" s="26" t="n"/>
      <c r="G101" s="25" t="n"/>
      <c r="H101" s="25" t="n"/>
      <c r="I101" s="26" t="n"/>
      <c r="J101" s="25" t="n"/>
      <c r="K101" s="26" t="n"/>
      <c r="L101" s="25" t="n"/>
      <c r="M101" s="25" t="n"/>
      <c r="N101" s="26" t="n"/>
      <c r="O101" s="25" t="n"/>
      <c r="P101" s="25" t="n"/>
      <c r="Q101" s="26" t="n"/>
      <c r="R101" s="25">
        <f>IF(AND($A101="",$B101=""),"",IF(Q101="Complete","Onboarded",IF(OR(M101="Member",M101="Ambassador"),"Sponsored",IF(K101&lt;&gt;"","Follow-Up",IF(I101&lt;&gt;"","Presented",IF(F101&lt;&gt;"","Contacted","New Lead"))))))</f>
        <v/>
      </c>
      <c r="S101" s="25" t="n"/>
      <c r="T101" s="25">
        <f>IF(MAX(F101,I101,K101)=0,"",TODAY()-MAX(F101,I101,K101))</f>
        <v/>
      </c>
      <c r="U101" s="25" t="n"/>
      <c r="V101" s="25" t="n"/>
      <c r="W101" s="25">
        <f>IF(AND($A101="",$B101=""),"",IF(M101="Ambassador","1 - Ambassador",IF(M101="Member","2 - Member",IF(J101="Completed","3 - Presented",IF(H101&lt;&gt;"","4 - Sent",IF(F101&lt;&gt;"","5 - Contacted","6 - No Activity"))))))</f>
        <v/>
      </c>
      <c r="X101" s="25">
        <f>IF(AND($A101="",$B101=""),9999999+(ROW()-4),VALUE(LEFT($W101,1))*10000+(ROW()-4))</f>
        <v/>
      </c>
    </row>
    <row r="102" ht="15" customHeight="1" s="20">
      <c r="A102" s="25" t="n"/>
      <c r="B102" s="25" t="n"/>
      <c r="C102" s="25" t="n"/>
      <c r="D102" s="25" t="n"/>
      <c r="E102" s="25" t="n"/>
      <c r="F102" s="26" t="n"/>
      <c r="G102" s="25" t="n"/>
      <c r="H102" s="25" t="n"/>
      <c r="I102" s="26" t="n"/>
      <c r="J102" s="25" t="n"/>
      <c r="K102" s="26" t="n"/>
      <c r="L102" s="25" t="n"/>
      <c r="M102" s="25" t="n"/>
      <c r="N102" s="26" t="n"/>
      <c r="O102" s="25" t="n"/>
      <c r="P102" s="25" t="n"/>
      <c r="Q102" s="26" t="n"/>
      <c r="R102" s="25">
        <f>IF(AND($A102="",$B102=""),"",IF(Q102="Complete","Onboarded",IF(OR(M102="Member",M102="Ambassador"),"Sponsored",IF(K102&lt;&gt;"","Follow-Up",IF(I102&lt;&gt;"","Presented",IF(F102&lt;&gt;"","Contacted","New Lead"))))))</f>
        <v/>
      </c>
      <c r="S102" s="25" t="n"/>
      <c r="T102" s="25">
        <f>IF(MAX(F102,I102,K102)=0,"",TODAY()-MAX(F102,I102,K102))</f>
        <v/>
      </c>
      <c r="U102" s="25" t="n"/>
      <c r="V102" s="25" t="n"/>
      <c r="W102" s="25">
        <f>IF(AND($A102="",$B102=""),"",IF(M102="Ambassador","1 - Ambassador",IF(M102="Member","2 - Member",IF(J102="Completed","3 - Presented",IF(H102&lt;&gt;"","4 - Sent",IF(F102&lt;&gt;"","5 - Contacted","6 - No Activity"))))))</f>
        <v/>
      </c>
      <c r="X102" s="25">
        <f>IF(AND($A102="",$B102=""),9999999+(ROW()-4),VALUE(LEFT($W102,1))*10000+(ROW()-4))</f>
        <v/>
      </c>
    </row>
    <row r="103" ht="15" customHeight="1" s="20">
      <c r="A103" s="25" t="n"/>
      <c r="B103" s="25" t="n"/>
      <c r="C103" s="25" t="n"/>
      <c r="D103" s="25" t="n"/>
      <c r="E103" s="25" t="n"/>
      <c r="F103" s="26" t="n"/>
      <c r="G103" s="25" t="n"/>
      <c r="H103" s="25" t="n"/>
      <c r="I103" s="26" t="n"/>
      <c r="J103" s="25" t="n"/>
      <c r="K103" s="26" t="n"/>
      <c r="L103" s="25" t="n"/>
      <c r="M103" s="25" t="n"/>
      <c r="N103" s="26" t="n"/>
      <c r="O103" s="25" t="n"/>
      <c r="P103" s="25" t="n"/>
      <c r="Q103" s="26" t="n"/>
      <c r="R103" s="25">
        <f>IF(AND($A103="",$B103=""),"",IF(Q103="Complete","Onboarded",IF(OR(M103="Member",M103="Ambassador"),"Sponsored",IF(K103&lt;&gt;"","Follow-Up",IF(I103&lt;&gt;"","Presented",IF(F103&lt;&gt;"","Contacted","New Lead"))))))</f>
        <v/>
      </c>
      <c r="S103" s="25" t="n"/>
      <c r="T103" s="25">
        <f>IF(MAX(F103,I103,K103)=0,"",TODAY()-MAX(F103,I103,K103))</f>
        <v/>
      </c>
      <c r="U103" s="25" t="n"/>
      <c r="V103" s="25" t="n"/>
      <c r="W103" s="25">
        <f>IF(AND($A103="",$B103=""),"",IF(M103="Ambassador","1 - Ambassador",IF(M103="Member","2 - Member",IF(J103="Completed","3 - Presented",IF(H103&lt;&gt;"","4 - Sent",IF(F103&lt;&gt;"","5 - Contacted","6 - No Activity"))))))</f>
        <v/>
      </c>
      <c r="X103" s="25">
        <f>IF(AND($A103="",$B103=""),9999999+(ROW()-4),VALUE(LEFT($W103,1))*10000+(ROW()-4))</f>
        <v/>
      </c>
    </row>
    <row r="104" ht="15" customHeight="1" s="20">
      <c r="A104" s="25" t="n"/>
      <c r="B104" s="25" t="n"/>
      <c r="C104" s="25" t="n"/>
      <c r="D104" s="25" t="n"/>
      <c r="E104" s="25" t="n"/>
      <c r="F104" s="26" t="n"/>
      <c r="G104" s="25" t="n"/>
      <c r="H104" s="25" t="n"/>
      <c r="I104" s="26" t="n"/>
      <c r="J104" s="25" t="n"/>
      <c r="K104" s="26" t="n"/>
      <c r="L104" s="25" t="n"/>
      <c r="M104" s="25" t="n"/>
      <c r="N104" s="26" t="n"/>
      <c r="O104" s="25" t="n"/>
      <c r="P104" s="25" t="n"/>
      <c r="Q104" s="26" t="n"/>
      <c r="R104" s="25">
        <f>IF(AND($A104="",$B104=""),"",IF(Q104="Complete","Onboarded",IF(OR(M104="Member",M104="Ambassador"),"Sponsored",IF(K104&lt;&gt;"","Follow-Up",IF(I104&lt;&gt;"","Presented",IF(F104&lt;&gt;"","Contacted","New Lead"))))))</f>
        <v/>
      </c>
      <c r="S104" s="25" t="n"/>
      <c r="T104" s="25">
        <f>IF(MAX(F104,I104,K104)=0,"",TODAY()-MAX(F104,I104,K104))</f>
        <v/>
      </c>
      <c r="U104" s="25" t="n"/>
      <c r="V104" s="25" t="n"/>
      <c r="W104" s="25">
        <f>IF(AND($A104="",$B104=""),"",IF(M104="Ambassador","1 - Ambassador",IF(M104="Member","2 - Member",IF(J104="Completed","3 - Presented",IF(H104&lt;&gt;"","4 - Sent",IF(F104&lt;&gt;"","5 - Contacted","6 - No Activity"))))))</f>
        <v/>
      </c>
      <c r="X104" s="25">
        <f>IF(AND($A104="",$B104=""),9999999+(ROW()-4),VALUE(LEFT($W104,1))*10000+(ROW()-4))</f>
        <v/>
      </c>
    </row>
    <row r="105" ht="15" customHeight="1" s="20">
      <c r="A105" s="25" t="n"/>
      <c r="B105" s="25" t="n"/>
      <c r="C105" s="25" t="n"/>
      <c r="D105" s="25" t="n"/>
      <c r="E105" s="25" t="n"/>
      <c r="F105" s="26" t="n"/>
      <c r="G105" s="25" t="n"/>
      <c r="H105" s="25" t="n"/>
      <c r="I105" s="26" t="n"/>
      <c r="J105" s="25" t="n"/>
      <c r="K105" s="26" t="n"/>
      <c r="L105" s="25" t="n"/>
      <c r="M105" s="25" t="n"/>
      <c r="N105" s="26" t="n"/>
      <c r="O105" s="25" t="n"/>
      <c r="P105" s="25" t="n"/>
      <c r="Q105" s="26" t="n"/>
      <c r="R105" s="25">
        <f>IF(AND($A105="",$B105=""),"",IF(Q105="Complete","Onboarded",IF(OR(M105="Member",M105="Ambassador"),"Sponsored",IF(K105&lt;&gt;"","Follow-Up",IF(I105&lt;&gt;"","Presented",IF(F105&lt;&gt;"","Contacted","New Lead"))))))</f>
        <v/>
      </c>
      <c r="S105" s="25" t="n"/>
      <c r="T105" s="25">
        <f>IF(MAX(F105,I105,K105)=0,"",TODAY()-MAX(F105,I105,K105))</f>
        <v/>
      </c>
      <c r="U105" s="25" t="n"/>
      <c r="V105" s="25" t="n"/>
      <c r="W105" s="25">
        <f>IF(AND($A105="",$B105=""),"",IF(M105="Ambassador","1 - Ambassador",IF(M105="Member","2 - Member",IF(J105="Completed","3 - Presented",IF(H105&lt;&gt;"","4 - Sent",IF(F105&lt;&gt;"","5 - Contacted","6 - No Activity"))))))</f>
        <v/>
      </c>
      <c r="X105" s="25">
        <f>IF(AND($A105="",$B105=""),9999999+(ROW()-4),VALUE(LEFT($W105,1))*10000+(ROW()-4))</f>
        <v/>
      </c>
    </row>
    <row r="106" ht="15" customHeight="1" s="20">
      <c r="A106" s="25" t="n"/>
      <c r="B106" s="25" t="n"/>
      <c r="C106" s="25" t="n"/>
      <c r="D106" s="25" t="n"/>
      <c r="E106" s="25" t="n"/>
      <c r="F106" s="26" t="n"/>
      <c r="G106" s="25" t="n"/>
      <c r="H106" s="25" t="n"/>
      <c r="I106" s="26" t="n"/>
      <c r="J106" s="25" t="n"/>
      <c r="K106" s="26" t="n"/>
      <c r="L106" s="25" t="n"/>
      <c r="M106" s="25" t="n"/>
      <c r="N106" s="26" t="n"/>
      <c r="O106" s="25" t="n"/>
      <c r="P106" s="25" t="n"/>
      <c r="Q106" s="26" t="n"/>
      <c r="R106" s="25">
        <f>IF(AND($A106="",$B106=""),"",IF(Q106="Complete","Onboarded",IF(OR(M106="Member",M106="Ambassador"),"Sponsored",IF(K106&lt;&gt;"","Follow-Up",IF(I106&lt;&gt;"","Presented",IF(F106&lt;&gt;"","Contacted","New Lead"))))))</f>
        <v/>
      </c>
      <c r="S106" s="25" t="n"/>
      <c r="T106" s="25">
        <f>IF(MAX(F106,I106,K106)=0,"",TODAY()-MAX(F106,I106,K106))</f>
        <v/>
      </c>
      <c r="U106" s="25" t="n"/>
      <c r="V106" s="25" t="n"/>
      <c r="W106" s="25">
        <f>IF(AND($A106="",$B106=""),"",IF(M106="Ambassador","1 - Ambassador",IF(M106="Member","2 - Member",IF(J106="Completed","3 - Presented",IF(H106&lt;&gt;"","4 - Sent",IF(F106&lt;&gt;"","5 - Contacted","6 - No Activity"))))))</f>
        <v/>
      </c>
      <c r="X106" s="25">
        <f>IF(AND($A106="",$B106=""),9999999+(ROW()-4),VALUE(LEFT($W106,1))*10000+(ROW()-4))</f>
        <v/>
      </c>
    </row>
    <row r="107" ht="15" customHeight="1" s="20">
      <c r="A107" s="25" t="n"/>
      <c r="B107" s="25" t="n"/>
      <c r="C107" s="25" t="n"/>
      <c r="D107" s="25" t="n"/>
      <c r="E107" s="25" t="n"/>
      <c r="F107" s="26" t="n"/>
      <c r="G107" s="25" t="n"/>
      <c r="H107" s="25" t="n"/>
      <c r="I107" s="26" t="n"/>
      <c r="J107" s="25" t="n"/>
      <c r="K107" s="26" t="n"/>
      <c r="L107" s="25" t="n"/>
      <c r="M107" s="25" t="n"/>
      <c r="N107" s="26" t="n"/>
      <c r="O107" s="25" t="n"/>
      <c r="P107" s="25" t="n"/>
      <c r="Q107" s="26" t="n"/>
      <c r="R107" s="25">
        <f>IF(AND($A107="",$B107=""),"",IF(Q107="Complete","Onboarded",IF(OR(M107="Member",M107="Ambassador"),"Sponsored",IF(K107&lt;&gt;"","Follow-Up",IF(I107&lt;&gt;"","Presented",IF(F107&lt;&gt;"","Contacted","New Lead"))))))</f>
        <v/>
      </c>
      <c r="S107" s="25" t="n"/>
      <c r="T107" s="25">
        <f>IF(MAX(F107,I107,K107)=0,"",TODAY()-MAX(F107,I107,K107))</f>
        <v/>
      </c>
      <c r="U107" s="25" t="n"/>
      <c r="V107" s="25" t="n"/>
      <c r="W107" s="25">
        <f>IF(AND($A107="",$B107=""),"",IF(M107="Ambassador","1 - Ambassador",IF(M107="Member","2 - Member",IF(J107="Completed","3 - Presented",IF(H107&lt;&gt;"","4 - Sent",IF(F107&lt;&gt;"","5 - Contacted","6 - No Activity"))))))</f>
        <v/>
      </c>
      <c r="X107" s="25">
        <f>IF(AND($A107="",$B107=""),9999999+(ROW()-4),VALUE(LEFT($W107,1))*10000+(ROW()-4))</f>
        <v/>
      </c>
    </row>
    <row r="108" ht="15" customHeight="1" s="20">
      <c r="A108" s="25" t="n"/>
      <c r="B108" s="25" t="n"/>
      <c r="C108" s="25" t="n"/>
      <c r="D108" s="25" t="n"/>
      <c r="E108" s="25" t="n"/>
      <c r="F108" s="26" t="n"/>
      <c r="G108" s="25" t="n"/>
      <c r="H108" s="25" t="n"/>
      <c r="I108" s="26" t="n"/>
      <c r="J108" s="25" t="n"/>
      <c r="K108" s="26" t="n"/>
      <c r="L108" s="25" t="n"/>
      <c r="M108" s="25" t="n"/>
      <c r="N108" s="26" t="n"/>
      <c r="O108" s="25" t="n"/>
      <c r="P108" s="25" t="n"/>
      <c r="Q108" s="26" t="n"/>
      <c r="R108" s="25">
        <f>IF(AND($A108="",$B108=""),"",IF(Q108="Complete","Onboarded",IF(OR(M108="Member",M108="Ambassador"),"Sponsored",IF(K108&lt;&gt;"","Follow-Up",IF(I108&lt;&gt;"","Presented",IF(F108&lt;&gt;"","Contacted","New Lead"))))))</f>
        <v/>
      </c>
      <c r="S108" s="25" t="n"/>
      <c r="T108" s="25">
        <f>IF(MAX(F108,I108,K108)=0,"",TODAY()-MAX(F108,I108,K108))</f>
        <v/>
      </c>
      <c r="U108" s="25" t="n"/>
      <c r="V108" s="25" t="n"/>
      <c r="W108" s="25">
        <f>IF(AND($A108="",$B108=""),"",IF(M108="Ambassador","1 - Ambassador",IF(M108="Member","2 - Member",IF(J108="Completed","3 - Presented",IF(H108&lt;&gt;"","4 - Sent",IF(F108&lt;&gt;"","5 - Contacted","6 - No Activity"))))))</f>
        <v/>
      </c>
      <c r="X108" s="25">
        <f>IF(AND($A108="",$B108=""),9999999+(ROW()-4),VALUE(LEFT($W108,1))*10000+(ROW()-4))</f>
        <v/>
      </c>
    </row>
    <row r="109" ht="15" customHeight="1" s="20">
      <c r="A109" s="25" t="n"/>
      <c r="B109" s="25" t="n"/>
      <c r="C109" s="25" t="n"/>
      <c r="D109" s="25" t="n"/>
      <c r="E109" s="25" t="n"/>
      <c r="F109" s="26" t="n"/>
      <c r="G109" s="25" t="n"/>
      <c r="H109" s="25" t="n"/>
      <c r="I109" s="26" t="n"/>
      <c r="J109" s="25" t="n"/>
      <c r="K109" s="26" t="n"/>
      <c r="L109" s="25" t="n"/>
      <c r="M109" s="25" t="n"/>
      <c r="N109" s="26" t="n"/>
      <c r="O109" s="25" t="n"/>
      <c r="P109" s="25" t="n"/>
      <c r="Q109" s="26" t="n"/>
      <c r="R109" s="25">
        <f>IF(AND($A109="",$B109=""),"",IF(Q109="Complete","Onboarded",IF(OR(M109="Member",M109="Ambassador"),"Sponsored",IF(K109&lt;&gt;"","Follow-Up",IF(I109&lt;&gt;"","Presented",IF(F109&lt;&gt;"","Contacted","New Lead"))))))</f>
        <v/>
      </c>
      <c r="S109" s="25" t="n"/>
      <c r="T109" s="25">
        <f>IF(MAX(F109,I109,K109)=0,"",TODAY()-MAX(F109,I109,K109))</f>
        <v/>
      </c>
      <c r="U109" s="25" t="n"/>
      <c r="V109" s="25" t="n"/>
      <c r="W109" s="25">
        <f>IF(AND($A109="",$B109=""),"",IF(M109="Ambassador","1 - Ambassador",IF(M109="Member","2 - Member",IF(J109="Completed","3 - Presented",IF(H109&lt;&gt;"","4 - Sent",IF(F109&lt;&gt;"","5 - Contacted","6 - No Activity"))))))</f>
        <v/>
      </c>
      <c r="X109" s="25">
        <f>IF(AND($A109="",$B109=""),9999999+(ROW()-4),VALUE(LEFT($W109,1))*10000+(ROW()-4))</f>
        <v/>
      </c>
    </row>
    <row r="110" ht="15" customHeight="1" s="20">
      <c r="A110" s="25" t="n"/>
      <c r="B110" s="25" t="n"/>
      <c r="C110" s="25" t="n"/>
      <c r="D110" s="25" t="n"/>
      <c r="E110" s="25" t="n"/>
      <c r="F110" s="26" t="n"/>
      <c r="G110" s="25" t="n"/>
      <c r="H110" s="25" t="n"/>
      <c r="I110" s="26" t="n"/>
      <c r="J110" s="25" t="n"/>
      <c r="K110" s="26" t="n"/>
      <c r="L110" s="25" t="n"/>
      <c r="M110" s="25" t="n"/>
      <c r="N110" s="26" t="n"/>
      <c r="O110" s="25" t="n"/>
      <c r="P110" s="25" t="n"/>
      <c r="Q110" s="26" t="n"/>
      <c r="R110" s="25">
        <f>IF(AND($A110="",$B110=""),"",IF(Q110="Complete","Onboarded",IF(OR(M110="Member",M110="Ambassador"),"Sponsored",IF(K110&lt;&gt;"","Follow-Up",IF(I110&lt;&gt;"","Presented",IF(F110&lt;&gt;"","Contacted","New Lead"))))))</f>
        <v/>
      </c>
      <c r="S110" s="25" t="n"/>
      <c r="T110" s="25">
        <f>IF(MAX(F110,I110,K110)=0,"",TODAY()-MAX(F110,I110,K110))</f>
        <v/>
      </c>
      <c r="U110" s="25" t="n"/>
      <c r="V110" s="25" t="n"/>
      <c r="W110" s="25">
        <f>IF(AND($A110="",$B110=""),"",IF(M110="Ambassador","1 - Ambassador",IF(M110="Member","2 - Member",IF(J110="Completed","3 - Presented",IF(H110&lt;&gt;"","4 - Sent",IF(F110&lt;&gt;"","5 - Contacted","6 - No Activity"))))))</f>
        <v/>
      </c>
      <c r="X110" s="25">
        <f>IF(AND($A110="",$B110=""),9999999+(ROW()-4),VALUE(LEFT($W110,1))*10000+(ROW()-4))</f>
        <v/>
      </c>
    </row>
    <row r="111" ht="15" customHeight="1" s="20">
      <c r="A111" s="25" t="n"/>
      <c r="B111" s="25" t="n"/>
      <c r="C111" s="25" t="n"/>
      <c r="D111" s="25" t="n"/>
      <c r="E111" s="25" t="n"/>
      <c r="F111" s="26" t="n"/>
      <c r="G111" s="25" t="n"/>
      <c r="H111" s="25" t="n"/>
      <c r="I111" s="26" t="n"/>
      <c r="J111" s="25" t="n"/>
      <c r="K111" s="26" t="n"/>
      <c r="L111" s="25" t="n"/>
      <c r="M111" s="25" t="n"/>
      <c r="N111" s="26" t="n"/>
      <c r="O111" s="25" t="n"/>
      <c r="P111" s="25" t="n"/>
      <c r="Q111" s="26" t="n"/>
      <c r="R111" s="25">
        <f>IF(AND($A111="",$B111=""),"",IF(Q111="Complete","Onboarded",IF(OR(M111="Member",M111="Ambassador"),"Sponsored",IF(K111&lt;&gt;"","Follow-Up",IF(I111&lt;&gt;"","Presented",IF(F111&lt;&gt;"","Contacted","New Lead"))))))</f>
        <v/>
      </c>
      <c r="S111" s="25" t="n"/>
      <c r="T111" s="25">
        <f>IF(MAX(F111,I111,K111)=0,"",TODAY()-MAX(F111,I111,K111))</f>
        <v/>
      </c>
      <c r="U111" s="25" t="n"/>
      <c r="V111" s="25" t="n"/>
      <c r="W111" s="25">
        <f>IF(AND($A111="",$B111=""),"",IF(M111="Ambassador","1 - Ambassador",IF(M111="Member","2 - Member",IF(J111="Completed","3 - Presented",IF(H111&lt;&gt;"","4 - Sent",IF(F111&lt;&gt;"","5 - Contacted","6 - No Activity"))))))</f>
        <v/>
      </c>
      <c r="X111" s="25">
        <f>IF(AND($A111="",$B111=""),9999999+(ROW()-4),VALUE(LEFT($W111,1))*10000+(ROW()-4))</f>
        <v/>
      </c>
    </row>
    <row r="112" ht="15" customHeight="1" s="20">
      <c r="A112" s="25" t="n"/>
      <c r="B112" s="25" t="n"/>
      <c r="C112" s="25" t="n"/>
      <c r="D112" s="25" t="n"/>
      <c r="E112" s="25" t="n"/>
      <c r="F112" s="26" t="n"/>
      <c r="G112" s="25" t="n"/>
      <c r="H112" s="25" t="n"/>
      <c r="I112" s="26" t="n"/>
      <c r="J112" s="25" t="n"/>
      <c r="K112" s="26" t="n"/>
      <c r="L112" s="25" t="n"/>
      <c r="M112" s="25" t="n"/>
      <c r="N112" s="26" t="n"/>
      <c r="O112" s="25" t="n"/>
      <c r="P112" s="25" t="n"/>
      <c r="Q112" s="26" t="n"/>
      <c r="R112" s="25">
        <f>IF(AND($A112="",$B112=""),"",IF(Q112="Complete","Onboarded",IF(OR(M112="Member",M112="Ambassador"),"Sponsored",IF(K112&lt;&gt;"","Follow-Up",IF(I112&lt;&gt;"","Presented",IF(F112&lt;&gt;"","Contacted","New Lead"))))))</f>
        <v/>
      </c>
      <c r="S112" s="25" t="n"/>
      <c r="T112" s="25">
        <f>IF(MAX(F112,I112,K112)=0,"",TODAY()-MAX(F112,I112,K112))</f>
        <v/>
      </c>
      <c r="U112" s="25" t="n"/>
      <c r="V112" s="25" t="n"/>
      <c r="W112" s="25">
        <f>IF(AND($A112="",$B112=""),"",IF(M112="Ambassador","1 - Ambassador",IF(M112="Member","2 - Member",IF(J112="Completed","3 - Presented",IF(H112&lt;&gt;"","4 - Sent",IF(F112&lt;&gt;"","5 - Contacted","6 - No Activity"))))))</f>
        <v/>
      </c>
      <c r="X112" s="25">
        <f>IF(AND($A112="",$B112=""),9999999+(ROW()-4),VALUE(LEFT($W112,1))*10000+(ROW()-4))</f>
        <v/>
      </c>
    </row>
    <row r="113" ht="15" customHeight="1" s="20">
      <c r="A113" s="25" t="n"/>
      <c r="B113" s="25" t="n"/>
      <c r="C113" s="25" t="n"/>
      <c r="D113" s="25" t="n"/>
      <c r="E113" s="25" t="n"/>
      <c r="F113" s="26" t="n"/>
      <c r="G113" s="25" t="n"/>
      <c r="H113" s="25" t="n"/>
      <c r="I113" s="26" t="n"/>
      <c r="J113" s="25" t="n"/>
      <c r="K113" s="26" t="n"/>
      <c r="L113" s="25" t="n"/>
      <c r="M113" s="25" t="n"/>
      <c r="N113" s="26" t="n"/>
      <c r="O113" s="25" t="n"/>
      <c r="P113" s="25" t="n"/>
      <c r="Q113" s="26" t="n"/>
      <c r="R113" s="25">
        <f>IF(AND($A113="",$B113=""),"",IF(Q113="Complete","Onboarded",IF(OR(M113="Member",M113="Ambassador"),"Sponsored",IF(K113&lt;&gt;"","Follow-Up",IF(I113&lt;&gt;"","Presented",IF(F113&lt;&gt;"","Contacted","New Lead"))))))</f>
        <v/>
      </c>
      <c r="S113" s="25" t="n"/>
      <c r="T113" s="25">
        <f>IF(MAX(F113,I113,K113)=0,"",TODAY()-MAX(F113,I113,K113))</f>
        <v/>
      </c>
      <c r="U113" s="25" t="n"/>
      <c r="V113" s="25" t="n"/>
      <c r="W113" s="25">
        <f>IF(AND($A113="",$B113=""),"",IF(M113="Ambassador","1 - Ambassador",IF(M113="Member","2 - Member",IF(J113="Completed","3 - Presented",IF(H113&lt;&gt;"","4 - Sent",IF(F113&lt;&gt;"","5 - Contacted","6 - No Activity"))))))</f>
        <v/>
      </c>
      <c r="X113" s="25">
        <f>IF(AND($A113="",$B113=""),9999999+(ROW()-4),VALUE(LEFT($W113,1))*10000+(ROW()-4))</f>
        <v/>
      </c>
    </row>
    <row r="114" ht="15" customHeight="1" s="20">
      <c r="A114" s="25" t="n"/>
      <c r="B114" s="25" t="n"/>
      <c r="C114" s="25" t="n"/>
      <c r="D114" s="25" t="n"/>
      <c r="E114" s="25" t="n"/>
      <c r="F114" s="26" t="n"/>
      <c r="G114" s="25" t="n"/>
      <c r="H114" s="25" t="n"/>
      <c r="I114" s="26" t="n"/>
      <c r="J114" s="25" t="n"/>
      <c r="K114" s="26" t="n"/>
      <c r="L114" s="25" t="n"/>
      <c r="M114" s="25" t="n"/>
      <c r="N114" s="26" t="n"/>
      <c r="O114" s="25" t="n"/>
      <c r="P114" s="25" t="n"/>
      <c r="Q114" s="26" t="n"/>
      <c r="R114" s="25">
        <f>IF(AND($A114="",$B114=""),"",IF(Q114="Complete","Onboarded",IF(OR(M114="Member",M114="Ambassador"),"Sponsored",IF(K114&lt;&gt;"","Follow-Up",IF(I114&lt;&gt;"","Presented",IF(F114&lt;&gt;"","Contacted","New Lead"))))))</f>
        <v/>
      </c>
      <c r="S114" s="25" t="n"/>
      <c r="T114" s="25">
        <f>IF(MAX(F114,I114,K114)=0,"",TODAY()-MAX(F114,I114,K114))</f>
        <v/>
      </c>
      <c r="U114" s="25" t="n"/>
      <c r="V114" s="25" t="n"/>
      <c r="W114" s="25">
        <f>IF(AND($A114="",$B114=""),"",IF(M114="Ambassador","1 - Ambassador",IF(M114="Member","2 - Member",IF(J114="Completed","3 - Presented",IF(H114&lt;&gt;"","4 - Sent",IF(F114&lt;&gt;"","5 - Contacted","6 - No Activity"))))))</f>
        <v/>
      </c>
      <c r="X114" s="25">
        <f>IF(AND($A114="",$B114=""),9999999+(ROW()-4),VALUE(LEFT($W114,1))*10000+(ROW()-4))</f>
        <v/>
      </c>
    </row>
    <row r="115" ht="15" customHeight="1" s="20">
      <c r="A115" s="25" t="n"/>
      <c r="B115" s="25" t="n"/>
      <c r="C115" s="25" t="n"/>
      <c r="D115" s="25" t="n"/>
      <c r="E115" s="25" t="n"/>
      <c r="F115" s="26" t="n"/>
      <c r="G115" s="25" t="n"/>
      <c r="H115" s="25" t="n"/>
      <c r="I115" s="26" t="n"/>
      <c r="J115" s="25" t="n"/>
      <c r="K115" s="26" t="n"/>
      <c r="L115" s="25" t="n"/>
      <c r="M115" s="25" t="n"/>
      <c r="N115" s="26" t="n"/>
      <c r="O115" s="25" t="n"/>
      <c r="P115" s="25" t="n"/>
      <c r="Q115" s="26" t="n"/>
      <c r="R115" s="25">
        <f>IF(AND($A115="",$B115=""),"",IF(Q115="Complete","Onboarded",IF(OR(M115="Member",M115="Ambassador"),"Sponsored",IF(K115&lt;&gt;"","Follow-Up",IF(I115&lt;&gt;"","Presented",IF(F115&lt;&gt;"","Contacted","New Lead"))))))</f>
        <v/>
      </c>
      <c r="S115" s="25" t="n"/>
      <c r="T115" s="25">
        <f>IF(MAX(F115,I115,K115)=0,"",TODAY()-MAX(F115,I115,K115))</f>
        <v/>
      </c>
      <c r="U115" s="25" t="n"/>
      <c r="V115" s="25" t="n"/>
      <c r="W115" s="25">
        <f>IF(AND($A115="",$B115=""),"",IF(M115="Ambassador","1 - Ambassador",IF(M115="Member","2 - Member",IF(J115="Completed","3 - Presented",IF(H115&lt;&gt;"","4 - Sent",IF(F115&lt;&gt;"","5 - Contacted","6 - No Activity"))))))</f>
        <v/>
      </c>
      <c r="X115" s="25">
        <f>IF(AND($A115="",$B115=""),9999999+(ROW()-4),VALUE(LEFT($W115,1))*10000+(ROW()-4))</f>
        <v/>
      </c>
    </row>
    <row r="116" ht="15" customHeight="1" s="20">
      <c r="A116" s="25" t="n"/>
      <c r="B116" s="25" t="n"/>
      <c r="C116" s="25" t="n"/>
      <c r="D116" s="25" t="n"/>
      <c r="E116" s="25" t="n"/>
      <c r="F116" s="26" t="n"/>
      <c r="G116" s="25" t="n"/>
      <c r="H116" s="25" t="n"/>
      <c r="I116" s="26" t="n"/>
      <c r="J116" s="25" t="n"/>
      <c r="K116" s="26" t="n"/>
      <c r="L116" s="25" t="n"/>
      <c r="M116" s="25" t="n"/>
      <c r="N116" s="26" t="n"/>
      <c r="O116" s="25" t="n"/>
      <c r="P116" s="25" t="n"/>
      <c r="Q116" s="26" t="n"/>
      <c r="R116" s="25">
        <f>IF(AND($A116="",$B116=""),"",IF(Q116="Complete","Onboarded",IF(OR(M116="Member",M116="Ambassador"),"Sponsored",IF(K116&lt;&gt;"","Follow-Up",IF(I116&lt;&gt;"","Presented",IF(F116&lt;&gt;"","Contacted","New Lead"))))))</f>
        <v/>
      </c>
      <c r="S116" s="25" t="n"/>
      <c r="T116" s="25">
        <f>IF(MAX(F116,I116,K116)=0,"",TODAY()-MAX(F116,I116,K116))</f>
        <v/>
      </c>
      <c r="U116" s="25" t="n"/>
      <c r="V116" s="25" t="n"/>
      <c r="W116" s="25">
        <f>IF(AND($A116="",$B116=""),"",IF(M116="Ambassador","1 - Ambassador",IF(M116="Member","2 - Member",IF(J116="Completed","3 - Presented",IF(H116&lt;&gt;"","4 - Sent",IF(F116&lt;&gt;"","5 - Contacted","6 - No Activity"))))))</f>
        <v/>
      </c>
      <c r="X116" s="25">
        <f>IF(AND($A116="",$B116=""),9999999+(ROW()-4),VALUE(LEFT($W116,1))*10000+(ROW()-4))</f>
        <v/>
      </c>
    </row>
    <row r="117" ht="15" customHeight="1" s="20">
      <c r="A117" s="25" t="n"/>
      <c r="B117" s="25" t="n"/>
      <c r="C117" s="25" t="n"/>
      <c r="D117" s="25" t="n"/>
      <c r="E117" s="25" t="n"/>
      <c r="F117" s="26" t="n"/>
      <c r="G117" s="25" t="n"/>
      <c r="H117" s="25" t="n"/>
      <c r="I117" s="26" t="n"/>
      <c r="J117" s="25" t="n"/>
      <c r="K117" s="26" t="n"/>
      <c r="L117" s="25" t="n"/>
      <c r="M117" s="25" t="n"/>
      <c r="N117" s="26" t="n"/>
      <c r="O117" s="25" t="n"/>
      <c r="P117" s="25" t="n"/>
      <c r="Q117" s="26" t="n"/>
      <c r="R117" s="25">
        <f>IF(AND($A117="",$B117=""),"",IF(Q117="Complete","Onboarded",IF(OR(M117="Member",M117="Ambassador"),"Sponsored",IF(K117&lt;&gt;"","Follow-Up",IF(I117&lt;&gt;"","Presented",IF(F117&lt;&gt;"","Contacted","New Lead"))))))</f>
        <v/>
      </c>
      <c r="S117" s="25" t="n"/>
      <c r="T117" s="25">
        <f>IF(MAX(F117,I117,K117)=0,"",TODAY()-MAX(F117,I117,K117))</f>
        <v/>
      </c>
      <c r="U117" s="25" t="n"/>
      <c r="V117" s="25" t="n"/>
      <c r="W117" s="25">
        <f>IF(AND($A117="",$B117=""),"",IF(M117="Ambassador","1 - Ambassador",IF(M117="Member","2 - Member",IF(J117="Completed","3 - Presented",IF(H117&lt;&gt;"","4 - Sent",IF(F117&lt;&gt;"","5 - Contacted","6 - No Activity"))))))</f>
        <v/>
      </c>
      <c r="X117" s="25">
        <f>IF(AND($A117="",$B117=""),9999999+(ROW()-4),VALUE(LEFT($W117,1))*10000+(ROW()-4))</f>
        <v/>
      </c>
    </row>
    <row r="118" ht="15" customHeight="1" s="20">
      <c r="A118" s="25" t="n"/>
      <c r="B118" s="25" t="n"/>
      <c r="C118" s="25" t="n"/>
      <c r="D118" s="25" t="n"/>
      <c r="E118" s="25" t="n"/>
      <c r="F118" s="26" t="n"/>
      <c r="G118" s="25" t="n"/>
      <c r="H118" s="25" t="n"/>
      <c r="I118" s="26" t="n"/>
      <c r="J118" s="25" t="n"/>
      <c r="K118" s="26" t="n"/>
      <c r="L118" s="25" t="n"/>
      <c r="M118" s="25" t="n"/>
      <c r="N118" s="26" t="n"/>
      <c r="O118" s="25" t="n"/>
      <c r="P118" s="25" t="n"/>
      <c r="Q118" s="26" t="n"/>
      <c r="R118" s="25">
        <f>IF(AND($A118="",$B118=""),"",IF(Q118="Complete","Onboarded",IF(OR(M118="Member",M118="Ambassador"),"Sponsored",IF(K118&lt;&gt;"","Follow-Up",IF(I118&lt;&gt;"","Presented",IF(F118&lt;&gt;"","Contacted","New Lead"))))))</f>
        <v/>
      </c>
      <c r="S118" s="25" t="n"/>
      <c r="T118" s="25">
        <f>IF(MAX(F118,I118,K118)=0,"",TODAY()-MAX(F118,I118,K118))</f>
        <v/>
      </c>
      <c r="U118" s="25" t="n"/>
      <c r="V118" s="25" t="n"/>
      <c r="W118" s="25">
        <f>IF(AND($A118="",$B118=""),"",IF(M118="Ambassador","1 - Ambassador",IF(M118="Member","2 - Member",IF(J118="Completed","3 - Presented",IF(H118&lt;&gt;"","4 - Sent",IF(F118&lt;&gt;"","5 - Contacted","6 - No Activity"))))))</f>
        <v/>
      </c>
      <c r="X118" s="25">
        <f>IF(AND($A118="",$B118=""),9999999+(ROW()-4),VALUE(LEFT($W118,1))*10000+(ROW()-4))</f>
        <v/>
      </c>
    </row>
    <row r="119" ht="15" customHeight="1" s="20">
      <c r="A119" s="25" t="n"/>
      <c r="B119" s="25" t="n"/>
      <c r="C119" s="25" t="n"/>
      <c r="D119" s="25" t="n"/>
      <c r="E119" s="25" t="n"/>
      <c r="F119" s="26" t="n"/>
      <c r="G119" s="25" t="n"/>
      <c r="H119" s="25" t="n"/>
      <c r="I119" s="26" t="n"/>
      <c r="J119" s="25" t="n"/>
      <c r="K119" s="26" t="n"/>
      <c r="L119" s="25" t="n"/>
      <c r="M119" s="25" t="n"/>
      <c r="N119" s="26" t="n"/>
      <c r="O119" s="25" t="n"/>
      <c r="P119" s="25" t="n"/>
      <c r="Q119" s="26" t="n"/>
      <c r="R119" s="25">
        <f>IF(AND($A119="",$B119=""),"",IF(Q119="Complete","Onboarded",IF(OR(M119="Member",M119="Ambassador"),"Sponsored",IF(K119&lt;&gt;"","Follow-Up",IF(I119&lt;&gt;"","Presented",IF(F119&lt;&gt;"","Contacted","New Lead"))))))</f>
        <v/>
      </c>
      <c r="S119" s="25" t="n"/>
      <c r="T119" s="25">
        <f>IF(MAX(F119,I119,K119)=0,"",TODAY()-MAX(F119,I119,K119))</f>
        <v/>
      </c>
      <c r="U119" s="25" t="n"/>
      <c r="V119" s="25" t="n"/>
      <c r="W119" s="25">
        <f>IF(AND($A119="",$B119=""),"",IF(M119="Ambassador","1 - Ambassador",IF(M119="Member","2 - Member",IF(J119="Completed","3 - Presented",IF(H119&lt;&gt;"","4 - Sent",IF(F119&lt;&gt;"","5 - Contacted","6 - No Activity"))))))</f>
        <v/>
      </c>
      <c r="X119" s="25">
        <f>IF(AND($A119="",$B119=""),9999999+(ROW()-4),VALUE(LEFT($W119,1))*10000+(ROW()-4))</f>
        <v/>
      </c>
    </row>
    <row r="120" ht="15" customHeight="1" s="20">
      <c r="A120" s="25" t="n"/>
      <c r="B120" s="25" t="n"/>
      <c r="C120" s="25" t="n"/>
      <c r="D120" s="25" t="n"/>
      <c r="E120" s="25" t="n"/>
      <c r="F120" s="26" t="n"/>
      <c r="G120" s="25" t="n"/>
      <c r="H120" s="25" t="n"/>
      <c r="I120" s="26" t="n"/>
      <c r="J120" s="25" t="n"/>
      <c r="K120" s="26" t="n"/>
      <c r="L120" s="25" t="n"/>
      <c r="M120" s="25" t="n"/>
      <c r="N120" s="26" t="n"/>
      <c r="O120" s="25" t="n"/>
      <c r="P120" s="25" t="n"/>
      <c r="Q120" s="26" t="n"/>
      <c r="R120" s="25">
        <f>IF(AND($A120="",$B120=""),"",IF(Q120="Complete","Onboarded",IF(OR(M120="Member",M120="Ambassador"),"Sponsored",IF(K120&lt;&gt;"","Follow-Up",IF(I120&lt;&gt;"","Presented",IF(F120&lt;&gt;"","Contacted","New Lead"))))))</f>
        <v/>
      </c>
      <c r="S120" s="25" t="n"/>
      <c r="T120" s="25">
        <f>IF(MAX(F120,I120,K120)=0,"",TODAY()-MAX(F120,I120,K120))</f>
        <v/>
      </c>
      <c r="U120" s="25" t="n"/>
      <c r="V120" s="25" t="n"/>
      <c r="W120" s="25">
        <f>IF(AND($A120="",$B120=""),"",IF(M120="Ambassador","1 - Ambassador",IF(M120="Member","2 - Member",IF(J120="Completed","3 - Presented",IF(H120&lt;&gt;"","4 - Sent",IF(F120&lt;&gt;"","5 - Contacted","6 - No Activity"))))))</f>
        <v/>
      </c>
      <c r="X120" s="25">
        <f>IF(AND($A120="",$B120=""),9999999+(ROW()-4),VALUE(LEFT($W120,1))*10000+(ROW()-4))</f>
        <v/>
      </c>
    </row>
    <row r="121" ht="15" customHeight="1" s="20">
      <c r="A121" s="25" t="n"/>
      <c r="B121" s="25" t="n"/>
      <c r="C121" s="25" t="n"/>
      <c r="D121" s="25" t="n"/>
      <c r="E121" s="25" t="n"/>
      <c r="F121" s="26" t="n"/>
      <c r="G121" s="25" t="n"/>
      <c r="H121" s="25" t="n"/>
      <c r="I121" s="26" t="n"/>
      <c r="J121" s="25" t="n"/>
      <c r="K121" s="26" t="n"/>
      <c r="L121" s="25" t="n"/>
      <c r="M121" s="25" t="n"/>
      <c r="N121" s="26" t="n"/>
      <c r="O121" s="25" t="n"/>
      <c r="P121" s="25" t="n"/>
      <c r="Q121" s="26" t="n"/>
      <c r="R121" s="25">
        <f>IF(AND($A121="",$B121=""),"",IF(Q121="Complete","Onboarded",IF(OR(M121="Member",M121="Ambassador"),"Sponsored",IF(K121&lt;&gt;"","Follow-Up",IF(I121&lt;&gt;"","Presented",IF(F121&lt;&gt;"","Contacted","New Lead"))))))</f>
        <v/>
      </c>
      <c r="S121" s="25" t="n"/>
      <c r="T121" s="25">
        <f>IF(MAX(F121,I121,K121)=0,"",TODAY()-MAX(F121,I121,K121))</f>
        <v/>
      </c>
      <c r="U121" s="25" t="n"/>
      <c r="V121" s="25" t="n"/>
      <c r="W121" s="25">
        <f>IF(AND($A121="",$B121=""),"",IF(M121="Ambassador","1 - Ambassador",IF(M121="Member","2 - Member",IF(J121="Completed","3 - Presented",IF(H121&lt;&gt;"","4 - Sent",IF(F121&lt;&gt;"","5 - Contacted","6 - No Activity"))))))</f>
        <v/>
      </c>
      <c r="X121" s="25">
        <f>IF(AND($A121="",$B121=""),9999999+(ROW()-4),VALUE(LEFT($W121,1))*10000+(ROW()-4))</f>
        <v/>
      </c>
    </row>
    <row r="122" ht="15" customHeight="1" s="20">
      <c r="A122" s="25" t="n"/>
      <c r="B122" s="25" t="n"/>
      <c r="C122" s="25" t="n"/>
      <c r="D122" s="25" t="n"/>
      <c r="E122" s="25" t="n"/>
      <c r="F122" s="26" t="n"/>
      <c r="G122" s="25" t="n"/>
      <c r="H122" s="25" t="n"/>
      <c r="I122" s="26" t="n"/>
      <c r="J122" s="25" t="n"/>
      <c r="K122" s="26" t="n"/>
      <c r="L122" s="25" t="n"/>
      <c r="M122" s="25" t="n"/>
      <c r="N122" s="26" t="n"/>
      <c r="O122" s="25" t="n"/>
      <c r="P122" s="25" t="n"/>
      <c r="Q122" s="26" t="n"/>
      <c r="R122" s="25">
        <f>IF(AND($A122="",$B122=""),"",IF(Q122="Complete","Onboarded",IF(OR(M122="Member",M122="Ambassador"),"Sponsored",IF(K122&lt;&gt;"","Follow-Up",IF(I122&lt;&gt;"","Presented",IF(F122&lt;&gt;"","Contacted","New Lead"))))))</f>
        <v/>
      </c>
      <c r="S122" s="25" t="n"/>
      <c r="T122" s="25">
        <f>IF(MAX(F122,I122,K122)=0,"",TODAY()-MAX(F122,I122,K122))</f>
        <v/>
      </c>
      <c r="U122" s="25" t="n"/>
      <c r="V122" s="25" t="n"/>
      <c r="W122" s="25">
        <f>IF(AND($A122="",$B122=""),"",IF(M122="Ambassador","1 - Ambassador",IF(M122="Member","2 - Member",IF(J122="Completed","3 - Presented",IF(H122&lt;&gt;"","4 - Sent",IF(F122&lt;&gt;"","5 - Contacted","6 - No Activity"))))))</f>
        <v/>
      </c>
      <c r="X122" s="25">
        <f>IF(AND($A122="",$B122=""),9999999+(ROW()-4),VALUE(LEFT($W122,1))*10000+(ROW()-4))</f>
        <v/>
      </c>
    </row>
    <row r="123" ht="15" customHeight="1" s="20">
      <c r="A123" s="25" t="n"/>
      <c r="B123" s="25" t="n"/>
      <c r="C123" s="25" t="n"/>
      <c r="D123" s="25" t="n"/>
      <c r="E123" s="25" t="n"/>
      <c r="F123" s="26" t="n"/>
      <c r="G123" s="25" t="n"/>
      <c r="H123" s="25" t="n"/>
      <c r="I123" s="26" t="n"/>
      <c r="J123" s="25" t="n"/>
      <c r="K123" s="26" t="n"/>
      <c r="L123" s="25" t="n"/>
      <c r="M123" s="25" t="n"/>
      <c r="N123" s="26" t="n"/>
      <c r="O123" s="25" t="n"/>
      <c r="P123" s="25" t="n"/>
      <c r="Q123" s="26" t="n"/>
      <c r="R123" s="25">
        <f>IF(AND($A123="",$B123=""),"",IF(Q123="Complete","Onboarded",IF(OR(M123="Member",M123="Ambassador"),"Sponsored",IF(K123&lt;&gt;"","Follow-Up",IF(I123&lt;&gt;"","Presented",IF(F123&lt;&gt;"","Contacted","New Lead"))))))</f>
        <v/>
      </c>
      <c r="S123" s="25" t="n"/>
      <c r="T123" s="25">
        <f>IF(MAX(F123,I123,K123)=0,"",TODAY()-MAX(F123,I123,K123))</f>
        <v/>
      </c>
      <c r="U123" s="25" t="n"/>
      <c r="V123" s="25" t="n"/>
      <c r="W123" s="25">
        <f>IF(AND($A123="",$B123=""),"",IF(M123="Ambassador","1 - Ambassador",IF(M123="Member","2 - Member",IF(J123="Completed","3 - Presented",IF(H123&lt;&gt;"","4 - Sent",IF(F123&lt;&gt;"","5 - Contacted","6 - No Activity"))))))</f>
        <v/>
      </c>
      <c r="X123" s="25">
        <f>IF(AND($A123="",$B123=""),9999999+(ROW()-4),VALUE(LEFT($W123,1))*10000+(ROW()-4))</f>
        <v/>
      </c>
    </row>
    <row r="124" ht="15" customHeight="1" s="20">
      <c r="A124" s="25" t="n"/>
      <c r="B124" s="25" t="n"/>
      <c r="C124" s="25" t="n"/>
      <c r="D124" s="25" t="n"/>
      <c r="E124" s="25" t="n"/>
      <c r="F124" s="26" t="n"/>
      <c r="G124" s="25" t="n"/>
      <c r="H124" s="25" t="n"/>
      <c r="I124" s="26" t="n"/>
      <c r="J124" s="25" t="n"/>
      <c r="K124" s="26" t="n"/>
      <c r="L124" s="25" t="n"/>
      <c r="M124" s="25" t="n"/>
      <c r="N124" s="26" t="n"/>
      <c r="O124" s="25" t="n"/>
      <c r="P124" s="25" t="n"/>
      <c r="Q124" s="26" t="n"/>
      <c r="R124" s="25">
        <f>IF(AND($A124="",$B124=""),"",IF(Q124="Complete","Onboarded",IF(OR(M124="Member",M124="Ambassador"),"Sponsored",IF(K124&lt;&gt;"","Follow-Up",IF(I124&lt;&gt;"","Presented",IF(F124&lt;&gt;"","Contacted","New Lead"))))))</f>
        <v/>
      </c>
      <c r="S124" s="25" t="n"/>
      <c r="T124" s="25">
        <f>IF(MAX(F124,I124,K124)=0,"",TODAY()-MAX(F124,I124,K124))</f>
        <v/>
      </c>
      <c r="U124" s="25" t="n"/>
      <c r="V124" s="25" t="n"/>
      <c r="W124" s="25">
        <f>IF(AND($A124="",$B124=""),"",IF(M124="Ambassador","1 - Ambassador",IF(M124="Member","2 - Member",IF(J124="Completed","3 - Presented",IF(H124&lt;&gt;"","4 - Sent",IF(F124&lt;&gt;"","5 - Contacted","6 - No Activity"))))))</f>
        <v/>
      </c>
      <c r="X124" s="25">
        <f>IF(AND($A124="",$B124=""),9999999+(ROW()-4),VALUE(LEFT($W124,1))*10000+(ROW()-4))</f>
        <v/>
      </c>
    </row>
    <row r="125" ht="15" customHeight="1" s="20">
      <c r="A125" s="25" t="n"/>
      <c r="B125" s="25" t="n"/>
      <c r="C125" s="25" t="n"/>
      <c r="D125" s="25" t="n"/>
      <c r="E125" s="25" t="n"/>
      <c r="F125" s="26" t="n"/>
      <c r="G125" s="25" t="n"/>
      <c r="H125" s="25" t="n"/>
      <c r="I125" s="26" t="n"/>
      <c r="J125" s="25" t="n"/>
      <c r="K125" s="26" t="n"/>
      <c r="L125" s="25" t="n"/>
      <c r="M125" s="25" t="n"/>
      <c r="N125" s="26" t="n"/>
      <c r="O125" s="25" t="n"/>
      <c r="P125" s="25" t="n"/>
      <c r="Q125" s="26" t="n"/>
      <c r="R125" s="25">
        <f>IF(AND($A125="",$B125=""),"",IF(Q125="Complete","Onboarded",IF(OR(M125="Member",M125="Ambassador"),"Sponsored",IF(K125&lt;&gt;"","Follow-Up",IF(I125&lt;&gt;"","Presented",IF(F125&lt;&gt;"","Contacted","New Lead"))))))</f>
        <v/>
      </c>
      <c r="S125" s="25" t="n"/>
      <c r="T125" s="25">
        <f>IF(MAX(F125,I125,K125)=0,"",TODAY()-MAX(F125,I125,K125))</f>
        <v/>
      </c>
      <c r="U125" s="25" t="n"/>
      <c r="V125" s="25" t="n"/>
      <c r="W125" s="25">
        <f>IF(AND($A125="",$B125=""),"",IF(M125="Ambassador","1 - Ambassador",IF(M125="Member","2 - Member",IF(J125="Completed","3 - Presented",IF(H125&lt;&gt;"","4 - Sent",IF(F125&lt;&gt;"","5 - Contacted","6 - No Activity"))))))</f>
        <v/>
      </c>
      <c r="X125" s="25">
        <f>IF(AND($A125="",$B125=""),9999999+(ROW()-4),VALUE(LEFT($W125,1))*10000+(ROW()-4))</f>
        <v/>
      </c>
    </row>
    <row r="126" ht="15" customHeight="1" s="20">
      <c r="A126" s="25" t="n"/>
      <c r="B126" s="25" t="n"/>
      <c r="C126" s="25" t="n"/>
      <c r="D126" s="25" t="n"/>
      <c r="E126" s="25" t="n"/>
      <c r="F126" s="26" t="n"/>
      <c r="G126" s="25" t="n"/>
      <c r="H126" s="25" t="n"/>
      <c r="I126" s="26" t="n"/>
      <c r="J126" s="25" t="n"/>
      <c r="K126" s="26" t="n"/>
      <c r="L126" s="25" t="n"/>
      <c r="M126" s="25" t="n"/>
      <c r="N126" s="26" t="n"/>
      <c r="O126" s="25" t="n"/>
      <c r="P126" s="25" t="n"/>
      <c r="Q126" s="26" t="n"/>
      <c r="R126" s="25">
        <f>IF(AND($A126="",$B126=""),"",IF(Q126="Complete","Onboarded",IF(OR(M126="Member",M126="Ambassador"),"Sponsored",IF(K126&lt;&gt;"","Follow-Up",IF(I126&lt;&gt;"","Presented",IF(F126&lt;&gt;"","Contacted","New Lead"))))))</f>
        <v/>
      </c>
      <c r="S126" s="25" t="n"/>
      <c r="T126" s="25">
        <f>IF(MAX(F126,I126,K126)=0,"",TODAY()-MAX(F126,I126,K126))</f>
        <v/>
      </c>
      <c r="U126" s="25" t="n"/>
      <c r="V126" s="25" t="n"/>
      <c r="W126" s="25">
        <f>IF(AND($A126="",$B126=""),"",IF(M126="Ambassador","1 - Ambassador",IF(M126="Member","2 - Member",IF(J126="Completed","3 - Presented",IF(H126&lt;&gt;"","4 - Sent",IF(F126&lt;&gt;"","5 - Contacted","6 - No Activity"))))))</f>
        <v/>
      </c>
      <c r="X126" s="25">
        <f>IF(AND($A126="",$B126=""),9999999+(ROW()-4),VALUE(LEFT($W126,1))*10000+(ROW()-4))</f>
        <v/>
      </c>
    </row>
    <row r="127" ht="15" customHeight="1" s="20">
      <c r="A127" s="25" t="n"/>
      <c r="B127" s="25" t="n"/>
      <c r="C127" s="25" t="n"/>
      <c r="D127" s="25" t="n"/>
      <c r="E127" s="25" t="n"/>
      <c r="F127" s="26" t="n"/>
      <c r="G127" s="25" t="n"/>
      <c r="H127" s="25" t="n"/>
      <c r="I127" s="26" t="n"/>
      <c r="J127" s="25" t="n"/>
      <c r="K127" s="26" t="n"/>
      <c r="L127" s="25" t="n"/>
      <c r="M127" s="25" t="n"/>
      <c r="N127" s="26" t="n"/>
      <c r="O127" s="25" t="n"/>
      <c r="P127" s="25" t="n"/>
      <c r="Q127" s="26" t="n"/>
      <c r="R127" s="25">
        <f>IF(AND($A127="",$B127=""),"",IF(Q127="Complete","Onboarded",IF(OR(M127="Member",M127="Ambassador"),"Sponsored",IF(K127&lt;&gt;"","Follow-Up",IF(I127&lt;&gt;"","Presented",IF(F127&lt;&gt;"","Contacted","New Lead"))))))</f>
        <v/>
      </c>
      <c r="S127" s="25" t="n"/>
      <c r="T127" s="25">
        <f>IF(MAX(F127,I127,K127)=0,"",TODAY()-MAX(F127,I127,K127))</f>
        <v/>
      </c>
      <c r="U127" s="25" t="n"/>
      <c r="V127" s="25" t="n"/>
      <c r="W127" s="25">
        <f>IF(AND($A127="",$B127=""),"",IF(M127="Ambassador","1 - Ambassador",IF(M127="Member","2 - Member",IF(J127="Completed","3 - Presented",IF(H127&lt;&gt;"","4 - Sent",IF(F127&lt;&gt;"","5 - Contacted","6 - No Activity"))))))</f>
        <v/>
      </c>
      <c r="X127" s="25">
        <f>IF(AND($A127="",$B127=""),9999999+(ROW()-4),VALUE(LEFT($W127,1))*10000+(ROW()-4))</f>
        <v/>
      </c>
    </row>
    <row r="128" ht="15" customHeight="1" s="20">
      <c r="A128" s="25" t="n"/>
      <c r="B128" s="25" t="n"/>
      <c r="C128" s="25" t="n"/>
      <c r="D128" s="25" t="n"/>
      <c r="E128" s="25" t="n"/>
      <c r="F128" s="26" t="n"/>
      <c r="G128" s="25" t="n"/>
      <c r="H128" s="25" t="n"/>
      <c r="I128" s="26" t="n"/>
      <c r="J128" s="25" t="n"/>
      <c r="K128" s="26" t="n"/>
      <c r="L128" s="25" t="n"/>
      <c r="M128" s="25" t="n"/>
      <c r="N128" s="26" t="n"/>
      <c r="O128" s="25" t="n"/>
      <c r="P128" s="25" t="n"/>
      <c r="Q128" s="26" t="n"/>
      <c r="R128" s="25">
        <f>IF(AND($A128="",$B128=""),"",IF(Q128="Complete","Onboarded",IF(OR(M128="Member",M128="Ambassador"),"Sponsored",IF(K128&lt;&gt;"","Follow-Up",IF(I128&lt;&gt;"","Presented",IF(F128&lt;&gt;"","Contacted","New Lead"))))))</f>
        <v/>
      </c>
      <c r="S128" s="25" t="n"/>
      <c r="T128" s="25">
        <f>IF(MAX(F128,I128,K128)=0,"",TODAY()-MAX(F128,I128,K128))</f>
        <v/>
      </c>
      <c r="U128" s="25" t="n"/>
      <c r="V128" s="25" t="n"/>
      <c r="W128" s="25">
        <f>IF(AND($A128="",$B128=""),"",IF(M128="Ambassador","1 - Ambassador",IF(M128="Member","2 - Member",IF(J128="Completed","3 - Presented",IF(H128&lt;&gt;"","4 - Sent",IF(F128&lt;&gt;"","5 - Contacted","6 - No Activity"))))))</f>
        <v/>
      </c>
      <c r="X128" s="25">
        <f>IF(AND($A128="",$B128=""),9999999+(ROW()-4),VALUE(LEFT($W128,1))*10000+(ROW()-4))</f>
        <v/>
      </c>
    </row>
    <row r="129" ht="15" customHeight="1" s="20">
      <c r="A129" s="25" t="n"/>
      <c r="B129" s="25" t="n"/>
      <c r="C129" s="25" t="n"/>
      <c r="D129" s="25" t="n"/>
      <c r="E129" s="25" t="n"/>
      <c r="F129" s="26" t="n"/>
      <c r="G129" s="25" t="n"/>
      <c r="H129" s="25" t="n"/>
      <c r="I129" s="26" t="n"/>
      <c r="J129" s="25" t="n"/>
      <c r="K129" s="26" t="n"/>
      <c r="L129" s="25" t="n"/>
      <c r="M129" s="25" t="n"/>
      <c r="N129" s="26" t="n"/>
      <c r="O129" s="25" t="n"/>
      <c r="P129" s="25" t="n"/>
      <c r="Q129" s="26" t="n"/>
      <c r="R129" s="25">
        <f>IF(AND($A129="",$B129=""),"",IF(Q129="Complete","Onboarded",IF(OR(M129="Member",M129="Ambassador"),"Sponsored",IF(K129&lt;&gt;"","Follow-Up",IF(I129&lt;&gt;"","Presented",IF(F129&lt;&gt;"","Contacted","New Lead"))))))</f>
        <v/>
      </c>
      <c r="S129" s="25" t="n"/>
      <c r="T129" s="25">
        <f>IF(MAX(F129,I129,K129)=0,"",TODAY()-MAX(F129,I129,K129))</f>
        <v/>
      </c>
      <c r="U129" s="25" t="n"/>
      <c r="V129" s="25" t="n"/>
      <c r="W129" s="25">
        <f>IF(AND($A129="",$B129=""),"",IF(M129="Ambassador","1 - Ambassador",IF(M129="Member","2 - Member",IF(J129="Completed","3 - Presented",IF(H129&lt;&gt;"","4 - Sent",IF(F129&lt;&gt;"","5 - Contacted","6 - No Activity"))))))</f>
        <v/>
      </c>
      <c r="X129" s="25">
        <f>IF(AND($A129="",$B129=""),9999999+(ROW()-4),VALUE(LEFT($W129,1))*10000+(ROW()-4))</f>
        <v/>
      </c>
    </row>
    <row r="130" ht="15" customHeight="1" s="20">
      <c r="A130" s="25" t="n"/>
      <c r="B130" s="25" t="n"/>
      <c r="C130" s="25" t="n"/>
      <c r="D130" s="25" t="n"/>
      <c r="E130" s="25" t="n"/>
      <c r="F130" s="26" t="n"/>
      <c r="G130" s="25" t="n"/>
      <c r="H130" s="25" t="n"/>
      <c r="I130" s="26" t="n"/>
      <c r="J130" s="25" t="n"/>
      <c r="K130" s="26" t="n"/>
      <c r="L130" s="25" t="n"/>
      <c r="M130" s="25" t="n"/>
      <c r="N130" s="26" t="n"/>
      <c r="O130" s="25" t="n"/>
      <c r="P130" s="25" t="n"/>
      <c r="Q130" s="26" t="n"/>
      <c r="R130" s="25">
        <f>IF(AND($A130="",$B130=""),"",IF(Q130="Complete","Onboarded",IF(OR(M130="Member",M130="Ambassador"),"Sponsored",IF(K130&lt;&gt;"","Follow-Up",IF(I130&lt;&gt;"","Presented",IF(F130&lt;&gt;"","Contacted","New Lead"))))))</f>
        <v/>
      </c>
      <c r="S130" s="25" t="n"/>
      <c r="T130" s="25">
        <f>IF(MAX(F130,I130,K130)=0,"",TODAY()-MAX(F130,I130,K130))</f>
        <v/>
      </c>
      <c r="U130" s="25" t="n"/>
      <c r="V130" s="25" t="n"/>
      <c r="W130" s="25">
        <f>IF(AND($A130="",$B130=""),"",IF(M130="Ambassador","1 - Ambassador",IF(M130="Member","2 - Member",IF(J130="Completed","3 - Presented",IF(H130&lt;&gt;"","4 - Sent",IF(F130&lt;&gt;"","5 - Contacted","6 - No Activity"))))))</f>
        <v/>
      </c>
      <c r="X130" s="25">
        <f>IF(AND($A130="",$B130=""),9999999+(ROW()-4),VALUE(LEFT($W130,1))*10000+(ROW()-4))</f>
        <v/>
      </c>
    </row>
    <row r="131" ht="15" customHeight="1" s="20">
      <c r="A131" s="25" t="n"/>
      <c r="B131" s="25" t="n"/>
      <c r="C131" s="25" t="n"/>
      <c r="D131" s="25" t="n"/>
      <c r="E131" s="25" t="n"/>
      <c r="F131" s="26" t="n"/>
      <c r="G131" s="25" t="n"/>
      <c r="H131" s="25" t="n"/>
      <c r="I131" s="26" t="n"/>
      <c r="J131" s="25" t="n"/>
      <c r="K131" s="26" t="n"/>
      <c r="L131" s="25" t="n"/>
      <c r="M131" s="25" t="n"/>
      <c r="N131" s="26" t="n"/>
      <c r="O131" s="25" t="n"/>
      <c r="P131" s="25" t="n"/>
      <c r="Q131" s="26" t="n"/>
      <c r="R131" s="25">
        <f>IF(AND($A131="",$B131=""),"",IF(Q131="Complete","Onboarded",IF(OR(M131="Member",M131="Ambassador"),"Sponsored",IF(K131&lt;&gt;"","Follow-Up",IF(I131&lt;&gt;"","Presented",IF(F131&lt;&gt;"","Contacted","New Lead"))))))</f>
        <v/>
      </c>
      <c r="S131" s="25" t="n"/>
      <c r="T131" s="25">
        <f>IF(MAX(F131,I131,K131)=0,"",TODAY()-MAX(F131,I131,K131))</f>
        <v/>
      </c>
      <c r="U131" s="25" t="n"/>
      <c r="V131" s="25" t="n"/>
      <c r="W131" s="25">
        <f>IF(AND($A131="",$B131=""),"",IF(M131="Ambassador","1 - Ambassador",IF(M131="Member","2 - Member",IF(J131="Completed","3 - Presented",IF(H131&lt;&gt;"","4 - Sent",IF(F131&lt;&gt;"","5 - Contacted","6 - No Activity"))))))</f>
        <v/>
      </c>
      <c r="X131" s="25">
        <f>IF(AND($A131="",$B131=""),9999999+(ROW()-4),VALUE(LEFT($W131,1))*10000+(ROW()-4))</f>
        <v/>
      </c>
    </row>
    <row r="132" ht="15" customHeight="1" s="20">
      <c r="A132" s="25" t="n"/>
      <c r="B132" s="25" t="n"/>
      <c r="C132" s="25" t="n"/>
      <c r="D132" s="25" t="n"/>
      <c r="E132" s="25" t="n"/>
      <c r="F132" s="26" t="n"/>
      <c r="G132" s="25" t="n"/>
      <c r="H132" s="25" t="n"/>
      <c r="I132" s="26" t="n"/>
      <c r="J132" s="25" t="n"/>
      <c r="K132" s="26" t="n"/>
      <c r="L132" s="25" t="n"/>
      <c r="M132" s="25" t="n"/>
      <c r="N132" s="26" t="n"/>
      <c r="O132" s="25" t="n"/>
      <c r="P132" s="25" t="n"/>
      <c r="Q132" s="26" t="n"/>
      <c r="R132" s="25">
        <f>IF(AND($A132="",$B132=""),"",IF(Q132="Complete","Onboarded",IF(OR(M132="Member",M132="Ambassador"),"Sponsored",IF(K132&lt;&gt;"","Follow-Up",IF(I132&lt;&gt;"","Presented",IF(F132&lt;&gt;"","Contacted","New Lead"))))))</f>
        <v/>
      </c>
      <c r="S132" s="25" t="n"/>
      <c r="T132" s="25">
        <f>IF(MAX(F132,I132,K132)=0,"",TODAY()-MAX(F132,I132,K132))</f>
        <v/>
      </c>
      <c r="U132" s="25" t="n"/>
      <c r="V132" s="25" t="n"/>
      <c r="W132" s="25">
        <f>IF(AND($A132="",$B132=""),"",IF(M132="Ambassador","1 - Ambassador",IF(M132="Member","2 - Member",IF(J132="Completed","3 - Presented",IF(H132&lt;&gt;"","4 - Sent",IF(F132&lt;&gt;"","5 - Contacted","6 - No Activity"))))))</f>
        <v/>
      </c>
      <c r="X132" s="25">
        <f>IF(AND($A132="",$B132=""),9999999+(ROW()-4),VALUE(LEFT($W132,1))*10000+(ROW()-4))</f>
        <v/>
      </c>
    </row>
    <row r="133" ht="15" customHeight="1" s="20">
      <c r="A133" s="25" t="n"/>
      <c r="B133" s="25" t="n"/>
      <c r="C133" s="25" t="n"/>
      <c r="D133" s="25" t="n"/>
      <c r="E133" s="25" t="n"/>
      <c r="F133" s="26" t="n"/>
      <c r="G133" s="25" t="n"/>
      <c r="H133" s="25" t="n"/>
      <c r="I133" s="26" t="n"/>
      <c r="J133" s="25" t="n"/>
      <c r="K133" s="26" t="n"/>
      <c r="L133" s="25" t="n"/>
      <c r="M133" s="25" t="n"/>
      <c r="N133" s="26" t="n"/>
      <c r="O133" s="25" t="n"/>
      <c r="P133" s="25" t="n"/>
      <c r="Q133" s="26" t="n"/>
      <c r="R133" s="25">
        <f>IF(AND($A133="",$B133=""),"",IF(Q133="Complete","Onboarded",IF(OR(M133="Member",M133="Ambassador"),"Sponsored",IF(K133&lt;&gt;"","Follow-Up",IF(I133&lt;&gt;"","Presented",IF(F133&lt;&gt;"","Contacted","New Lead"))))))</f>
        <v/>
      </c>
      <c r="S133" s="25" t="n"/>
      <c r="T133" s="25">
        <f>IF(MAX(F133,I133,K133)=0,"",TODAY()-MAX(F133,I133,K133))</f>
        <v/>
      </c>
      <c r="U133" s="25" t="n"/>
      <c r="V133" s="25" t="n"/>
      <c r="W133" s="25">
        <f>IF(AND($A133="",$B133=""),"",IF(M133="Ambassador","1 - Ambassador",IF(M133="Member","2 - Member",IF(J133="Completed","3 - Presented",IF(H133&lt;&gt;"","4 - Sent",IF(F133&lt;&gt;"","5 - Contacted","6 - No Activity"))))))</f>
        <v/>
      </c>
      <c r="X133" s="25">
        <f>IF(AND($A133="",$B133=""),9999999+(ROW()-4),VALUE(LEFT($W133,1))*10000+(ROW()-4))</f>
        <v/>
      </c>
    </row>
    <row r="134" ht="15" customHeight="1" s="20">
      <c r="A134" s="25" t="n"/>
      <c r="B134" s="25" t="n"/>
      <c r="C134" s="25" t="n"/>
      <c r="D134" s="25" t="n"/>
      <c r="E134" s="25" t="n"/>
      <c r="F134" s="26" t="n"/>
      <c r="G134" s="25" t="n"/>
      <c r="H134" s="25" t="n"/>
      <c r="I134" s="26" t="n"/>
      <c r="J134" s="25" t="n"/>
      <c r="K134" s="26" t="n"/>
      <c r="L134" s="25" t="n"/>
      <c r="M134" s="25" t="n"/>
      <c r="N134" s="26" t="n"/>
      <c r="O134" s="25" t="n"/>
      <c r="P134" s="25" t="n"/>
      <c r="Q134" s="26" t="n"/>
      <c r="R134" s="25">
        <f>IF(AND($A134="",$B134=""),"",IF(Q134="Complete","Onboarded",IF(OR(M134="Member",M134="Ambassador"),"Sponsored",IF(K134&lt;&gt;"","Follow-Up",IF(I134&lt;&gt;"","Presented",IF(F134&lt;&gt;"","Contacted","New Lead"))))))</f>
        <v/>
      </c>
      <c r="S134" s="25" t="n"/>
      <c r="T134" s="25">
        <f>IF(MAX(F134,I134,K134)=0,"",TODAY()-MAX(F134,I134,K134))</f>
        <v/>
      </c>
      <c r="U134" s="25" t="n"/>
      <c r="V134" s="25" t="n"/>
      <c r="W134" s="25">
        <f>IF(AND($A134="",$B134=""),"",IF(M134="Ambassador","1 - Ambassador",IF(M134="Member","2 - Member",IF(J134="Completed","3 - Presented",IF(H134&lt;&gt;"","4 - Sent",IF(F134&lt;&gt;"","5 - Contacted","6 - No Activity"))))))</f>
        <v/>
      </c>
      <c r="X134" s="25">
        <f>IF(AND($A134="",$B134=""),9999999+(ROW()-4),VALUE(LEFT($W134,1))*10000+(ROW()-4))</f>
        <v/>
      </c>
    </row>
    <row r="135" ht="15" customHeight="1" s="20">
      <c r="A135" s="25" t="n"/>
      <c r="B135" s="25" t="n"/>
      <c r="C135" s="25" t="n"/>
      <c r="D135" s="25" t="n"/>
      <c r="E135" s="25" t="n"/>
      <c r="F135" s="26" t="n"/>
      <c r="G135" s="25" t="n"/>
      <c r="H135" s="25" t="n"/>
      <c r="I135" s="26" t="n"/>
      <c r="J135" s="25" t="n"/>
      <c r="K135" s="26" t="n"/>
      <c r="L135" s="25" t="n"/>
      <c r="M135" s="25" t="n"/>
      <c r="N135" s="26" t="n"/>
      <c r="O135" s="25" t="n"/>
      <c r="P135" s="25" t="n"/>
      <c r="Q135" s="26" t="n"/>
      <c r="R135" s="25">
        <f>IF(AND($A135="",$B135=""),"",IF(Q135="Complete","Onboarded",IF(OR(M135="Member",M135="Ambassador"),"Sponsored",IF(K135&lt;&gt;"","Follow-Up",IF(I135&lt;&gt;"","Presented",IF(F135&lt;&gt;"","Contacted","New Lead"))))))</f>
        <v/>
      </c>
      <c r="S135" s="25" t="n"/>
      <c r="T135" s="25">
        <f>IF(MAX(F135,I135,K135)=0,"",TODAY()-MAX(F135,I135,K135))</f>
        <v/>
      </c>
      <c r="U135" s="25" t="n"/>
      <c r="V135" s="25" t="n"/>
      <c r="W135" s="25">
        <f>IF(AND($A135="",$B135=""),"",IF(M135="Ambassador","1 - Ambassador",IF(M135="Member","2 - Member",IF(J135="Completed","3 - Presented",IF(H135&lt;&gt;"","4 - Sent",IF(F135&lt;&gt;"","5 - Contacted","6 - No Activity"))))))</f>
        <v/>
      </c>
      <c r="X135" s="25">
        <f>IF(AND($A135="",$B135=""),9999999+(ROW()-4),VALUE(LEFT($W135,1))*10000+(ROW()-4))</f>
        <v/>
      </c>
    </row>
    <row r="136" ht="15" customHeight="1" s="20">
      <c r="A136" s="25" t="n"/>
      <c r="B136" s="25" t="n"/>
      <c r="C136" s="25" t="n"/>
      <c r="D136" s="25" t="n"/>
      <c r="E136" s="25" t="n"/>
      <c r="F136" s="26" t="n"/>
      <c r="G136" s="25" t="n"/>
      <c r="H136" s="25" t="n"/>
      <c r="I136" s="26" t="n"/>
      <c r="J136" s="25" t="n"/>
      <c r="K136" s="26" t="n"/>
      <c r="L136" s="25" t="n"/>
      <c r="M136" s="25" t="n"/>
      <c r="N136" s="26" t="n"/>
      <c r="O136" s="25" t="n"/>
      <c r="P136" s="25" t="n"/>
      <c r="Q136" s="26" t="n"/>
      <c r="R136" s="25">
        <f>IF(AND($A136="",$B136=""),"",IF(Q136="Complete","Onboarded",IF(OR(M136="Member",M136="Ambassador"),"Sponsored",IF(K136&lt;&gt;"","Follow-Up",IF(I136&lt;&gt;"","Presented",IF(F136&lt;&gt;"","Contacted","New Lead"))))))</f>
        <v/>
      </c>
      <c r="S136" s="25" t="n"/>
      <c r="T136" s="25">
        <f>IF(MAX(F136,I136,K136)=0,"",TODAY()-MAX(F136,I136,K136))</f>
        <v/>
      </c>
      <c r="U136" s="25" t="n"/>
      <c r="V136" s="25" t="n"/>
      <c r="W136" s="25">
        <f>IF(AND($A136="",$B136=""),"",IF(M136="Ambassador","1 - Ambassador",IF(M136="Member","2 - Member",IF(J136="Completed","3 - Presented",IF(H136&lt;&gt;"","4 - Sent",IF(F136&lt;&gt;"","5 - Contacted","6 - No Activity"))))))</f>
        <v/>
      </c>
      <c r="X136" s="25">
        <f>IF(AND($A136="",$B136=""),9999999+(ROW()-4),VALUE(LEFT($W136,1))*10000+(ROW()-4))</f>
        <v/>
      </c>
    </row>
    <row r="137" ht="15" customHeight="1" s="20">
      <c r="A137" s="25" t="n"/>
      <c r="B137" s="25" t="n"/>
      <c r="C137" s="25" t="n"/>
      <c r="D137" s="25" t="n"/>
      <c r="E137" s="25" t="n"/>
      <c r="F137" s="26" t="n"/>
      <c r="G137" s="25" t="n"/>
      <c r="H137" s="25" t="n"/>
      <c r="I137" s="26" t="n"/>
      <c r="J137" s="25" t="n"/>
      <c r="K137" s="26" t="n"/>
      <c r="L137" s="25" t="n"/>
      <c r="M137" s="25" t="n"/>
      <c r="N137" s="26" t="n"/>
      <c r="O137" s="25" t="n"/>
      <c r="P137" s="25" t="n"/>
      <c r="Q137" s="26" t="n"/>
      <c r="R137" s="25">
        <f>IF(AND($A137="",$B137=""),"",IF(Q137="Complete","Onboarded",IF(OR(M137="Member",M137="Ambassador"),"Sponsored",IF(K137&lt;&gt;"","Follow-Up",IF(I137&lt;&gt;"","Presented",IF(F137&lt;&gt;"","Contacted","New Lead"))))))</f>
        <v/>
      </c>
      <c r="S137" s="25" t="n"/>
      <c r="T137" s="25">
        <f>IF(MAX(F137,I137,K137)=0,"",TODAY()-MAX(F137,I137,K137))</f>
        <v/>
      </c>
      <c r="U137" s="25" t="n"/>
      <c r="V137" s="25" t="n"/>
      <c r="W137" s="25">
        <f>IF(AND($A137="",$B137=""),"",IF(M137="Ambassador","1 - Ambassador",IF(M137="Member","2 - Member",IF(J137="Completed","3 - Presented",IF(H137&lt;&gt;"","4 - Sent",IF(F137&lt;&gt;"","5 - Contacted","6 - No Activity"))))))</f>
        <v/>
      </c>
      <c r="X137" s="25">
        <f>IF(AND($A137="",$B137=""),9999999+(ROW()-4),VALUE(LEFT($W137,1))*10000+(ROW()-4))</f>
        <v/>
      </c>
    </row>
    <row r="138" ht="15" customHeight="1" s="20">
      <c r="A138" s="25" t="n"/>
      <c r="B138" s="25" t="n"/>
      <c r="C138" s="25" t="n"/>
      <c r="D138" s="25" t="n"/>
      <c r="E138" s="25" t="n"/>
      <c r="F138" s="26" t="n"/>
      <c r="G138" s="25" t="n"/>
      <c r="H138" s="25" t="n"/>
      <c r="I138" s="26" t="n"/>
      <c r="J138" s="25" t="n"/>
      <c r="K138" s="26" t="n"/>
      <c r="L138" s="25" t="n"/>
      <c r="M138" s="25" t="n"/>
      <c r="N138" s="26" t="n"/>
      <c r="O138" s="25" t="n"/>
      <c r="P138" s="25" t="n"/>
      <c r="Q138" s="26" t="n"/>
      <c r="R138" s="25">
        <f>IF(AND($A138="",$B138=""),"",IF(Q138="Complete","Onboarded",IF(OR(M138="Member",M138="Ambassador"),"Sponsored",IF(K138&lt;&gt;"","Follow-Up",IF(I138&lt;&gt;"","Presented",IF(F138&lt;&gt;"","Contacted","New Lead"))))))</f>
        <v/>
      </c>
      <c r="S138" s="25" t="n"/>
      <c r="T138" s="25">
        <f>IF(MAX(F138,I138,K138)=0,"",TODAY()-MAX(F138,I138,K138))</f>
        <v/>
      </c>
      <c r="U138" s="25" t="n"/>
      <c r="V138" s="25" t="n"/>
      <c r="W138" s="25">
        <f>IF(AND($A138="",$B138=""),"",IF(M138="Ambassador","1 - Ambassador",IF(M138="Member","2 - Member",IF(J138="Completed","3 - Presented",IF(H138&lt;&gt;"","4 - Sent",IF(F138&lt;&gt;"","5 - Contacted","6 - No Activity"))))))</f>
        <v/>
      </c>
      <c r="X138" s="25">
        <f>IF(AND($A138="",$B138=""),9999999+(ROW()-4),VALUE(LEFT($W138,1))*10000+(ROW()-4))</f>
        <v/>
      </c>
    </row>
    <row r="139" ht="15" customHeight="1" s="20">
      <c r="A139" s="25" t="n"/>
      <c r="B139" s="25" t="n"/>
      <c r="C139" s="25" t="n"/>
      <c r="D139" s="25" t="n"/>
      <c r="E139" s="25" t="n"/>
      <c r="F139" s="26" t="n"/>
      <c r="G139" s="25" t="n"/>
      <c r="H139" s="25" t="n"/>
      <c r="I139" s="26" t="n"/>
      <c r="J139" s="25" t="n"/>
      <c r="K139" s="26" t="n"/>
      <c r="L139" s="25" t="n"/>
      <c r="M139" s="25" t="n"/>
      <c r="N139" s="26" t="n"/>
      <c r="O139" s="25" t="n"/>
      <c r="P139" s="25" t="n"/>
      <c r="Q139" s="26" t="n"/>
      <c r="R139" s="25">
        <f>IF(AND($A139="",$B139=""),"",IF(Q139="Complete","Onboarded",IF(OR(M139="Member",M139="Ambassador"),"Sponsored",IF(K139&lt;&gt;"","Follow-Up",IF(I139&lt;&gt;"","Presented",IF(F139&lt;&gt;"","Contacted","New Lead"))))))</f>
        <v/>
      </c>
      <c r="S139" s="25" t="n"/>
      <c r="T139" s="25">
        <f>IF(MAX(F139,I139,K139)=0,"",TODAY()-MAX(F139,I139,K139))</f>
        <v/>
      </c>
      <c r="U139" s="25" t="n"/>
      <c r="V139" s="25" t="n"/>
      <c r="W139" s="25">
        <f>IF(AND($A139="",$B139=""),"",IF(M139="Ambassador","1 - Ambassador",IF(M139="Member","2 - Member",IF(J139="Completed","3 - Presented",IF(H139&lt;&gt;"","4 - Sent",IF(F139&lt;&gt;"","5 - Contacted","6 - No Activity"))))))</f>
        <v/>
      </c>
      <c r="X139" s="25">
        <f>IF(AND($A139="",$B139=""),9999999+(ROW()-4),VALUE(LEFT($W139,1))*10000+(ROW()-4))</f>
        <v/>
      </c>
    </row>
    <row r="140" ht="15" customHeight="1" s="20">
      <c r="A140" s="25" t="n"/>
      <c r="B140" s="25" t="n"/>
      <c r="C140" s="25" t="n"/>
      <c r="D140" s="25" t="n"/>
      <c r="E140" s="25" t="n"/>
      <c r="F140" s="26" t="n"/>
      <c r="G140" s="25" t="n"/>
      <c r="H140" s="25" t="n"/>
      <c r="I140" s="26" t="n"/>
      <c r="J140" s="25" t="n"/>
      <c r="K140" s="26" t="n"/>
      <c r="L140" s="25" t="n"/>
      <c r="M140" s="25" t="n"/>
      <c r="N140" s="26" t="n"/>
      <c r="O140" s="25" t="n"/>
      <c r="P140" s="25" t="n"/>
      <c r="Q140" s="26" t="n"/>
      <c r="R140" s="25">
        <f>IF(AND($A140="",$B140=""),"",IF(Q140="Complete","Onboarded",IF(OR(M140="Member",M140="Ambassador"),"Sponsored",IF(K140&lt;&gt;"","Follow-Up",IF(I140&lt;&gt;"","Presented",IF(F140&lt;&gt;"","Contacted","New Lead"))))))</f>
        <v/>
      </c>
      <c r="S140" s="25" t="n"/>
      <c r="T140" s="25">
        <f>IF(MAX(F140,I140,K140)=0,"",TODAY()-MAX(F140,I140,K140))</f>
        <v/>
      </c>
      <c r="U140" s="25" t="n"/>
      <c r="V140" s="25" t="n"/>
      <c r="W140" s="25">
        <f>IF(AND($A140="",$B140=""),"",IF(M140="Ambassador","1 - Ambassador",IF(M140="Member","2 - Member",IF(J140="Completed","3 - Presented",IF(H140&lt;&gt;"","4 - Sent",IF(F140&lt;&gt;"","5 - Contacted","6 - No Activity"))))))</f>
        <v/>
      </c>
      <c r="X140" s="25">
        <f>IF(AND($A140="",$B140=""),9999999+(ROW()-4),VALUE(LEFT($W140,1))*10000+(ROW()-4))</f>
        <v/>
      </c>
    </row>
    <row r="141" ht="15" customHeight="1" s="20">
      <c r="A141" s="25" t="n"/>
      <c r="B141" s="25" t="n"/>
      <c r="C141" s="25" t="n"/>
      <c r="D141" s="25" t="n"/>
      <c r="E141" s="25" t="n"/>
      <c r="F141" s="26" t="n"/>
      <c r="G141" s="25" t="n"/>
      <c r="H141" s="25" t="n"/>
      <c r="I141" s="26" t="n"/>
      <c r="J141" s="25" t="n"/>
      <c r="K141" s="26" t="n"/>
      <c r="L141" s="25" t="n"/>
      <c r="M141" s="25" t="n"/>
      <c r="N141" s="26" t="n"/>
      <c r="O141" s="25" t="n"/>
      <c r="P141" s="25" t="n"/>
      <c r="Q141" s="26" t="n"/>
      <c r="R141" s="25">
        <f>IF(AND($A141="",$B141=""),"",IF(Q141="Complete","Onboarded",IF(OR(M141="Member",M141="Ambassador"),"Sponsored",IF(K141&lt;&gt;"","Follow-Up",IF(I141&lt;&gt;"","Presented",IF(F141&lt;&gt;"","Contacted","New Lead"))))))</f>
        <v/>
      </c>
      <c r="S141" s="25" t="n"/>
      <c r="T141" s="25">
        <f>IF(MAX(F141,I141,K141)=0,"",TODAY()-MAX(F141,I141,K141))</f>
        <v/>
      </c>
      <c r="U141" s="25" t="n"/>
      <c r="V141" s="25" t="n"/>
      <c r="W141" s="25">
        <f>IF(AND($A141="",$B141=""),"",IF(M141="Ambassador","1 - Ambassador",IF(M141="Member","2 - Member",IF(J141="Completed","3 - Presented",IF(H141&lt;&gt;"","4 - Sent",IF(F141&lt;&gt;"","5 - Contacted","6 - No Activity"))))))</f>
        <v/>
      </c>
      <c r="X141" s="25">
        <f>IF(AND($A141="",$B141=""),9999999+(ROW()-4),VALUE(LEFT($W141,1))*10000+(ROW()-4))</f>
        <v/>
      </c>
    </row>
    <row r="142" ht="15" customHeight="1" s="20">
      <c r="A142" s="25" t="n"/>
      <c r="B142" s="25" t="n"/>
      <c r="C142" s="25" t="n"/>
      <c r="D142" s="25" t="n"/>
      <c r="E142" s="25" t="n"/>
      <c r="F142" s="26" t="n"/>
      <c r="G142" s="25" t="n"/>
      <c r="H142" s="25" t="n"/>
      <c r="I142" s="26" t="n"/>
      <c r="J142" s="25" t="n"/>
      <c r="K142" s="26" t="n"/>
      <c r="L142" s="25" t="n"/>
      <c r="M142" s="25" t="n"/>
      <c r="N142" s="26" t="n"/>
      <c r="O142" s="25" t="n"/>
      <c r="P142" s="25" t="n"/>
      <c r="Q142" s="26" t="n"/>
      <c r="R142" s="25">
        <f>IF(AND($A142="",$B142=""),"",IF(Q142="Complete","Onboarded",IF(OR(M142="Member",M142="Ambassador"),"Sponsored",IF(K142&lt;&gt;"","Follow-Up",IF(I142&lt;&gt;"","Presented",IF(F142&lt;&gt;"","Contacted","New Lead"))))))</f>
        <v/>
      </c>
      <c r="S142" s="25" t="n"/>
      <c r="T142" s="25">
        <f>IF(MAX(F142,I142,K142)=0,"",TODAY()-MAX(F142,I142,K142))</f>
        <v/>
      </c>
      <c r="U142" s="25" t="n"/>
      <c r="V142" s="25" t="n"/>
      <c r="W142" s="25">
        <f>IF(AND($A142="",$B142=""),"",IF(M142="Ambassador","1 - Ambassador",IF(M142="Member","2 - Member",IF(J142="Completed","3 - Presented",IF(H142&lt;&gt;"","4 - Sent",IF(F142&lt;&gt;"","5 - Contacted","6 - No Activity"))))))</f>
        <v/>
      </c>
      <c r="X142" s="25">
        <f>IF(AND($A142="",$B142=""),9999999+(ROW()-4),VALUE(LEFT($W142,1))*10000+(ROW()-4))</f>
        <v/>
      </c>
    </row>
    <row r="143" ht="15" customHeight="1" s="20">
      <c r="A143" s="25" t="n"/>
      <c r="B143" s="25" t="n"/>
      <c r="C143" s="25" t="n"/>
      <c r="D143" s="25" t="n"/>
      <c r="E143" s="25" t="n"/>
      <c r="F143" s="26" t="n"/>
      <c r="G143" s="25" t="n"/>
      <c r="H143" s="25" t="n"/>
      <c r="I143" s="26" t="n"/>
      <c r="J143" s="25" t="n"/>
      <c r="K143" s="26" t="n"/>
      <c r="L143" s="25" t="n"/>
      <c r="M143" s="25" t="n"/>
      <c r="N143" s="26" t="n"/>
      <c r="O143" s="25" t="n"/>
      <c r="P143" s="25" t="n"/>
      <c r="Q143" s="26" t="n"/>
      <c r="R143" s="25">
        <f>IF(AND($A143="",$B143=""),"",IF(Q143="Complete","Onboarded",IF(OR(M143="Member",M143="Ambassador"),"Sponsored",IF(K143&lt;&gt;"","Follow-Up",IF(I143&lt;&gt;"","Presented",IF(F143&lt;&gt;"","Contacted","New Lead"))))))</f>
        <v/>
      </c>
      <c r="S143" s="25" t="n"/>
      <c r="T143" s="25">
        <f>IF(MAX(F143,I143,K143)=0,"",TODAY()-MAX(F143,I143,K143))</f>
        <v/>
      </c>
      <c r="U143" s="25" t="n"/>
      <c r="V143" s="25" t="n"/>
      <c r="W143" s="25">
        <f>IF(AND($A143="",$B143=""),"",IF(M143="Ambassador","1 - Ambassador",IF(M143="Member","2 - Member",IF(J143="Completed","3 - Presented",IF(H143&lt;&gt;"","4 - Sent",IF(F143&lt;&gt;"","5 - Contacted","6 - No Activity"))))))</f>
        <v/>
      </c>
      <c r="X143" s="25">
        <f>IF(AND($A143="",$B143=""),9999999+(ROW()-4),VALUE(LEFT($W143,1))*10000+(ROW()-4))</f>
        <v/>
      </c>
    </row>
    <row r="144" ht="15" customHeight="1" s="20">
      <c r="A144" s="25" t="n"/>
      <c r="B144" s="25" t="n"/>
      <c r="C144" s="25" t="n"/>
      <c r="D144" s="25" t="n"/>
      <c r="E144" s="25" t="n"/>
      <c r="F144" s="26" t="n"/>
      <c r="G144" s="25" t="n"/>
      <c r="H144" s="25" t="n"/>
      <c r="I144" s="26" t="n"/>
      <c r="J144" s="25" t="n"/>
      <c r="K144" s="26" t="n"/>
      <c r="L144" s="25" t="n"/>
      <c r="M144" s="25" t="n"/>
      <c r="N144" s="26" t="n"/>
      <c r="O144" s="25" t="n"/>
      <c r="P144" s="25" t="n"/>
      <c r="Q144" s="26" t="n"/>
      <c r="R144" s="25">
        <f>IF(AND($A144="",$B144=""),"",IF(Q144="Complete","Onboarded",IF(OR(M144="Member",M144="Ambassador"),"Sponsored",IF(K144&lt;&gt;"","Follow-Up",IF(I144&lt;&gt;"","Presented",IF(F144&lt;&gt;"","Contacted","New Lead"))))))</f>
        <v/>
      </c>
      <c r="S144" s="25" t="n"/>
      <c r="T144" s="25">
        <f>IF(MAX(F144,I144,K144)=0,"",TODAY()-MAX(F144,I144,K144))</f>
        <v/>
      </c>
      <c r="U144" s="25" t="n"/>
      <c r="V144" s="25" t="n"/>
      <c r="W144" s="25">
        <f>IF(AND($A144="",$B144=""),"",IF(M144="Ambassador","1 - Ambassador",IF(M144="Member","2 - Member",IF(J144="Completed","3 - Presented",IF(H144&lt;&gt;"","4 - Sent",IF(F144&lt;&gt;"","5 - Contacted","6 - No Activity"))))))</f>
        <v/>
      </c>
      <c r="X144" s="25">
        <f>IF(AND($A144="",$B144=""),9999999+(ROW()-4),VALUE(LEFT($W144,1))*10000+(ROW()-4))</f>
        <v/>
      </c>
    </row>
    <row r="145" ht="15" customHeight="1" s="20">
      <c r="A145" s="25" t="n"/>
      <c r="B145" s="25" t="n"/>
      <c r="C145" s="25" t="n"/>
      <c r="D145" s="25" t="n"/>
      <c r="E145" s="25" t="n"/>
      <c r="F145" s="26" t="n"/>
      <c r="G145" s="25" t="n"/>
      <c r="H145" s="25" t="n"/>
      <c r="I145" s="26" t="n"/>
      <c r="J145" s="25" t="n"/>
      <c r="K145" s="26" t="n"/>
      <c r="L145" s="25" t="n"/>
      <c r="M145" s="25" t="n"/>
      <c r="N145" s="26" t="n"/>
      <c r="O145" s="25" t="n"/>
      <c r="P145" s="25" t="n"/>
      <c r="Q145" s="26" t="n"/>
      <c r="R145" s="25">
        <f>IF(AND($A145="",$B145=""),"",IF(Q145="Complete","Onboarded",IF(OR(M145="Member",M145="Ambassador"),"Sponsored",IF(K145&lt;&gt;"","Follow-Up",IF(I145&lt;&gt;"","Presented",IF(F145&lt;&gt;"","Contacted","New Lead"))))))</f>
        <v/>
      </c>
      <c r="S145" s="25" t="n"/>
      <c r="T145" s="25">
        <f>IF(MAX(F145,I145,K145)=0,"",TODAY()-MAX(F145,I145,K145))</f>
        <v/>
      </c>
      <c r="U145" s="25" t="n"/>
      <c r="V145" s="25" t="n"/>
      <c r="W145" s="25">
        <f>IF(AND($A145="",$B145=""),"",IF(M145="Ambassador","1 - Ambassador",IF(M145="Member","2 - Member",IF(J145="Completed","3 - Presented",IF(H145&lt;&gt;"","4 - Sent",IF(F145&lt;&gt;"","5 - Contacted","6 - No Activity"))))))</f>
        <v/>
      </c>
      <c r="X145" s="25">
        <f>IF(AND($A145="",$B145=""),9999999+(ROW()-4),VALUE(LEFT($W145,1))*10000+(ROW()-4))</f>
        <v/>
      </c>
    </row>
    <row r="146" ht="15" customHeight="1" s="20">
      <c r="A146" s="25" t="n"/>
      <c r="B146" s="25" t="n"/>
      <c r="C146" s="25" t="n"/>
      <c r="D146" s="25" t="n"/>
      <c r="E146" s="25" t="n"/>
      <c r="F146" s="26" t="n"/>
      <c r="G146" s="25" t="n"/>
      <c r="H146" s="25" t="n"/>
      <c r="I146" s="26" t="n"/>
      <c r="J146" s="25" t="n"/>
      <c r="K146" s="26" t="n"/>
      <c r="L146" s="25" t="n"/>
      <c r="M146" s="25" t="n"/>
      <c r="N146" s="26" t="n"/>
      <c r="O146" s="25" t="n"/>
      <c r="P146" s="25" t="n"/>
      <c r="Q146" s="26" t="n"/>
      <c r="R146" s="25">
        <f>IF(AND($A146="",$B146=""),"",IF(Q146="Complete","Onboarded",IF(OR(M146="Member",M146="Ambassador"),"Sponsored",IF(K146&lt;&gt;"","Follow-Up",IF(I146&lt;&gt;"","Presented",IF(F146&lt;&gt;"","Contacted","New Lead"))))))</f>
        <v/>
      </c>
      <c r="S146" s="25" t="n"/>
      <c r="T146" s="25">
        <f>IF(MAX(F146,I146,K146)=0,"",TODAY()-MAX(F146,I146,K146))</f>
        <v/>
      </c>
      <c r="U146" s="25" t="n"/>
      <c r="V146" s="25" t="n"/>
      <c r="W146" s="25">
        <f>IF(AND($A146="",$B146=""),"",IF(M146="Ambassador","1 - Ambassador",IF(M146="Member","2 - Member",IF(J146="Completed","3 - Presented",IF(H146&lt;&gt;"","4 - Sent",IF(F146&lt;&gt;"","5 - Contacted","6 - No Activity"))))))</f>
        <v/>
      </c>
      <c r="X146" s="25">
        <f>IF(AND($A146="",$B146=""),9999999+(ROW()-4),VALUE(LEFT($W146,1))*10000+(ROW()-4))</f>
        <v/>
      </c>
    </row>
    <row r="147" ht="15" customHeight="1" s="20">
      <c r="A147" s="25" t="n"/>
      <c r="B147" s="25" t="n"/>
      <c r="C147" s="25" t="n"/>
      <c r="D147" s="25" t="n"/>
      <c r="E147" s="25" t="n"/>
      <c r="F147" s="26" t="n"/>
      <c r="G147" s="25" t="n"/>
      <c r="H147" s="25" t="n"/>
      <c r="I147" s="26" t="n"/>
      <c r="J147" s="25" t="n"/>
      <c r="K147" s="26" t="n"/>
      <c r="L147" s="25" t="n"/>
      <c r="M147" s="25" t="n"/>
      <c r="N147" s="26" t="n"/>
      <c r="O147" s="25" t="n"/>
      <c r="P147" s="25" t="n"/>
      <c r="Q147" s="26" t="n"/>
      <c r="R147" s="25">
        <f>IF(AND($A147="",$B147=""),"",IF(Q147="Complete","Onboarded",IF(OR(M147="Member",M147="Ambassador"),"Sponsored",IF(K147&lt;&gt;"","Follow-Up",IF(I147&lt;&gt;"","Presented",IF(F147&lt;&gt;"","Contacted","New Lead"))))))</f>
        <v/>
      </c>
      <c r="S147" s="25" t="n"/>
      <c r="T147" s="25">
        <f>IF(MAX(F147,I147,K147)=0,"",TODAY()-MAX(F147,I147,K147))</f>
        <v/>
      </c>
      <c r="U147" s="25" t="n"/>
      <c r="V147" s="25" t="n"/>
      <c r="W147" s="25">
        <f>IF(AND($A147="",$B147=""),"",IF(M147="Ambassador","1 - Ambassador",IF(M147="Member","2 - Member",IF(J147="Completed","3 - Presented",IF(H147&lt;&gt;"","4 - Sent",IF(F147&lt;&gt;"","5 - Contacted","6 - No Activity"))))))</f>
        <v/>
      </c>
      <c r="X147" s="25">
        <f>IF(AND($A147="",$B147=""),9999999+(ROW()-4),VALUE(LEFT($W147,1))*10000+(ROW()-4))</f>
        <v/>
      </c>
    </row>
    <row r="148" ht="15" customHeight="1" s="20">
      <c r="A148" s="25" t="n"/>
      <c r="B148" s="25" t="n"/>
      <c r="C148" s="25" t="n"/>
      <c r="D148" s="25" t="n"/>
      <c r="E148" s="25" t="n"/>
      <c r="F148" s="26" t="n"/>
      <c r="G148" s="25" t="n"/>
      <c r="H148" s="25" t="n"/>
      <c r="I148" s="26" t="n"/>
      <c r="J148" s="25" t="n"/>
      <c r="K148" s="26" t="n"/>
      <c r="L148" s="25" t="n"/>
      <c r="M148" s="25" t="n"/>
      <c r="N148" s="26" t="n"/>
      <c r="O148" s="25" t="n"/>
      <c r="P148" s="25" t="n"/>
      <c r="Q148" s="26" t="n"/>
      <c r="R148" s="25">
        <f>IF(AND($A148="",$B148=""),"",IF(Q148="Complete","Onboarded",IF(OR(M148="Member",M148="Ambassador"),"Sponsored",IF(K148&lt;&gt;"","Follow-Up",IF(I148&lt;&gt;"","Presented",IF(F148&lt;&gt;"","Contacted","New Lead"))))))</f>
        <v/>
      </c>
      <c r="S148" s="25" t="n"/>
      <c r="T148" s="25">
        <f>IF(MAX(F148,I148,K148)=0,"",TODAY()-MAX(F148,I148,K148))</f>
        <v/>
      </c>
      <c r="U148" s="25" t="n"/>
      <c r="V148" s="25" t="n"/>
      <c r="W148" s="25">
        <f>IF(AND($A148="",$B148=""),"",IF(M148="Ambassador","1 - Ambassador",IF(M148="Member","2 - Member",IF(J148="Completed","3 - Presented",IF(H148&lt;&gt;"","4 - Sent",IF(F148&lt;&gt;"","5 - Contacted","6 - No Activity"))))))</f>
        <v/>
      </c>
      <c r="X148" s="25">
        <f>IF(AND($A148="",$B148=""),9999999+(ROW()-4),VALUE(LEFT($W148,1))*10000+(ROW()-4))</f>
        <v/>
      </c>
    </row>
    <row r="149" ht="15" customHeight="1" s="20">
      <c r="A149" s="25" t="n"/>
      <c r="B149" s="25" t="n"/>
      <c r="C149" s="25" t="n"/>
      <c r="D149" s="25" t="n"/>
      <c r="E149" s="25" t="n"/>
      <c r="F149" s="26" t="n"/>
      <c r="G149" s="25" t="n"/>
      <c r="H149" s="25" t="n"/>
      <c r="I149" s="26" t="n"/>
      <c r="J149" s="25" t="n"/>
      <c r="K149" s="26" t="n"/>
      <c r="L149" s="25" t="n"/>
      <c r="M149" s="25" t="n"/>
      <c r="N149" s="26" t="n"/>
      <c r="O149" s="25" t="n"/>
      <c r="P149" s="25" t="n"/>
      <c r="Q149" s="26" t="n"/>
      <c r="R149" s="25">
        <f>IF(AND($A149="",$B149=""),"",IF(Q149="Complete","Onboarded",IF(OR(M149="Member",M149="Ambassador"),"Sponsored",IF(K149&lt;&gt;"","Follow-Up",IF(I149&lt;&gt;"","Presented",IF(F149&lt;&gt;"","Contacted","New Lead"))))))</f>
        <v/>
      </c>
      <c r="S149" s="25" t="n"/>
      <c r="T149" s="25">
        <f>IF(MAX(F149,I149,K149)=0,"",TODAY()-MAX(F149,I149,K149))</f>
        <v/>
      </c>
      <c r="U149" s="25" t="n"/>
      <c r="V149" s="25" t="n"/>
      <c r="W149" s="25">
        <f>IF(AND($A149="",$B149=""),"",IF(M149="Ambassador","1 - Ambassador",IF(M149="Member","2 - Member",IF(J149="Completed","3 - Presented",IF(H149&lt;&gt;"","4 - Sent",IF(F149&lt;&gt;"","5 - Contacted","6 - No Activity"))))))</f>
        <v/>
      </c>
      <c r="X149" s="25">
        <f>IF(AND($A149="",$B149=""),9999999+(ROW()-4),VALUE(LEFT($W149,1))*10000+(ROW()-4))</f>
        <v/>
      </c>
    </row>
    <row r="150" ht="15" customHeight="1" s="20">
      <c r="A150" s="25" t="n"/>
      <c r="B150" s="25" t="n"/>
      <c r="C150" s="25" t="n"/>
      <c r="D150" s="25" t="n"/>
      <c r="E150" s="25" t="n"/>
      <c r="F150" s="26" t="n"/>
      <c r="G150" s="25" t="n"/>
      <c r="H150" s="25" t="n"/>
      <c r="I150" s="26" t="n"/>
      <c r="J150" s="25" t="n"/>
      <c r="K150" s="26" t="n"/>
      <c r="L150" s="25" t="n"/>
      <c r="M150" s="25" t="n"/>
      <c r="N150" s="26" t="n"/>
      <c r="O150" s="25" t="n"/>
      <c r="P150" s="25" t="n"/>
      <c r="Q150" s="26" t="n"/>
      <c r="R150" s="25">
        <f>IF(AND($A150="",$B150=""),"",IF(Q150="Complete","Onboarded",IF(OR(M150="Member",M150="Ambassador"),"Sponsored",IF(K150&lt;&gt;"","Follow-Up",IF(I150&lt;&gt;"","Presented",IF(F150&lt;&gt;"","Contacted","New Lead"))))))</f>
        <v/>
      </c>
      <c r="S150" s="25" t="n"/>
      <c r="T150" s="25">
        <f>IF(MAX(F150,I150,K150)=0,"",TODAY()-MAX(F150,I150,K150))</f>
        <v/>
      </c>
      <c r="U150" s="25" t="n"/>
      <c r="V150" s="25" t="n"/>
      <c r="W150" s="25">
        <f>IF(AND($A150="",$B150=""),"",IF(M150="Ambassador","1 - Ambassador",IF(M150="Member","2 - Member",IF(J150="Completed","3 - Presented",IF(H150&lt;&gt;"","4 - Sent",IF(F150&lt;&gt;"","5 - Contacted","6 - No Activity"))))))</f>
        <v/>
      </c>
      <c r="X150" s="25">
        <f>IF(AND($A150="",$B150=""),9999999+(ROW()-4),VALUE(LEFT($W150,1))*10000+(ROW()-4))</f>
        <v/>
      </c>
    </row>
    <row r="151" ht="15" customHeight="1" s="20">
      <c r="A151" s="25" t="n"/>
      <c r="B151" s="25" t="n"/>
      <c r="C151" s="25" t="n"/>
      <c r="D151" s="25" t="n"/>
      <c r="E151" s="25" t="n"/>
      <c r="F151" s="26" t="n"/>
      <c r="G151" s="25" t="n"/>
      <c r="H151" s="25" t="n"/>
      <c r="I151" s="26" t="n"/>
      <c r="J151" s="25" t="n"/>
      <c r="K151" s="26" t="n"/>
      <c r="L151" s="25" t="n"/>
      <c r="M151" s="25" t="n"/>
      <c r="N151" s="26" t="n"/>
      <c r="O151" s="25" t="n"/>
      <c r="P151" s="25" t="n"/>
      <c r="Q151" s="26" t="n"/>
      <c r="R151" s="25">
        <f>IF(AND($A151="",$B151=""),"",IF(Q151="Complete","Onboarded",IF(OR(M151="Member",M151="Ambassador"),"Sponsored",IF(K151&lt;&gt;"","Follow-Up",IF(I151&lt;&gt;"","Presented",IF(F151&lt;&gt;"","Contacted","New Lead"))))))</f>
        <v/>
      </c>
      <c r="S151" s="25" t="n"/>
      <c r="T151" s="25">
        <f>IF(MAX(F151,I151,K151)=0,"",TODAY()-MAX(F151,I151,K151))</f>
        <v/>
      </c>
      <c r="U151" s="25" t="n"/>
      <c r="V151" s="25" t="n"/>
      <c r="W151" s="25">
        <f>IF(AND($A151="",$B151=""),"",IF(M151="Ambassador","1 - Ambassador",IF(M151="Member","2 - Member",IF(J151="Completed","3 - Presented",IF(H151&lt;&gt;"","4 - Sent",IF(F151&lt;&gt;"","5 - Contacted","6 - No Activity"))))))</f>
        <v/>
      </c>
      <c r="X151" s="25">
        <f>IF(AND($A151="",$B151=""),9999999+(ROW()-4),VALUE(LEFT($W151,1))*10000+(ROW()-4))</f>
        <v/>
      </c>
    </row>
    <row r="152" ht="15" customHeight="1" s="20">
      <c r="A152" s="25" t="n"/>
      <c r="B152" s="25" t="n"/>
      <c r="C152" s="25" t="n"/>
      <c r="D152" s="25" t="n"/>
      <c r="E152" s="25" t="n"/>
      <c r="F152" s="26" t="n"/>
      <c r="G152" s="25" t="n"/>
      <c r="H152" s="25" t="n"/>
      <c r="I152" s="26" t="n"/>
      <c r="J152" s="25" t="n"/>
      <c r="K152" s="26" t="n"/>
      <c r="L152" s="25" t="n"/>
      <c r="M152" s="25" t="n"/>
      <c r="N152" s="26" t="n"/>
      <c r="O152" s="25" t="n"/>
      <c r="P152" s="25" t="n"/>
      <c r="Q152" s="26" t="n"/>
      <c r="R152" s="25">
        <f>IF(AND($A152="",$B152=""),"",IF(Q152="Complete","Onboarded",IF(OR(M152="Member",M152="Ambassador"),"Sponsored",IF(K152&lt;&gt;"","Follow-Up",IF(I152&lt;&gt;"","Presented",IF(F152&lt;&gt;"","Contacted","New Lead"))))))</f>
        <v/>
      </c>
      <c r="S152" s="25" t="n"/>
      <c r="T152" s="25">
        <f>IF(MAX(F152,I152,K152)=0,"",TODAY()-MAX(F152,I152,K152))</f>
        <v/>
      </c>
      <c r="U152" s="25" t="n"/>
      <c r="V152" s="25" t="n"/>
      <c r="W152" s="25">
        <f>IF(AND($A152="",$B152=""),"",IF(M152="Ambassador","1 - Ambassador",IF(M152="Member","2 - Member",IF(J152="Completed","3 - Presented",IF(H152&lt;&gt;"","4 - Sent",IF(F152&lt;&gt;"","5 - Contacted","6 - No Activity"))))))</f>
        <v/>
      </c>
      <c r="X152" s="25">
        <f>IF(AND($A152="",$B152=""),9999999+(ROW()-4),VALUE(LEFT($W152,1))*10000+(ROW()-4))</f>
        <v/>
      </c>
    </row>
    <row r="153" ht="15" customHeight="1" s="20">
      <c r="A153" s="25" t="n"/>
      <c r="B153" s="25" t="n"/>
      <c r="C153" s="25" t="n"/>
      <c r="D153" s="25" t="n"/>
      <c r="E153" s="25" t="n"/>
      <c r="F153" s="26" t="n"/>
      <c r="G153" s="25" t="n"/>
      <c r="H153" s="25" t="n"/>
      <c r="I153" s="26" t="n"/>
      <c r="J153" s="25" t="n"/>
      <c r="K153" s="26" t="n"/>
      <c r="L153" s="25" t="n"/>
      <c r="M153" s="25" t="n"/>
      <c r="N153" s="26" t="n"/>
      <c r="O153" s="25" t="n"/>
      <c r="P153" s="25" t="n"/>
      <c r="Q153" s="26" t="n"/>
      <c r="R153" s="25">
        <f>IF(AND($A153="",$B153=""),"",IF(Q153="Complete","Onboarded",IF(OR(M153="Member",M153="Ambassador"),"Sponsored",IF(K153&lt;&gt;"","Follow-Up",IF(I153&lt;&gt;"","Presented",IF(F153&lt;&gt;"","Contacted","New Lead"))))))</f>
        <v/>
      </c>
      <c r="S153" s="25" t="n"/>
      <c r="T153" s="25">
        <f>IF(MAX(F153,I153,K153)=0,"",TODAY()-MAX(F153,I153,K153))</f>
        <v/>
      </c>
      <c r="U153" s="25" t="n"/>
      <c r="V153" s="25" t="n"/>
      <c r="W153" s="25">
        <f>IF(AND($A153="",$B153=""),"",IF(M153="Ambassador","1 - Ambassador",IF(M153="Member","2 - Member",IF(J153="Completed","3 - Presented",IF(H153&lt;&gt;"","4 - Sent",IF(F153&lt;&gt;"","5 - Contacted","6 - No Activity"))))))</f>
        <v/>
      </c>
      <c r="X153" s="25">
        <f>IF(AND($A153="",$B153=""),9999999+(ROW()-4),VALUE(LEFT($W153,1))*10000+(ROW()-4))</f>
        <v/>
      </c>
    </row>
    <row r="154" ht="15" customHeight="1" s="20">
      <c r="A154" s="25" t="n"/>
      <c r="B154" s="25" t="n"/>
      <c r="C154" s="25" t="n"/>
      <c r="D154" s="25" t="n"/>
      <c r="E154" s="25" t="n"/>
      <c r="F154" s="26" t="n"/>
      <c r="G154" s="25" t="n"/>
      <c r="H154" s="25" t="n"/>
      <c r="I154" s="26" t="n"/>
      <c r="J154" s="25" t="n"/>
      <c r="K154" s="26" t="n"/>
      <c r="L154" s="25" t="n"/>
      <c r="M154" s="25" t="n"/>
      <c r="N154" s="26" t="n"/>
      <c r="O154" s="25" t="n"/>
      <c r="P154" s="25" t="n"/>
      <c r="Q154" s="26" t="n"/>
      <c r="R154" s="25">
        <f>IF(AND($A154="",$B154=""),"",IF(Q154="Complete","Onboarded",IF(OR(M154="Member",M154="Ambassador"),"Sponsored",IF(K154&lt;&gt;"","Follow-Up",IF(I154&lt;&gt;"","Presented",IF(F154&lt;&gt;"","Contacted","New Lead"))))))</f>
        <v/>
      </c>
      <c r="S154" s="25" t="n"/>
      <c r="T154" s="25">
        <f>IF(MAX(F154,I154,K154)=0,"",TODAY()-MAX(F154,I154,K154))</f>
        <v/>
      </c>
      <c r="U154" s="25" t="n"/>
      <c r="V154" s="25" t="n"/>
      <c r="W154" s="25">
        <f>IF(AND($A154="",$B154=""),"",IF(M154="Ambassador","1 - Ambassador",IF(M154="Member","2 - Member",IF(J154="Completed","3 - Presented",IF(H154&lt;&gt;"","4 - Sent",IF(F154&lt;&gt;"","5 - Contacted","6 - No Activity"))))))</f>
        <v/>
      </c>
      <c r="X154" s="25">
        <f>IF(AND($A154="",$B154=""),9999999+(ROW()-4),VALUE(LEFT($W154,1))*10000+(ROW()-4))</f>
        <v/>
      </c>
    </row>
    <row r="155" ht="15" customHeight="1" s="20">
      <c r="A155" s="25" t="n"/>
      <c r="B155" s="25" t="n"/>
      <c r="C155" s="25" t="n"/>
      <c r="D155" s="25" t="n"/>
      <c r="E155" s="25" t="n"/>
      <c r="F155" s="26" t="n"/>
      <c r="G155" s="25" t="n"/>
      <c r="H155" s="25" t="n"/>
      <c r="I155" s="26" t="n"/>
      <c r="J155" s="25" t="n"/>
      <c r="K155" s="26" t="n"/>
      <c r="L155" s="25" t="n"/>
      <c r="M155" s="25" t="n"/>
      <c r="N155" s="26" t="n"/>
      <c r="O155" s="25" t="n"/>
      <c r="P155" s="25" t="n"/>
      <c r="Q155" s="26" t="n"/>
      <c r="R155" s="25">
        <f>IF(AND($A155="",$B155=""),"",IF(Q155="Complete","Onboarded",IF(OR(M155="Member",M155="Ambassador"),"Sponsored",IF(K155&lt;&gt;"","Follow-Up",IF(I155&lt;&gt;"","Presented",IF(F155&lt;&gt;"","Contacted","New Lead"))))))</f>
        <v/>
      </c>
      <c r="S155" s="25" t="n"/>
      <c r="T155" s="25">
        <f>IF(MAX(F155,I155,K155)=0,"",TODAY()-MAX(F155,I155,K155))</f>
        <v/>
      </c>
      <c r="U155" s="25" t="n"/>
      <c r="V155" s="25" t="n"/>
      <c r="W155" s="25">
        <f>IF(AND($A155="",$B155=""),"",IF(M155="Ambassador","1 - Ambassador",IF(M155="Member","2 - Member",IF(J155="Completed","3 - Presented",IF(H155&lt;&gt;"","4 - Sent",IF(F155&lt;&gt;"","5 - Contacted","6 - No Activity"))))))</f>
        <v/>
      </c>
      <c r="X155" s="25">
        <f>IF(AND($A155="",$B155=""),9999999+(ROW()-4),VALUE(LEFT($W155,1))*10000+(ROW()-4))</f>
        <v/>
      </c>
    </row>
    <row r="156" ht="15" customHeight="1" s="20">
      <c r="A156" s="25" t="n"/>
      <c r="B156" s="25" t="n"/>
      <c r="C156" s="25" t="n"/>
      <c r="D156" s="25" t="n"/>
      <c r="E156" s="25" t="n"/>
      <c r="F156" s="26" t="n"/>
      <c r="G156" s="25" t="n"/>
      <c r="H156" s="25" t="n"/>
      <c r="I156" s="26" t="n"/>
      <c r="J156" s="25" t="n"/>
      <c r="K156" s="26" t="n"/>
      <c r="L156" s="25" t="n"/>
      <c r="M156" s="25" t="n"/>
      <c r="N156" s="26" t="n"/>
      <c r="O156" s="25" t="n"/>
      <c r="P156" s="25" t="n"/>
      <c r="Q156" s="26" t="n"/>
      <c r="R156" s="25">
        <f>IF(AND($A156="",$B156=""),"",IF(Q156="Complete","Onboarded",IF(OR(M156="Member",M156="Ambassador"),"Sponsored",IF(K156&lt;&gt;"","Follow-Up",IF(I156&lt;&gt;"","Presented",IF(F156&lt;&gt;"","Contacted","New Lead"))))))</f>
        <v/>
      </c>
      <c r="S156" s="25" t="n"/>
      <c r="T156" s="25">
        <f>IF(MAX(F156,I156,K156)=0,"",TODAY()-MAX(F156,I156,K156))</f>
        <v/>
      </c>
      <c r="U156" s="25" t="n"/>
      <c r="V156" s="25" t="n"/>
      <c r="W156" s="25">
        <f>IF(AND($A156="",$B156=""),"",IF(M156="Ambassador","1 - Ambassador",IF(M156="Member","2 - Member",IF(J156="Completed","3 - Presented",IF(H156&lt;&gt;"","4 - Sent",IF(F156&lt;&gt;"","5 - Contacted","6 - No Activity"))))))</f>
        <v/>
      </c>
      <c r="X156" s="25">
        <f>IF(AND($A156="",$B156=""),9999999+(ROW()-4),VALUE(LEFT($W156,1))*10000+(ROW()-4))</f>
        <v/>
      </c>
    </row>
    <row r="157" ht="15" customHeight="1" s="20">
      <c r="A157" s="25" t="n"/>
      <c r="B157" s="25" t="n"/>
      <c r="C157" s="25" t="n"/>
      <c r="D157" s="25" t="n"/>
      <c r="E157" s="25" t="n"/>
      <c r="F157" s="26" t="n"/>
      <c r="G157" s="25" t="n"/>
      <c r="H157" s="25" t="n"/>
      <c r="I157" s="26" t="n"/>
      <c r="J157" s="25" t="n"/>
      <c r="K157" s="26" t="n"/>
      <c r="L157" s="25" t="n"/>
      <c r="M157" s="25" t="n"/>
      <c r="N157" s="26" t="n"/>
      <c r="O157" s="25" t="n"/>
      <c r="P157" s="25" t="n"/>
      <c r="Q157" s="26" t="n"/>
      <c r="R157" s="25">
        <f>IF(AND($A157="",$B157=""),"",IF(Q157="Complete","Onboarded",IF(OR(M157="Member",M157="Ambassador"),"Sponsored",IF(K157&lt;&gt;"","Follow-Up",IF(I157&lt;&gt;"","Presented",IF(F157&lt;&gt;"","Contacted","New Lead"))))))</f>
        <v/>
      </c>
      <c r="S157" s="25" t="n"/>
      <c r="T157" s="25">
        <f>IF(MAX(F157,I157,K157)=0,"",TODAY()-MAX(F157,I157,K157))</f>
        <v/>
      </c>
      <c r="U157" s="25" t="n"/>
      <c r="V157" s="25" t="n"/>
      <c r="W157" s="25">
        <f>IF(AND($A157="",$B157=""),"",IF(M157="Ambassador","1 - Ambassador",IF(M157="Member","2 - Member",IF(J157="Completed","3 - Presented",IF(H157&lt;&gt;"","4 - Sent",IF(F157&lt;&gt;"","5 - Contacted","6 - No Activity"))))))</f>
        <v/>
      </c>
      <c r="X157" s="25">
        <f>IF(AND($A157="",$B157=""),9999999+(ROW()-4),VALUE(LEFT($W157,1))*10000+(ROW()-4))</f>
        <v/>
      </c>
    </row>
    <row r="158" ht="15" customHeight="1" s="20">
      <c r="A158" s="25" t="n"/>
      <c r="B158" s="25" t="n"/>
      <c r="C158" s="25" t="n"/>
      <c r="D158" s="25" t="n"/>
      <c r="E158" s="25" t="n"/>
      <c r="F158" s="26" t="n"/>
      <c r="G158" s="25" t="n"/>
      <c r="H158" s="25" t="n"/>
      <c r="I158" s="26" t="n"/>
      <c r="J158" s="25" t="n"/>
      <c r="K158" s="26" t="n"/>
      <c r="L158" s="25" t="n"/>
      <c r="M158" s="25" t="n"/>
      <c r="N158" s="26" t="n"/>
      <c r="O158" s="25" t="n"/>
      <c r="P158" s="25" t="n"/>
      <c r="Q158" s="26" t="n"/>
      <c r="R158" s="25">
        <f>IF(AND($A158="",$B158=""),"",IF(Q158="Complete","Onboarded",IF(OR(M158="Member",M158="Ambassador"),"Sponsored",IF(K158&lt;&gt;"","Follow-Up",IF(I158&lt;&gt;"","Presented",IF(F158&lt;&gt;"","Contacted","New Lead"))))))</f>
        <v/>
      </c>
      <c r="S158" s="25" t="n"/>
      <c r="T158" s="25">
        <f>IF(MAX(F158,I158,K158)=0,"",TODAY()-MAX(F158,I158,K158))</f>
        <v/>
      </c>
      <c r="U158" s="25" t="n"/>
      <c r="V158" s="25" t="n"/>
      <c r="W158" s="25">
        <f>IF(AND($A158="",$B158=""),"",IF(M158="Ambassador","1 - Ambassador",IF(M158="Member","2 - Member",IF(J158="Completed","3 - Presented",IF(H158&lt;&gt;"","4 - Sent",IF(F158&lt;&gt;"","5 - Contacted","6 - No Activity"))))))</f>
        <v/>
      </c>
      <c r="X158" s="25">
        <f>IF(AND($A158="",$B158=""),9999999+(ROW()-4),VALUE(LEFT($W158,1))*10000+(ROW()-4))</f>
        <v/>
      </c>
    </row>
    <row r="159" ht="15" customHeight="1" s="20">
      <c r="A159" s="25" t="n"/>
      <c r="B159" s="25" t="n"/>
      <c r="C159" s="25" t="n"/>
      <c r="D159" s="25" t="n"/>
      <c r="E159" s="25" t="n"/>
      <c r="F159" s="26" t="n"/>
      <c r="G159" s="25" t="n"/>
      <c r="H159" s="25" t="n"/>
      <c r="I159" s="26" t="n"/>
      <c r="J159" s="25" t="n"/>
      <c r="K159" s="26" t="n"/>
      <c r="L159" s="25" t="n"/>
      <c r="M159" s="25" t="n"/>
      <c r="N159" s="26" t="n"/>
      <c r="O159" s="25" t="n"/>
      <c r="P159" s="25" t="n"/>
      <c r="Q159" s="26" t="n"/>
      <c r="R159" s="25">
        <f>IF(AND($A159="",$B159=""),"",IF(Q159="Complete","Onboarded",IF(OR(M159="Member",M159="Ambassador"),"Sponsored",IF(K159&lt;&gt;"","Follow-Up",IF(I159&lt;&gt;"","Presented",IF(F159&lt;&gt;"","Contacted","New Lead"))))))</f>
        <v/>
      </c>
      <c r="S159" s="25" t="n"/>
      <c r="T159" s="25">
        <f>IF(MAX(F159,I159,K159)=0,"",TODAY()-MAX(F159,I159,K159))</f>
        <v/>
      </c>
      <c r="U159" s="25" t="n"/>
      <c r="V159" s="25" t="n"/>
      <c r="W159" s="25">
        <f>IF(AND($A159="",$B159=""),"",IF(M159="Ambassador","1 - Ambassador",IF(M159="Member","2 - Member",IF(J159="Completed","3 - Presented",IF(H159&lt;&gt;"","4 - Sent",IF(F159&lt;&gt;"","5 - Contacted","6 - No Activity"))))))</f>
        <v/>
      </c>
      <c r="X159" s="25">
        <f>IF(AND($A159="",$B159=""),9999999+(ROW()-4),VALUE(LEFT($W159,1))*10000+(ROW()-4))</f>
        <v/>
      </c>
    </row>
    <row r="160" ht="15" customHeight="1" s="20">
      <c r="A160" s="25" t="n"/>
      <c r="B160" s="25" t="n"/>
      <c r="C160" s="25" t="n"/>
      <c r="D160" s="25" t="n"/>
      <c r="E160" s="25" t="n"/>
      <c r="F160" s="26" t="n"/>
      <c r="G160" s="25" t="n"/>
      <c r="H160" s="25" t="n"/>
      <c r="I160" s="26" t="n"/>
      <c r="J160" s="25" t="n"/>
      <c r="K160" s="26" t="n"/>
      <c r="L160" s="25" t="n"/>
      <c r="M160" s="25" t="n"/>
      <c r="N160" s="26" t="n"/>
      <c r="O160" s="25" t="n"/>
      <c r="P160" s="25" t="n"/>
      <c r="Q160" s="26" t="n"/>
      <c r="R160" s="25">
        <f>IF(AND($A160="",$B160=""),"",IF(Q160="Complete","Onboarded",IF(OR(M160="Member",M160="Ambassador"),"Sponsored",IF(K160&lt;&gt;"","Follow-Up",IF(I160&lt;&gt;"","Presented",IF(F160&lt;&gt;"","Contacted","New Lead"))))))</f>
        <v/>
      </c>
      <c r="S160" s="25" t="n"/>
      <c r="T160" s="25">
        <f>IF(MAX(F160,I160,K160)=0,"",TODAY()-MAX(F160,I160,K160))</f>
        <v/>
      </c>
      <c r="U160" s="25" t="n"/>
      <c r="V160" s="25" t="n"/>
      <c r="W160" s="25">
        <f>IF(AND($A160="",$B160=""),"",IF(M160="Ambassador","1 - Ambassador",IF(M160="Member","2 - Member",IF(J160="Completed","3 - Presented",IF(H160&lt;&gt;"","4 - Sent",IF(F160&lt;&gt;"","5 - Contacted","6 - No Activity"))))))</f>
        <v/>
      </c>
      <c r="X160" s="25">
        <f>IF(AND($A160="",$B160=""),9999999+(ROW()-4),VALUE(LEFT($W160,1))*10000+(ROW()-4))</f>
        <v/>
      </c>
    </row>
    <row r="161" ht="15" customHeight="1" s="20">
      <c r="A161" s="25" t="n"/>
      <c r="B161" s="25" t="n"/>
      <c r="C161" s="25" t="n"/>
      <c r="D161" s="25" t="n"/>
      <c r="E161" s="25" t="n"/>
      <c r="F161" s="26" t="n"/>
      <c r="G161" s="25" t="n"/>
      <c r="H161" s="25" t="n"/>
      <c r="I161" s="26" t="n"/>
      <c r="J161" s="25" t="n"/>
      <c r="K161" s="26" t="n"/>
      <c r="L161" s="25" t="n"/>
      <c r="M161" s="25" t="n"/>
      <c r="N161" s="26" t="n"/>
      <c r="O161" s="25" t="n"/>
      <c r="P161" s="25" t="n"/>
      <c r="Q161" s="26" t="n"/>
      <c r="R161" s="25">
        <f>IF(AND($A161="",$B161=""),"",IF(Q161="Complete","Onboarded",IF(OR(M161="Member",M161="Ambassador"),"Sponsored",IF(K161&lt;&gt;"","Follow-Up",IF(I161&lt;&gt;"","Presented",IF(F161&lt;&gt;"","Contacted","New Lead"))))))</f>
        <v/>
      </c>
      <c r="S161" s="25" t="n"/>
      <c r="T161" s="25">
        <f>IF(MAX(F161,I161,K161)=0,"",TODAY()-MAX(F161,I161,K161))</f>
        <v/>
      </c>
      <c r="U161" s="25" t="n"/>
      <c r="V161" s="25" t="n"/>
      <c r="W161" s="25">
        <f>IF(AND($A161="",$B161=""),"",IF(M161="Ambassador","1 - Ambassador",IF(M161="Member","2 - Member",IF(J161="Completed","3 - Presented",IF(H161&lt;&gt;"","4 - Sent",IF(F161&lt;&gt;"","5 - Contacted","6 - No Activity"))))))</f>
        <v/>
      </c>
      <c r="X161" s="25">
        <f>IF(AND($A161="",$B161=""),9999999+(ROW()-4),VALUE(LEFT($W161,1))*10000+(ROW()-4))</f>
        <v/>
      </c>
    </row>
    <row r="162" ht="15" customHeight="1" s="20">
      <c r="A162" s="25" t="n"/>
      <c r="B162" s="25" t="n"/>
      <c r="C162" s="25" t="n"/>
      <c r="D162" s="25" t="n"/>
      <c r="E162" s="25" t="n"/>
      <c r="F162" s="26" t="n"/>
      <c r="G162" s="25" t="n"/>
      <c r="H162" s="25" t="n"/>
      <c r="I162" s="26" t="n"/>
      <c r="J162" s="25" t="n"/>
      <c r="K162" s="26" t="n"/>
      <c r="L162" s="25" t="n"/>
      <c r="M162" s="25" t="n"/>
      <c r="N162" s="26" t="n"/>
      <c r="O162" s="25" t="n"/>
      <c r="P162" s="25" t="n"/>
      <c r="Q162" s="26" t="n"/>
      <c r="R162" s="25">
        <f>IF(AND($A162="",$B162=""),"",IF(Q162="Complete","Onboarded",IF(OR(M162="Member",M162="Ambassador"),"Sponsored",IF(K162&lt;&gt;"","Follow-Up",IF(I162&lt;&gt;"","Presented",IF(F162&lt;&gt;"","Contacted","New Lead"))))))</f>
        <v/>
      </c>
      <c r="S162" s="25" t="n"/>
      <c r="T162" s="25">
        <f>IF(MAX(F162,I162,K162)=0,"",TODAY()-MAX(F162,I162,K162))</f>
        <v/>
      </c>
      <c r="U162" s="25" t="n"/>
      <c r="V162" s="25" t="n"/>
      <c r="W162" s="25">
        <f>IF(AND($A162="",$B162=""),"",IF(M162="Ambassador","1 - Ambassador",IF(M162="Member","2 - Member",IF(J162="Completed","3 - Presented",IF(H162&lt;&gt;"","4 - Sent",IF(F162&lt;&gt;"","5 - Contacted","6 - No Activity"))))))</f>
        <v/>
      </c>
      <c r="X162" s="25">
        <f>IF(AND($A162="",$B162=""),9999999+(ROW()-4),VALUE(LEFT($W162,1))*10000+(ROW()-4))</f>
        <v/>
      </c>
    </row>
    <row r="163" ht="15" customHeight="1" s="20">
      <c r="A163" s="25" t="n"/>
      <c r="B163" s="25" t="n"/>
      <c r="C163" s="25" t="n"/>
      <c r="D163" s="25" t="n"/>
      <c r="E163" s="25" t="n"/>
      <c r="F163" s="26" t="n"/>
      <c r="G163" s="25" t="n"/>
      <c r="H163" s="25" t="n"/>
      <c r="I163" s="26" t="n"/>
      <c r="J163" s="25" t="n"/>
      <c r="K163" s="26" t="n"/>
      <c r="L163" s="25" t="n"/>
      <c r="M163" s="25" t="n"/>
      <c r="N163" s="26" t="n"/>
      <c r="O163" s="25" t="n"/>
      <c r="P163" s="25" t="n"/>
      <c r="Q163" s="26" t="n"/>
      <c r="R163" s="25">
        <f>IF(AND($A163="",$B163=""),"",IF(Q163="Complete","Onboarded",IF(OR(M163="Member",M163="Ambassador"),"Sponsored",IF(K163&lt;&gt;"","Follow-Up",IF(I163&lt;&gt;"","Presented",IF(F163&lt;&gt;"","Contacted","New Lead"))))))</f>
        <v/>
      </c>
      <c r="S163" s="25" t="n"/>
      <c r="T163" s="25">
        <f>IF(MAX(F163,I163,K163)=0,"",TODAY()-MAX(F163,I163,K163))</f>
        <v/>
      </c>
      <c r="U163" s="25" t="n"/>
      <c r="V163" s="25" t="n"/>
      <c r="W163" s="25">
        <f>IF(AND($A163="",$B163=""),"",IF(M163="Ambassador","1 - Ambassador",IF(M163="Member","2 - Member",IF(J163="Completed","3 - Presented",IF(H163&lt;&gt;"","4 - Sent",IF(F163&lt;&gt;"","5 - Contacted","6 - No Activity"))))))</f>
        <v/>
      </c>
      <c r="X163" s="25">
        <f>IF(AND($A163="",$B163=""),9999999+(ROW()-4),VALUE(LEFT($W163,1))*10000+(ROW()-4))</f>
        <v/>
      </c>
    </row>
    <row r="164" ht="15" customHeight="1" s="20">
      <c r="A164" s="25" t="n"/>
      <c r="B164" s="25" t="n"/>
      <c r="C164" s="25" t="n"/>
      <c r="D164" s="25" t="n"/>
      <c r="E164" s="25" t="n"/>
      <c r="F164" s="26" t="n"/>
      <c r="G164" s="25" t="n"/>
      <c r="H164" s="25" t="n"/>
      <c r="I164" s="26" t="n"/>
      <c r="J164" s="25" t="n"/>
      <c r="K164" s="26" t="n"/>
      <c r="L164" s="25" t="n"/>
      <c r="M164" s="25" t="n"/>
      <c r="N164" s="26" t="n"/>
      <c r="O164" s="25" t="n"/>
      <c r="P164" s="25" t="n"/>
      <c r="Q164" s="26" t="n"/>
      <c r="R164" s="25">
        <f>IF(AND($A164="",$B164=""),"",IF(Q164="Complete","Onboarded",IF(OR(M164="Member",M164="Ambassador"),"Sponsored",IF(K164&lt;&gt;"","Follow-Up",IF(I164&lt;&gt;"","Presented",IF(F164&lt;&gt;"","Contacted","New Lead"))))))</f>
        <v/>
      </c>
      <c r="S164" s="25" t="n"/>
      <c r="T164" s="25">
        <f>IF(MAX(F164,I164,K164)=0,"",TODAY()-MAX(F164,I164,K164))</f>
        <v/>
      </c>
      <c r="U164" s="25" t="n"/>
      <c r="V164" s="25" t="n"/>
      <c r="W164" s="25">
        <f>IF(AND($A164="",$B164=""),"",IF(M164="Ambassador","1 - Ambassador",IF(M164="Member","2 - Member",IF(J164="Completed","3 - Presented",IF(H164&lt;&gt;"","4 - Sent",IF(F164&lt;&gt;"","5 - Contacted","6 - No Activity"))))))</f>
        <v/>
      </c>
      <c r="X164" s="25">
        <f>IF(AND($A164="",$B164=""),9999999+(ROW()-4),VALUE(LEFT($W164,1))*10000+(ROW()-4))</f>
        <v/>
      </c>
    </row>
    <row r="165" ht="15" customHeight="1" s="20">
      <c r="A165" s="25" t="n"/>
      <c r="B165" s="25" t="n"/>
      <c r="C165" s="25" t="n"/>
      <c r="D165" s="25" t="n"/>
      <c r="E165" s="25" t="n"/>
      <c r="F165" s="26" t="n"/>
      <c r="G165" s="25" t="n"/>
      <c r="H165" s="25" t="n"/>
      <c r="I165" s="26" t="n"/>
      <c r="J165" s="25" t="n"/>
      <c r="K165" s="26" t="n"/>
      <c r="L165" s="25" t="n"/>
      <c r="M165" s="25" t="n"/>
      <c r="N165" s="26" t="n"/>
      <c r="O165" s="25" t="n"/>
      <c r="P165" s="25" t="n"/>
      <c r="Q165" s="26" t="n"/>
      <c r="R165" s="25">
        <f>IF(AND($A165="",$B165=""),"",IF(Q165="Complete","Onboarded",IF(OR(M165="Member",M165="Ambassador"),"Sponsored",IF(K165&lt;&gt;"","Follow-Up",IF(I165&lt;&gt;"","Presented",IF(F165&lt;&gt;"","Contacted","New Lead"))))))</f>
        <v/>
      </c>
      <c r="S165" s="25" t="n"/>
      <c r="T165" s="25">
        <f>IF(MAX(F165,I165,K165)=0,"",TODAY()-MAX(F165,I165,K165))</f>
        <v/>
      </c>
      <c r="U165" s="25" t="n"/>
      <c r="V165" s="25" t="n"/>
      <c r="W165" s="25">
        <f>IF(AND($A165="",$B165=""),"",IF(M165="Ambassador","1 - Ambassador",IF(M165="Member","2 - Member",IF(J165="Completed","3 - Presented",IF(H165&lt;&gt;"","4 - Sent",IF(F165&lt;&gt;"","5 - Contacted","6 - No Activity"))))))</f>
        <v/>
      </c>
      <c r="X165" s="25">
        <f>IF(AND($A165="",$B165=""),9999999+(ROW()-4),VALUE(LEFT($W165,1))*10000+(ROW()-4))</f>
        <v/>
      </c>
    </row>
    <row r="166" ht="15" customHeight="1" s="20">
      <c r="A166" s="25" t="n"/>
      <c r="B166" s="25" t="n"/>
      <c r="C166" s="25" t="n"/>
      <c r="D166" s="25" t="n"/>
      <c r="E166" s="25" t="n"/>
      <c r="F166" s="26" t="n"/>
      <c r="G166" s="25" t="n"/>
      <c r="H166" s="25" t="n"/>
      <c r="I166" s="26" t="n"/>
      <c r="J166" s="25" t="n"/>
      <c r="K166" s="26" t="n"/>
      <c r="L166" s="25" t="n"/>
      <c r="M166" s="25" t="n"/>
      <c r="N166" s="26" t="n"/>
      <c r="O166" s="25" t="n"/>
      <c r="P166" s="25" t="n"/>
      <c r="Q166" s="26" t="n"/>
      <c r="R166" s="25">
        <f>IF(AND($A166="",$B166=""),"",IF(Q166="Complete","Onboarded",IF(OR(M166="Member",M166="Ambassador"),"Sponsored",IF(K166&lt;&gt;"","Follow-Up",IF(I166&lt;&gt;"","Presented",IF(F166&lt;&gt;"","Contacted","New Lead"))))))</f>
        <v/>
      </c>
      <c r="S166" s="25" t="n"/>
      <c r="T166" s="25">
        <f>IF(MAX(F166,I166,K166)=0,"",TODAY()-MAX(F166,I166,K166))</f>
        <v/>
      </c>
      <c r="U166" s="25" t="n"/>
      <c r="V166" s="25" t="n"/>
      <c r="W166" s="25">
        <f>IF(AND($A166="",$B166=""),"",IF(M166="Ambassador","1 - Ambassador",IF(M166="Member","2 - Member",IF(J166="Completed","3 - Presented",IF(H166&lt;&gt;"","4 - Sent",IF(F166&lt;&gt;"","5 - Contacted","6 - No Activity"))))))</f>
        <v/>
      </c>
      <c r="X166" s="25">
        <f>IF(AND($A166="",$B166=""),9999999+(ROW()-4),VALUE(LEFT($W166,1))*10000+(ROW()-4))</f>
        <v/>
      </c>
    </row>
    <row r="167" ht="15" customHeight="1" s="20">
      <c r="A167" s="25" t="n"/>
      <c r="B167" s="25" t="n"/>
      <c r="C167" s="25" t="n"/>
      <c r="D167" s="25" t="n"/>
      <c r="E167" s="25" t="n"/>
      <c r="F167" s="26" t="n"/>
      <c r="G167" s="25" t="n"/>
      <c r="H167" s="25" t="n"/>
      <c r="I167" s="26" t="n"/>
      <c r="J167" s="25" t="n"/>
      <c r="K167" s="26" t="n"/>
      <c r="L167" s="25" t="n"/>
      <c r="M167" s="25" t="n"/>
      <c r="N167" s="26" t="n"/>
      <c r="O167" s="25" t="n"/>
      <c r="P167" s="25" t="n"/>
      <c r="Q167" s="26" t="n"/>
      <c r="R167" s="25">
        <f>IF(AND($A167="",$B167=""),"",IF(Q167="Complete","Onboarded",IF(OR(M167="Member",M167="Ambassador"),"Sponsored",IF(K167&lt;&gt;"","Follow-Up",IF(I167&lt;&gt;"","Presented",IF(F167&lt;&gt;"","Contacted","New Lead"))))))</f>
        <v/>
      </c>
      <c r="S167" s="25" t="n"/>
      <c r="T167" s="25">
        <f>IF(MAX(F167,I167,K167)=0,"",TODAY()-MAX(F167,I167,K167))</f>
        <v/>
      </c>
      <c r="U167" s="25" t="n"/>
      <c r="V167" s="25" t="n"/>
      <c r="W167" s="25">
        <f>IF(AND($A167="",$B167=""),"",IF(M167="Ambassador","1 - Ambassador",IF(M167="Member","2 - Member",IF(J167="Completed","3 - Presented",IF(H167&lt;&gt;"","4 - Sent",IF(F167&lt;&gt;"","5 - Contacted","6 - No Activity"))))))</f>
        <v/>
      </c>
      <c r="X167" s="25">
        <f>IF(AND($A167="",$B167=""),9999999+(ROW()-4),VALUE(LEFT($W167,1))*10000+(ROW()-4))</f>
        <v/>
      </c>
    </row>
    <row r="168" ht="15" customHeight="1" s="20">
      <c r="A168" s="25" t="n"/>
      <c r="B168" s="25" t="n"/>
      <c r="C168" s="25" t="n"/>
      <c r="D168" s="25" t="n"/>
      <c r="E168" s="25" t="n"/>
      <c r="F168" s="26" t="n"/>
      <c r="G168" s="25" t="n"/>
      <c r="H168" s="25" t="n"/>
      <c r="I168" s="26" t="n"/>
      <c r="J168" s="25" t="n"/>
      <c r="K168" s="26" t="n"/>
      <c r="L168" s="25" t="n"/>
      <c r="M168" s="25" t="n"/>
      <c r="N168" s="26" t="n"/>
      <c r="O168" s="25" t="n"/>
      <c r="P168" s="25" t="n"/>
      <c r="Q168" s="26" t="n"/>
      <c r="R168" s="25">
        <f>IF(AND($A168="",$B168=""),"",IF(Q168="Complete","Onboarded",IF(OR(M168="Member",M168="Ambassador"),"Sponsored",IF(K168&lt;&gt;"","Follow-Up",IF(I168&lt;&gt;"","Presented",IF(F168&lt;&gt;"","Contacted","New Lead"))))))</f>
        <v/>
      </c>
      <c r="S168" s="25" t="n"/>
      <c r="T168" s="25">
        <f>IF(MAX(F168,I168,K168)=0,"",TODAY()-MAX(F168,I168,K168))</f>
        <v/>
      </c>
      <c r="U168" s="25" t="n"/>
      <c r="V168" s="25" t="n"/>
      <c r="W168" s="25">
        <f>IF(AND($A168="",$B168=""),"",IF(M168="Ambassador","1 - Ambassador",IF(M168="Member","2 - Member",IF(J168="Completed","3 - Presented",IF(H168&lt;&gt;"","4 - Sent",IF(F168&lt;&gt;"","5 - Contacted","6 - No Activity"))))))</f>
        <v/>
      </c>
      <c r="X168" s="25">
        <f>IF(AND($A168="",$B168=""),9999999+(ROW()-4),VALUE(LEFT($W168,1))*10000+(ROW()-4))</f>
        <v/>
      </c>
    </row>
    <row r="169" ht="15" customHeight="1" s="20">
      <c r="A169" s="25" t="n"/>
      <c r="B169" s="25" t="n"/>
      <c r="C169" s="25" t="n"/>
      <c r="D169" s="25" t="n"/>
      <c r="E169" s="25" t="n"/>
      <c r="F169" s="26" t="n"/>
      <c r="G169" s="25" t="n"/>
      <c r="H169" s="25" t="n"/>
      <c r="I169" s="26" t="n"/>
      <c r="J169" s="25" t="n"/>
      <c r="K169" s="26" t="n"/>
      <c r="L169" s="25" t="n"/>
      <c r="M169" s="25" t="n"/>
      <c r="N169" s="26" t="n"/>
      <c r="O169" s="25" t="n"/>
      <c r="P169" s="25" t="n"/>
      <c r="Q169" s="26" t="n"/>
      <c r="R169" s="25">
        <f>IF(AND($A169="",$B169=""),"",IF(Q169="Complete","Onboarded",IF(OR(M169="Member",M169="Ambassador"),"Sponsored",IF(K169&lt;&gt;"","Follow-Up",IF(I169&lt;&gt;"","Presented",IF(F169&lt;&gt;"","Contacted","New Lead"))))))</f>
        <v/>
      </c>
      <c r="S169" s="25" t="n"/>
      <c r="T169" s="25">
        <f>IF(MAX(F169,I169,K169)=0,"",TODAY()-MAX(F169,I169,K169))</f>
        <v/>
      </c>
      <c r="U169" s="25" t="n"/>
      <c r="V169" s="25" t="n"/>
      <c r="W169" s="25">
        <f>IF(AND($A169="",$B169=""),"",IF(M169="Ambassador","1 - Ambassador",IF(M169="Member","2 - Member",IF(J169="Completed","3 - Presented",IF(H169&lt;&gt;"","4 - Sent",IF(F169&lt;&gt;"","5 - Contacted","6 - No Activity"))))))</f>
        <v/>
      </c>
      <c r="X169" s="25">
        <f>IF(AND($A169="",$B169=""),9999999+(ROW()-4),VALUE(LEFT($W169,1))*10000+(ROW()-4))</f>
        <v/>
      </c>
    </row>
    <row r="170" ht="15" customHeight="1" s="20">
      <c r="A170" s="25" t="n"/>
      <c r="B170" s="25" t="n"/>
      <c r="C170" s="25" t="n"/>
      <c r="D170" s="25" t="n"/>
      <c r="E170" s="25" t="n"/>
      <c r="F170" s="26" t="n"/>
      <c r="G170" s="25" t="n"/>
      <c r="H170" s="25" t="n"/>
      <c r="I170" s="26" t="n"/>
      <c r="J170" s="25" t="n"/>
      <c r="K170" s="26" t="n"/>
      <c r="L170" s="25" t="n"/>
      <c r="M170" s="25" t="n"/>
      <c r="N170" s="26" t="n"/>
      <c r="O170" s="25" t="n"/>
      <c r="P170" s="25" t="n"/>
      <c r="Q170" s="26" t="n"/>
      <c r="R170" s="25">
        <f>IF(AND($A170="",$B170=""),"",IF(Q170="Complete","Onboarded",IF(OR(M170="Member",M170="Ambassador"),"Sponsored",IF(K170&lt;&gt;"","Follow-Up",IF(I170&lt;&gt;"","Presented",IF(F170&lt;&gt;"","Contacted","New Lead"))))))</f>
        <v/>
      </c>
      <c r="S170" s="25" t="n"/>
      <c r="T170" s="25">
        <f>IF(MAX(F170,I170,K170)=0,"",TODAY()-MAX(F170,I170,K170))</f>
        <v/>
      </c>
      <c r="U170" s="25" t="n"/>
      <c r="V170" s="25" t="n"/>
      <c r="W170" s="25">
        <f>IF(AND($A170="",$B170=""),"",IF(M170="Ambassador","1 - Ambassador",IF(M170="Member","2 - Member",IF(J170="Completed","3 - Presented",IF(H170&lt;&gt;"","4 - Sent",IF(F170&lt;&gt;"","5 - Contacted","6 - No Activity"))))))</f>
        <v/>
      </c>
      <c r="X170" s="25">
        <f>IF(AND($A170="",$B170=""),9999999+(ROW()-4),VALUE(LEFT($W170,1))*10000+(ROW()-4))</f>
        <v/>
      </c>
    </row>
    <row r="171" ht="15" customHeight="1" s="20">
      <c r="A171" s="25" t="n"/>
      <c r="B171" s="25" t="n"/>
      <c r="C171" s="25" t="n"/>
      <c r="D171" s="25" t="n"/>
      <c r="E171" s="25" t="n"/>
      <c r="F171" s="26" t="n"/>
      <c r="G171" s="25" t="n"/>
      <c r="H171" s="25" t="n"/>
      <c r="I171" s="26" t="n"/>
      <c r="J171" s="25" t="n"/>
      <c r="K171" s="26" t="n"/>
      <c r="L171" s="25" t="n"/>
      <c r="M171" s="25" t="n"/>
      <c r="N171" s="26" t="n"/>
      <c r="O171" s="25" t="n"/>
      <c r="P171" s="25" t="n"/>
      <c r="Q171" s="26" t="n"/>
      <c r="R171" s="25">
        <f>IF(AND($A171="",$B171=""),"",IF(Q171="Complete","Onboarded",IF(OR(M171="Member",M171="Ambassador"),"Sponsored",IF(K171&lt;&gt;"","Follow-Up",IF(I171&lt;&gt;"","Presented",IF(F171&lt;&gt;"","Contacted","New Lead"))))))</f>
        <v/>
      </c>
      <c r="S171" s="25" t="n"/>
      <c r="T171" s="25">
        <f>IF(MAX(F171,I171,K171)=0,"",TODAY()-MAX(F171,I171,K171))</f>
        <v/>
      </c>
      <c r="U171" s="25" t="n"/>
      <c r="V171" s="25" t="n"/>
      <c r="W171" s="25">
        <f>IF(AND($A171="",$B171=""),"",IF(M171="Ambassador","1 - Ambassador",IF(M171="Member","2 - Member",IF(J171="Completed","3 - Presented",IF(H171&lt;&gt;"","4 - Sent",IF(F171&lt;&gt;"","5 - Contacted","6 - No Activity"))))))</f>
        <v/>
      </c>
      <c r="X171" s="25">
        <f>IF(AND($A171="",$B171=""),9999999+(ROW()-4),VALUE(LEFT($W171,1))*10000+(ROW()-4))</f>
        <v/>
      </c>
    </row>
    <row r="172" ht="15" customHeight="1" s="20">
      <c r="A172" s="25" t="n"/>
      <c r="B172" s="25" t="n"/>
      <c r="C172" s="25" t="n"/>
      <c r="D172" s="25" t="n"/>
      <c r="E172" s="25" t="n"/>
      <c r="F172" s="26" t="n"/>
      <c r="G172" s="25" t="n"/>
      <c r="H172" s="25" t="n"/>
      <c r="I172" s="26" t="n"/>
      <c r="J172" s="25" t="n"/>
      <c r="K172" s="26" t="n"/>
      <c r="L172" s="25" t="n"/>
      <c r="M172" s="25" t="n"/>
      <c r="N172" s="26" t="n"/>
      <c r="O172" s="25" t="n"/>
      <c r="P172" s="25" t="n"/>
      <c r="Q172" s="26" t="n"/>
      <c r="R172" s="25">
        <f>IF(AND($A172="",$B172=""),"",IF(Q172="Complete","Onboarded",IF(OR(M172="Member",M172="Ambassador"),"Sponsored",IF(K172&lt;&gt;"","Follow-Up",IF(I172&lt;&gt;"","Presented",IF(F172&lt;&gt;"","Contacted","New Lead"))))))</f>
        <v/>
      </c>
      <c r="S172" s="25" t="n"/>
      <c r="T172" s="25">
        <f>IF(MAX(F172,I172,K172)=0,"",TODAY()-MAX(F172,I172,K172))</f>
        <v/>
      </c>
      <c r="U172" s="25" t="n"/>
      <c r="V172" s="25" t="n"/>
      <c r="W172" s="25">
        <f>IF(AND($A172="",$B172=""),"",IF(M172="Ambassador","1 - Ambassador",IF(M172="Member","2 - Member",IF(J172="Completed","3 - Presented",IF(H172&lt;&gt;"","4 - Sent",IF(F172&lt;&gt;"","5 - Contacted","6 - No Activity"))))))</f>
        <v/>
      </c>
      <c r="X172" s="25">
        <f>IF(AND($A172="",$B172=""),9999999+(ROW()-4),VALUE(LEFT($W172,1))*10000+(ROW()-4))</f>
        <v/>
      </c>
    </row>
    <row r="173" ht="15" customHeight="1" s="20">
      <c r="A173" s="25" t="n"/>
      <c r="B173" s="25" t="n"/>
      <c r="C173" s="25" t="n"/>
      <c r="D173" s="25" t="n"/>
      <c r="E173" s="25" t="n"/>
      <c r="F173" s="26" t="n"/>
      <c r="G173" s="25" t="n"/>
      <c r="H173" s="25" t="n"/>
      <c r="I173" s="26" t="n"/>
      <c r="J173" s="25" t="n"/>
      <c r="K173" s="26" t="n"/>
      <c r="L173" s="25" t="n"/>
      <c r="M173" s="25" t="n"/>
      <c r="N173" s="26" t="n"/>
      <c r="O173" s="25" t="n"/>
      <c r="P173" s="25" t="n"/>
      <c r="Q173" s="26" t="n"/>
      <c r="R173" s="25">
        <f>IF(AND($A173="",$B173=""),"",IF(Q173="Complete","Onboarded",IF(OR(M173="Member",M173="Ambassador"),"Sponsored",IF(K173&lt;&gt;"","Follow-Up",IF(I173&lt;&gt;"","Presented",IF(F173&lt;&gt;"","Contacted","New Lead"))))))</f>
        <v/>
      </c>
      <c r="S173" s="25" t="n"/>
      <c r="T173" s="25">
        <f>IF(MAX(F173,I173,K173)=0,"",TODAY()-MAX(F173,I173,K173))</f>
        <v/>
      </c>
      <c r="U173" s="25" t="n"/>
      <c r="V173" s="25" t="n"/>
      <c r="W173" s="25">
        <f>IF(AND($A173="",$B173=""),"",IF(M173="Ambassador","1 - Ambassador",IF(M173="Member","2 - Member",IF(J173="Completed","3 - Presented",IF(H173&lt;&gt;"","4 - Sent",IF(F173&lt;&gt;"","5 - Contacted","6 - No Activity"))))))</f>
        <v/>
      </c>
      <c r="X173" s="25">
        <f>IF(AND($A173="",$B173=""),9999999+(ROW()-4),VALUE(LEFT($W173,1))*10000+(ROW()-4))</f>
        <v/>
      </c>
    </row>
    <row r="174" ht="15" customHeight="1" s="20">
      <c r="A174" s="25" t="n"/>
      <c r="B174" s="25" t="n"/>
      <c r="C174" s="25" t="n"/>
      <c r="D174" s="25" t="n"/>
      <c r="E174" s="25" t="n"/>
      <c r="F174" s="26" t="n"/>
      <c r="G174" s="25" t="n"/>
      <c r="H174" s="25" t="n"/>
      <c r="I174" s="26" t="n"/>
      <c r="J174" s="25" t="n"/>
      <c r="K174" s="26" t="n"/>
      <c r="L174" s="25" t="n"/>
      <c r="M174" s="25" t="n"/>
      <c r="N174" s="26" t="n"/>
      <c r="O174" s="25" t="n"/>
      <c r="P174" s="25" t="n"/>
      <c r="Q174" s="26" t="n"/>
      <c r="R174" s="25">
        <f>IF(AND($A174="",$B174=""),"",IF(Q174="Complete","Onboarded",IF(OR(M174="Member",M174="Ambassador"),"Sponsored",IF(K174&lt;&gt;"","Follow-Up",IF(I174&lt;&gt;"","Presented",IF(F174&lt;&gt;"","Contacted","New Lead"))))))</f>
        <v/>
      </c>
      <c r="S174" s="25" t="n"/>
      <c r="T174" s="25">
        <f>IF(MAX(F174,I174,K174)=0,"",TODAY()-MAX(F174,I174,K174))</f>
        <v/>
      </c>
      <c r="U174" s="25" t="n"/>
      <c r="V174" s="25" t="n"/>
      <c r="W174" s="25">
        <f>IF(AND($A174="",$B174=""),"",IF(M174="Ambassador","1 - Ambassador",IF(M174="Member","2 - Member",IF(J174="Completed","3 - Presented",IF(H174&lt;&gt;"","4 - Sent",IF(F174&lt;&gt;"","5 - Contacted","6 - No Activity"))))))</f>
        <v/>
      </c>
      <c r="X174" s="25">
        <f>IF(AND($A174="",$B174=""),9999999+(ROW()-4),VALUE(LEFT($W174,1))*10000+(ROW()-4))</f>
        <v/>
      </c>
    </row>
    <row r="175" ht="15" customHeight="1" s="20">
      <c r="A175" s="25" t="n"/>
      <c r="B175" s="25" t="n"/>
      <c r="C175" s="25" t="n"/>
      <c r="D175" s="25" t="n"/>
      <c r="E175" s="25" t="n"/>
      <c r="F175" s="26" t="n"/>
      <c r="G175" s="25" t="n"/>
      <c r="H175" s="25" t="n"/>
      <c r="I175" s="26" t="n"/>
      <c r="J175" s="25" t="n"/>
      <c r="K175" s="26" t="n"/>
      <c r="L175" s="25" t="n"/>
      <c r="M175" s="25" t="n"/>
      <c r="N175" s="26" t="n"/>
      <c r="O175" s="25" t="n"/>
      <c r="P175" s="25" t="n"/>
      <c r="Q175" s="26" t="n"/>
      <c r="R175" s="25">
        <f>IF(AND($A175="",$B175=""),"",IF(Q175="Complete","Onboarded",IF(OR(M175="Member",M175="Ambassador"),"Sponsored",IF(K175&lt;&gt;"","Follow-Up",IF(I175&lt;&gt;"","Presented",IF(F175&lt;&gt;"","Contacted","New Lead"))))))</f>
        <v/>
      </c>
      <c r="S175" s="25" t="n"/>
      <c r="T175" s="25">
        <f>IF(MAX(F175,I175,K175)=0,"",TODAY()-MAX(F175,I175,K175))</f>
        <v/>
      </c>
      <c r="U175" s="25" t="n"/>
      <c r="V175" s="25" t="n"/>
      <c r="W175" s="25">
        <f>IF(AND($A175="",$B175=""),"",IF(M175="Ambassador","1 - Ambassador",IF(M175="Member","2 - Member",IF(J175="Completed","3 - Presented",IF(H175&lt;&gt;"","4 - Sent",IF(F175&lt;&gt;"","5 - Contacted","6 - No Activity"))))))</f>
        <v/>
      </c>
      <c r="X175" s="25">
        <f>IF(AND($A175="",$B175=""),9999999+(ROW()-4),VALUE(LEFT($W175,1))*10000+(ROW()-4))</f>
        <v/>
      </c>
    </row>
    <row r="176" ht="15" customHeight="1" s="20">
      <c r="A176" s="25" t="n"/>
      <c r="B176" s="25" t="n"/>
      <c r="C176" s="25" t="n"/>
      <c r="D176" s="25" t="n"/>
      <c r="E176" s="25" t="n"/>
      <c r="F176" s="26" t="n"/>
      <c r="G176" s="25" t="n"/>
      <c r="H176" s="25" t="n"/>
      <c r="I176" s="26" t="n"/>
      <c r="J176" s="25" t="n"/>
      <c r="K176" s="26" t="n"/>
      <c r="L176" s="25" t="n"/>
      <c r="M176" s="25" t="n"/>
      <c r="N176" s="26" t="n"/>
      <c r="O176" s="25" t="n"/>
      <c r="P176" s="25" t="n"/>
      <c r="Q176" s="26" t="n"/>
      <c r="R176" s="25">
        <f>IF(AND($A176="",$B176=""),"",IF(Q176="Complete","Onboarded",IF(OR(M176="Member",M176="Ambassador"),"Sponsored",IF(K176&lt;&gt;"","Follow-Up",IF(I176&lt;&gt;"","Presented",IF(F176&lt;&gt;"","Contacted","New Lead"))))))</f>
        <v/>
      </c>
      <c r="S176" s="25" t="n"/>
      <c r="T176" s="25">
        <f>IF(MAX(F176,I176,K176)=0,"",TODAY()-MAX(F176,I176,K176))</f>
        <v/>
      </c>
      <c r="U176" s="25" t="n"/>
      <c r="V176" s="25" t="n"/>
      <c r="W176" s="25">
        <f>IF(AND($A176="",$B176=""),"",IF(M176="Ambassador","1 - Ambassador",IF(M176="Member","2 - Member",IF(J176="Completed","3 - Presented",IF(H176&lt;&gt;"","4 - Sent",IF(F176&lt;&gt;"","5 - Contacted","6 - No Activity"))))))</f>
        <v/>
      </c>
      <c r="X176" s="25">
        <f>IF(AND($A176="",$B176=""),9999999+(ROW()-4),VALUE(LEFT($W176,1))*10000+(ROW()-4))</f>
        <v/>
      </c>
    </row>
    <row r="177" ht="15" customHeight="1" s="20">
      <c r="A177" s="25" t="n"/>
      <c r="B177" s="25" t="n"/>
      <c r="C177" s="25" t="n"/>
      <c r="D177" s="25" t="n"/>
      <c r="E177" s="25" t="n"/>
      <c r="F177" s="26" t="n"/>
      <c r="G177" s="25" t="n"/>
      <c r="H177" s="25" t="n"/>
      <c r="I177" s="26" t="n"/>
      <c r="J177" s="25" t="n"/>
      <c r="K177" s="26" t="n"/>
      <c r="L177" s="25" t="n"/>
      <c r="M177" s="25" t="n"/>
      <c r="N177" s="26" t="n"/>
      <c r="O177" s="25" t="n"/>
      <c r="P177" s="25" t="n"/>
      <c r="Q177" s="26" t="n"/>
      <c r="R177" s="25">
        <f>IF(AND($A177="",$B177=""),"",IF(Q177="Complete","Onboarded",IF(OR(M177="Member",M177="Ambassador"),"Sponsored",IF(K177&lt;&gt;"","Follow-Up",IF(I177&lt;&gt;"","Presented",IF(F177&lt;&gt;"","Contacted","New Lead"))))))</f>
        <v/>
      </c>
      <c r="S177" s="25" t="n"/>
      <c r="T177" s="25">
        <f>IF(MAX(F177,I177,K177)=0,"",TODAY()-MAX(F177,I177,K177))</f>
        <v/>
      </c>
      <c r="U177" s="25" t="n"/>
      <c r="V177" s="25" t="n"/>
      <c r="W177" s="25">
        <f>IF(AND($A177="",$B177=""),"",IF(M177="Ambassador","1 - Ambassador",IF(M177="Member","2 - Member",IF(J177="Completed","3 - Presented",IF(H177&lt;&gt;"","4 - Sent",IF(F177&lt;&gt;"","5 - Contacted","6 - No Activity"))))))</f>
        <v/>
      </c>
      <c r="X177" s="25">
        <f>IF(AND($A177="",$B177=""),9999999+(ROW()-4),VALUE(LEFT($W177,1))*10000+(ROW()-4))</f>
        <v/>
      </c>
    </row>
    <row r="178" ht="15" customHeight="1" s="20">
      <c r="A178" s="25" t="n"/>
      <c r="B178" s="25" t="n"/>
      <c r="C178" s="25" t="n"/>
      <c r="D178" s="25" t="n"/>
      <c r="E178" s="25" t="n"/>
      <c r="F178" s="26" t="n"/>
      <c r="G178" s="25" t="n"/>
      <c r="H178" s="25" t="n"/>
      <c r="I178" s="26" t="n"/>
      <c r="J178" s="25" t="n"/>
      <c r="K178" s="26" t="n"/>
      <c r="L178" s="25" t="n"/>
      <c r="M178" s="25" t="n"/>
      <c r="N178" s="26" t="n"/>
      <c r="O178" s="25" t="n"/>
      <c r="P178" s="25" t="n"/>
      <c r="Q178" s="26" t="n"/>
      <c r="R178" s="25">
        <f>IF(AND($A178="",$B178=""),"",IF(Q178="Complete","Onboarded",IF(OR(M178="Member",M178="Ambassador"),"Sponsored",IF(K178&lt;&gt;"","Follow-Up",IF(I178&lt;&gt;"","Presented",IF(F178&lt;&gt;"","Contacted","New Lead"))))))</f>
        <v/>
      </c>
      <c r="S178" s="25" t="n"/>
      <c r="T178" s="25">
        <f>IF(MAX(F178,I178,K178)=0,"",TODAY()-MAX(F178,I178,K178))</f>
        <v/>
      </c>
      <c r="U178" s="25" t="n"/>
      <c r="V178" s="25" t="n"/>
      <c r="W178" s="25">
        <f>IF(AND($A178="",$B178=""),"",IF(M178="Ambassador","1 - Ambassador",IF(M178="Member","2 - Member",IF(J178="Completed","3 - Presented",IF(H178&lt;&gt;"","4 - Sent",IF(F178&lt;&gt;"","5 - Contacted","6 - No Activity"))))))</f>
        <v/>
      </c>
      <c r="X178" s="25">
        <f>IF(AND($A178="",$B178=""),9999999+(ROW()-4),VALUE(LEFT($W178,1))*10000+(ROW()-4))</f>
        <v/>
      </c>
    </row>
    <row r="179" ht="15" customHeight="1" s="20">
      <c r="A179" s="25" t="n"/>
      <c r="B179" s="25" t="n"/>
      <c r="C179" s="25" t="n"/>
      <c r="D179" s="25" t="n"/>
      <c r="E179" s="25" t="n"/>
      <c r="F179" s="26" t="n"/>
      <c r="G179" s="25" t="n"/>
      <c r="H179" s="25" t="n"/>
      <c r="I179" s="26" t="n"/>
      <c r="J179" s="25" t="n"/>
      <c r="K179" s="26" t="n"/>
      <c r="L179" s="25" t="n"/>
      <c r="M179" s="25" t="n"/>
      <c r="N179" s="26" t="n"/>
      <c r="O179" s="25" t="n"/>
      <c r="P179" s="25" t="n"/>
      <c r="Q179" s="26" t="n"/>
      <c r="R179" s="25">
        <f>IF(AND($A179="",$B179=""),"",IF(Q179="Complete","Onboarded",IF(OR(M179="Member",M179="Ambassador"),"Sponsored",IF(K179&lt;&gt;"","Follow-Up",IF(I179&lt;&gt;"","Presented",IF(F179&lt;&gt;"","Contacted","New Lead"))))))</f>
        <v/>
      </c>
      <c r="S179" s="25" t="n"/>
      <c r="T179" s="25">
        <f>IF(MAX(F179,I179,K179)=0,"",TODAY()-MAX(F179,I179,K179))</f>
        <v/>
      </c>
      <c r="U179" s="25" t="n"/>
      <c r="V179" s="25" t="n"/>
      <c r="W179" s="25">
        <f>IF(AND($A179="",$B179=""),"",IF(M179="Ambassador","1 - Ambassador",IF(M179="Member","2 - Member",IF(J179="Completed","3 - Presented",IF(H179&lt;&gt;"","4 - Sent",IF(F179&lt;&gt;"","5 - Contacted","6 - No Activity"))))))</f>
        <v/>
      </c>
      <c r="X179" s="25">
        <f>IF(AND($A179="",$B179=""),9999999+(ROW()-4),VALUE(LEFT($W179,1))*10000+(ROW()-4))</f>
        <v/>
      </c>
    </row>
    <row r="180" ht="15" customHeight="1" s="20">
      <c r="A180" s="25" t="n"/>
      <c r="B180" s="25" t="n"/>
      <c r="C180" s="25" t="n"/>
      <c r="D180" s="25" t="n"/>
      <c r="E180" s="25" t="n"/>
      <c r="F180" s="26" t="n"/>
      <c r="G180" s="25" t="n"/>
      <c r="H180" s="25" t="n"/>
      <c r="I180" s="26" t="n"/>
      <c r="J180" s="25" t="n"/>
      <c r="K180" s="26" t="n"/>
      <c r="L180" s="25" t="n"/>
      <c r="M180" s="25" t="n"/>
      <c r="N180" s="26" t="n"/>
      <c r="O180" s="25" t="n"/>
      <c r="P180" s="25" t="n"/>
      <c r="Q180" s="26" t="n"/>
      <c r="R180" s="25">
        <f>IF(AND($A180="",$B180=""),"",IF(Q180="Complete","Onboarded",IF(OR(M180="Member",M180="Ambassador"),"Sponsored",IF(K180&lt;&gt;"","Follow-Up",IF(I180&lt;&gt;"","Presented",IF(F180&lt;&gt;"","Contacted","New Lead"))))))</f>
        <v/>
      </c>
      <c r="S180" s="25" t="n"/>
      <c r="T180" s="25">
        <f>IF(MAX(F180,I180,K180)=0,"",TODAY()-MAX(F180,I180,K180))</f>
        <v/>
      </c>
      <c r="U180" s="25" t="n"/>
      <c r="V180" s="25" t="n"/>
      <c r="W180" s="25">
        <f>IF(AND($A180="",$B180=""),"",IF(M180="Ambassador","1 - Ambassador",IF(M180="Member","2 - Member",IF(J180="Completed","3 - Presented",IF(H180&lt;&gt;"","4 - Sent",IF(F180&lt;&gt;"","5 - Contacted","6 - No Activity"))))))</f>
        <v/>
      </c>
      <c r="X180" s="25">
        <f>IF(AND($A180="",$B180=""),9999999+(ROW()-4),VALUE(LEFT($W180,1))*10000+(ROW()-4))</f>
        <v/>
      </c>
    </row>
    <row r="181" ht="15" customHeight="1" s="20">
      <c r="A181" s="25" t="n"/>
      <c r="B181" s="25" t="n"/>
      <c r="C181" s="25" t="n"/>
      <c r="D181" s="25" t="n"/>
      <c r="E181" s="25" t="n"/>
      <c r="F181" s="26" t="n"/>
      <c r="G181" s="25" t="n"/>
      <c r="H181" s="25" t="n"/>
      <c r="I181" s="26" t="n"/>
      <c r="J181" s="25" t="n"/>
      <c r="K181" s="26" t="n"/>
      <c r="L181" s="25" t="n"/>
      <c r="M181" s="25" t="n"/>
      <c r="N181" s="26" t="n"/>
      <c r="O181" s="25" t="n"/>
      <c r="P181" s="25" t="n"/>
      <c r="Q181" s="26" t="n"/>
      <c r="R181" s="25">
        <f>IF(AND($A181="",$B181=""),"",IF(Q181="Complete","Onboarded",IF(OR(M181="Member",M181="Ambassador"),"Sponsored",IF(K181&lt;&gt;"","Follow-Up",IF(I181&lt;&gt;"","Presented",IF(F181&lt;&gt;"","Contacted","New Lead"))))))</f>
        <v/>
      </c>
      <c r="S181" s="25" t="n"/>
      <c r="T181" s="25">
        <f>IF(MAX(F181,I181,K181)=0,"",TODAY()-MAX(F181,I181,K181))</f>
        <v/>
      </c>
      <c r="U181" s="25" t="n"/>
      <c r="V181" s="25" t="n"/>
      <c r="W181" s="25">
        <f>IF(AND($A181="",$B181=""),"",IF(M181="Ambassador","1 - Ambassador",IF(M181="Member","2 - Member",IF(J181="Completed","3 - Presented",IF(H181&lt;&gt;"","4 - Sent",IF(F181&lt;&gt;"","5 - Contacted","6 - No Activity"))))))</f>
        <v/>
      </c>
      <c r="X181" s="25">
        <f>IF(AND($A181="",$B181=""),9999999+(ROW()-4),VALUE(LEFT($W181,1))*10000+(ROW()-4))</f>
        <v/>
      </c>
    </row>
    <row r="182" ht="15" customHeight="1" s="20">
      <c r="A182" s="25" t="n"/>
      <c r="B182" s="25" t="n"/>
      <c r="C182" s="25" t="n"/>
      <c r="D182" s="25" t="n"/>
      <c r="E182" s="25" t="n"/>
      <c r="F182" s="26" t="n"/>
      <c r="G182" s="25" t="n"/>
      <c r="H182" s="25" t="n"/>
      <c r="I182" s="26" t="n"/>
      <c r="J182" s="25" t="n"/>
      <c r="K182" s="26" t="n"/>
      <c r="L182" s="25" t="n"/>
      <c r="M182" s="25" t="n"/>
      <c r="N182" s="26" t="n"/>
      <c r="O182" s="25" t="n"/>
      <c r="P182" s="25" t="n"/>
      <c r="Q182" s="26" t="n"/>
      <c r="R182" s="25">
        <f>IF(AND($A182="",$B182=""),"",IF(Q182="Complete","Onboarded",IF(OR(M182="Member",M182="Ambassador"),"Sponsored",IF(K182&lt;&gt;"","Follow-Up",IF(I182&lt;&gt;"","Presented",IF(F182&lt;&gt;"","Contacted","New Lead"))))))</f>
        <v/>
      </c>
      <c r="S182" s="25" t="n"/>
      <c r="T182" s="25">
        <f>IF(MAX(F182,I182,K182)=0,"",TODAY()-MAX(F182,I182,K182))</f>
        <v/>
      </c>
      <c r="U182" s="25" t="n"/>
      <c r="V182" s="25" t="n"/>
      <c r="W182" s="25">
        <f>IF(AND($A182="",$B182=""),"",IF(M182="Ambassador","1 - Ambassador",IF(M182="Member","2 - Member",IF(J182="Completed","3 - Presented",IF(H182&lt;&gt;"","4 - Sent",IF(F182&lt;&gt;"","5 - Contacted","6 - No Activity"))))))</f>
        <v/>
      </c>
      <c r="X182" s="25">
        <f>IF(AND($A182="",$B182=""),9999999+(ROW()-4),VALUE(LEFT($W182,1))*10000+(ROW()-4))</f>
        <v/>
      </c>
    </row>
    <row r="183" ht="15" customHeight="1" s="20">
      <c r="A183" s="25" t="n"/>
      <c r="B183" s="25" t="n"/>
      <c r="C183" s="25" t="n"/>
      <c r="D183" s="25" t="n"/>
      <c r="E183" s="25" t="n"/>
      <c r="F183" s="26" t="n"/>
      <c r="G183" s="25" t="n"/>
      <c r="H183" s="25" t="n"/>
      <c r="I183" s="26" t="n"/>
      <c r="J183" s="25" t="n"/>
      <c r="K183" s="26" t="n"/>
      <c r="L183" s="25" t="n"/>
      <c r="M183" s="25" t="n"/>
      <c r="N183" s="26" t="n"/>
      <c r="O183" s="25" t="n"/>
      <c r="P183" s="25" t="n"/>
      <c r="Q183" s="26" t="n"/>
      <c r="R183" s="25">
        <f>IF(AND($A183="",$B183=""),"",IF(Q183="Complete","Onboarded",IF(OR(M183="Member",M183="Ambassador"),"Sponsored",IF(K183&lt;&gt;"","Follow-Up",IF(I183&lt;&gt;"","Presented",IF(F183&lt;&gt;"","Contacted","New Lead"))))))</f>
        <v/>
      </c>
      <c r="S183" s="25" t="n"/>
      <c r="T183" s="25">
        <f>IF(MAX(F183,I183,K183)=0,"",TODAY()-MAX(F183,I183,K183))</f>
        <v/>
      </c>
      <c r="U183" s="25" t="n"/>
      <c r="V183" s="25" t="n"/>
      <c r="W183" s="25">
        <f>IF(AND($A183="",$B183=""),"",IF(M183="Ambassador","1 - Ambassador",IF(M183="Member","2 - Member",IF(J183="Completed","3 - Presented",IF(H183&lt;&gt;"","4 - Sent",IF(F183&lt;&gt;"","5 - Contacted","6 - No Activity"))))))</f>
        <v/>
      </c>
      <c r="X183" s="25">
        <f>IF(AND($A183="",$B183=""),9999999+(ROW()-4),VALUE(LEFT($W183,1))*10000+(ROW()-4))</f>
        <v/>
      </c>
    </row>
    <row r="184" ht="15" customHeight="1" s="20">
      <c r="A184" s="25" t="n"/>
      <c r="B184" s="25" t="n"/>
      <c r="C184" s="25" t="n"/>
      <c r="D184" s="25" t="n"/>
      <c r="E184" s="25" t="n"/>
      <c r="F184" s="26" t="n"/>
      <c r="G184" s="25" t="n"/>
      <c r="H184" s="25" t="n"/>
      <c r="I184" s="26" t="n"/>
      <c r="J184" s="25" t="n"/>
      <c r="K184" s="26" t="n"/>
      <c r="L184" s="25" t="n"/>
      <c r="M184" s="25" t="n"/>
      <c r="N184" s="26" t="n"/>
      <c r="O184" s="25" t="n"/>
      <c r="P184" s="25" t="n"/>
      <c r="Q184" s="26" t="n"/>
      <c r="R184" s="25">
        <f>IF(AND($A184="",$B184=""),"",IF(Q184="Complete","Onboarded",IF(OR(M184="Member",M184="Ambassador"),"Sponsored",IF(K184&lt;&gt;"","Follow-Up",IF(I184&lt;&gt;"","Presented",IF(F184&lt;&gt;"","Contacted","New Lead"))))))</f>
        <v/>
      </c>
      <c r="S184" s="25" t="n"/>
      <c r="T184" s="25">
        <f>IF(MAX(F184,I184,K184)=0,"",TODAY()-MAX(F184,I184,K184))</f>
        <v/>
      </c>
      <c r="U184" s="25" t="n"/>
      <c r="V184" s="25" t="n"/>
      <c r="W184" s="25">
        <f>IF(AND($A184="",$B184=""),"",IF(M184="Ambassador","1 - Ambassador",IF(M184="Member","2 - Member",IF(J184="Completed","3 - Presented",IF(H184&lt;&gt;"","4 - Sent",IF(F184&lt;&gt;"","5 - Contacted","6 - No Activity"))))))</f>
        <v/>
      </c>
      <c r="X184" s="25">
        <f>IF(AND($A184="",$B184=""),9999999+(ROW()-4),VALUE(LEFT($W184,1))*10000+(ROW()-4))</f>
        <v/>
      </c>
    </row>
    <row r="185" ht="15" customHeight="1" s="20">
      <c r="A185" s="25" t="n"/>
      <c r="B185" s="25" t="n"/>
      <c r="C185" s="25" t="n"/>
      <c r="D185" s="25" t="n"/>
      <c r="E185" s="25" t="n"/>
      <c r="F185" s="26" t="n"/>
      <c r="G185" s="25" t="n"/>
      <c r="H185" s="25" t="n"/>
      <c r="I185" s="26" t="n"/>
      <c r="J185" s="25" t="n"/>
      <c r="K185" s="26" t="n"/>
      <c r="L185" s="25" t="n"/>
      <c r="M185" s="25" t="n"/>
      <c r="N185" s="26" t="n"/>
      <c r="O185" s="25" t="n"/>
      <c r="P185" s="25" t="n"/>
      <c r="Q185" s="26" t="n"/>
      <c r="R185" s="25">
        <f>IF(AND($A185="",$B185=""),"",IF(Q185="Complete","Onboarded",IF(OR(M185="Member",M185="Ambassador"),"Sponsored",IF(K185&lt;&gt;"","Follow-Up",IF(I185&lt;&gt;"","Presented",IF(F185&lt;&gt;"","Contacted","New Lead"))))))</f>
        <v/>
      </c>
      <c r="S185" s="25" t="n"/>
      <c r="T185" s="25">
        <f>IF(MAX(F185,I185,K185)=0,"",TODAY()-MAX(F185,I185,K185))</f>
        <v/>
      </c>
      <c r="U185" s="25" t="n"/>
      <c r="V185" s="25" t="n"/>
      <c r="W185" s="25">
        <f>IF(AND($A185="",$B185=""),"",IF(M185="Ambassador","1 - Ambassador",IF(M185="Member","2 - Member",IF(J185="Completed","3 - Presented",IF(H185&lt;&gt;"","4 - Sent",IF(F185&lt;&gt;"","5 - Contacted","6 - No Activity"))))))</f>
        <v/>
      </c>
      <c r="X185" s="25">
        <f>IF(AND($A185="",$B185=""),9999999+(ROW()-4),VALUE(LEFT($W185,1))*10000+(ROW()-4))</f>
        <v/>
      </c>
    </row>
    <row r="186" ht="15" customHeight="1" s="20">
      <c r="A186" s="25" t="n"/>
      <c r="B186" s="25" t="n"/>
      <c r="C186" s="25" t="n"/>
      <c r="D186" s="25" t="n"/>
      <c r="E186" s="25" t="n"/>
      <c r="F186" s="26" t="n"/>
      <c r="G186" s="25" t="n"/>
      <c r="H186" s="25" t="n"/>
      <c r="I186" s="26" t="n"/>
      <c r="J186" s="25" t="n"/>
      <c r="K186" s="26" t="n"/>
      <c r="L186" s="25" t="n"/>
      <c r="M186" s="25" t="n"/>
      <c r="N186" s="26" t="n"/>
      <c r="O186" s="25" t="n"/>
      <c r="P186" s="25" t="n"/>
      <c r="Q186" s="26" t="n"/>
      <c r="R186" s="25">
        <f>IF(AND($A186="",$B186=""),"",IF(Q186="Complete","Onboarded",IF(OR(M186="Member",M186="Ambassador"),"Sponsored",IF(K186&lt;&gt;"","Follow-Up",IF(I186&lt;&gt;"","Presented",IF(F186&lt;&gt;"","Contacted","New Lead"))))))</f>
        <v/>
      </c>
      <c r="S186" s="25" t="n"/>
      <c r="T186" s="25">
        <f>IF(MAX(F186,I186,K186)=0,"",TODAY()-MAX(F186,I186,K186))</f>
        <v/>
      </c>
      <c r="U186" s="25" t="n"/>
      <c r="V186" s="25" t="n"/>
      <c r="W186" s="25">
        <f>IF(AND($A186="",$B186=""),"",IF(M186="Ambassador","1 - Ambassador",IF(M186="Member","2 - Member",IF(J186="Completed","3 - Presented",IF(H186&lt;&gt;"","4 - Sent",IF(F186&lt;&gt;"","5 - Contacted","6 - No Activity"))))))</f>
        <v/>
      </c>
      <c r="X186" s="25">
        <f>IF(AND($A186="",$B186=""),9999999+(ROW()-4),VALUE(LEFT($W186,1))*10000+(ROW()-4))</f>
        <v/>
      </c>
    </row>
    <row r="187" ht="15" customHeight="1" s="20">
      <c r="A187" s="25" t="n"/>
      <c r="B187" s="25" t="n"/>
      <c r="C187" s="25" t="n"/>
      <c r="D187" s="25" t="n"/>
      <c r="E187" s="25" t="n"/>
      <c r="F187" s="26" t="n"/>
      <c r="G187" s="25" t="n"/>
      <c r="H187" s="25" t="n"/>
      <c r="I187" s="26" t="n"/>
      <c r="J187" s="25" t="n"/>
      <c r="K187" s="26" t="n"/>
      <c r="L187" s="25" t="n"/>
      <c r="M187" s="25" t="n"/>
      <c r="N187" s="26" t="n"/>
      <c r="O187" s="25" t="n"/>
      <c r="P187" s="25" t="n"/>
      <c r="Q187" s="26" t="n"/>
      <c r="R187" s="25">
        <f>IF(AND($A187="",$B187=""),"",IF(Q187="Complete","Onboarded",IF(OR(M187="Member",M187="Ambassador"),"Sponsored",IF(K187&lt;&gt;"","Follow-Up",IF(I187&lt;&gt;"","Presented",IF(F187&lt;&gt;"","Contacted","New Lead"))))))</f>
        <v/>
      </c>
      <c r="S187" s="25" t="n"/>
      <c r="T187" s="25">
        <f>IF(MAX(F187,I187,K187)=0,"",TODAY()-MAX(F187,I187,K187))</f>
        <v/>
      </c>
      <c r="U187" s="25" t="n"/>
      <c r="V187" s="25" t="n"/>
      <c r="W187" s="25">
        <f>IF(AND($A187="",$B187=""),"",IF(M187="Ambassador","1 - Ambassador",IF(M187="Member","2 - Member",IF(J187="Completed","3 - Presented",IF(H187&lt;&gt;"","4 - Sent",IF(F187&lt;&gt;"","5 - Contacted","6 - No Activity"))))))</f>
        <v/>
      </c>
      <c r="X187" s="25">
        <f>IF(AND($A187="",$B187=""),9999999+(ROW()-4),VALUE(LEFT($W187,1))*10000+(ROW()-4))</f>
        <v/>
      </c>
    </row>
    <row r="188" ht="15" customHeight="1" s="20">
      <c r="A188" s="25" t="n"/>
      <c r="B188" s="25" t="n"/>
      <c r="C188" s="25" t="n"/>
      <c r="D188" s="25" t="n"/>
      <c r="E188" s="25" t="n"/>
      <c r="F188" s="26" t="n"/>
      <c r="G188" s="25" t="n"/>
      <c r="H188" s="25" t="n"/>
      <c r="I188" s="26" t="n"/>
      <c r="J188" s="25" t="n"/>
      <c r="K188" s="26" t="n"/>
      <c r="L188" s="25" t="n"/>
      <c r="M188" s="25" t="n"/>
      <c r="N188" s="26" t="n"/>
      <c r="O188" s="25" t="n"/>
      <c r="P188" s="25" t="n"/>
      <c r="Q188" s="26" t="n"/>
      <c r="R188" s="25">
        <f>IF(AND($A188="",$B188=""),"",IF(Q188="Complete","Onboarded",IF(OR(M188="Member",M188="Ambassador"),"Sponsored",IF(K188&lt;&gt;"","Follow-Up",IF(I188&lt;&gt;"","Presented",IF(F188&lt;&gt;"","Contacted","New Lead"))))))</f>
        <v/>
      </c>
      <c r="S188" s="25" t="n"/>
      <c r="T188" s="25">
        <f>IF(MAX(F188,I188,K188)=0,"",TODAY()-MAX(F188,I188,K188))</f>
        <v/>
      </c>
      <c r="U188" s="25" t="n"/>
      <c r="V188" s="25" t="n"/>
      <c r="W188" s="25">
        <f>IF(AND($A188="",$B188=""),"",IF(M188="Ambassador","1 - Ambassador",IF(M188="Member","2 - Member",IF(J188="Completed","3 - Presented",IF(H188&lt;&gt;"","4 - Sent",IF(F188&lt;&gt;"","5 - Contacted","6 - No Activity"))))))</f>
        <v/>
      </c>
      <c r="X188" s="25">
        <f>IF(AND($A188="",$B188=""),9999999+(ROW()-4),VALUE(LEFT($W188,1))*10000+(ROW()-4))</f>
        <v/>
      </c>
    </row>
    <row r="189" ht="15" customHeight="1" s="20">
      <c r="A189" s="25" t="n"/>
      <c r="B189" s="25" t="n"/>
      <c r="C189" s="25" t="n"/>
      <c r="D189" s="25" t="n"/>
      <c r="E189" s="25" t="n"/>
      <c r="F189" s="26" t="n"/>
      <c r="G189" s="25" t="n"/>
      <c r="H189" s="25" t="n"/>
      <c r="I189" s="26" t="n"/>
      <c r="J189" s="25" t="n"/>
      <c r="K189" s="26" t="n"/>
      <c r="L189" s="25" t="n"/>
      <c r="M189" s="25" t="n"/>
      <c r="N189" s="26" t="n"/>
      <c r="O189" s="25" t="n"/>
      <c r="P189" s="25" t="n"/>
      <c r="Q189" s="26" t="n"/>
      <c r="R189" s="25">
        <f>IF(AND($A189="",$B189=""),"",IF(Q189="Complete","Onboarded",IF(OR(M189="Member",M189="Ambassador"),"Sponsored",IF(K189&lt;&gt;"","Follow-Up",IF(I189&lt;&gt;"","Presented",IF(F189&lt;&gt;"","Contacted","New Lead"))))))</f>
        <v/>
      </c>
      <c r="S189" s="25" t="n"/>
      <c r="T189" s="25">
        <f>IF(MAX(F189,I189,K189)=0,"",TODAY()-MAX(F189,I189,K189))</f>
        <v/>
      </c>
      <c r="U189" s="25" t="n"/>
      <c r="V189" s="25" t="n"/>
      <c r="W189" s="25">
        <f>IF(AND($A189="",$B189=""),"",IF(M189="Ambassador","1 - Ambassador",IF(M189="Member","2 - Member",IF(J189="Completed","3 - Presented",IF(H189&lt;&gt;"","4 - Sent",IF(F189&lt;&gt;"","5 - Contacted","6 - No Activity"))))))</f>
        <v/>
      </c>
      <c r="X189" s="25">
        <f>IF(AND($A189="",$B189=""),9999999+(ROW()-4),VALUE(LEFT($W189,1))*10000+(ROW()-4))</f>
        <v/>
      </c>
    </row>
    <row r="190" ht="15" customHeight="1" s="20">
      <c r="A190" s="25" t="n"/>
      <c r="B190" s="25" t="n"/>
      <c r="C190" s="25" t="n"/>
      <c r="D190" s="25" t="n"/>
      <c r="E190" s="25" t="n"/>
      <c r="F190" s="26" t="n"/>
      <c r="G190" s="25" t="n"/>
      <c r="H190" s="25" t="n"/>
      <c r="I190" s="26" t="n"/>
      <c r="J190" s="25" t="n"/>
      <c r="K190" s="26" t="n"/>
      <c r="L190" s="25" t="n"/>
      <c r="M190" s="25" t="n"/>
      <c r="N190" s="26" t="n"/>
      <c r="O190" s="25" t="n"/>
      <c r="P190" s="25" t="n"/>
      <c r="Q190" s="26" t="n"/>
      <c r="R190" s="25">
        <f>IF(AND($A190="",$B190=""),"",IF(Q190="Complete","Onboarded",IF(OR(M190="Member",M190="Ambassador"),"Sponsored",IF(K190&lt;&gt;"","Follow-Up",IF(I190&lt;&gt;"","Presented",IF(F190&lt;&gt;"","Contacted","New Lead"))))))</f>
        <v/>
      </c>
      <c r="S190" s="25" t="n"/>
      <c r="T190" s="25">
        <f>IF(MAX(F190,I190,K190)=0,"",TODAY()-MAX(F190,I190,K190))</f>
        <v/>
      </c>
      <c r="U190" s="25" t="n"/>
      <c r="V190" s="25" t="n"/>
      <c r="W190" s="25">
        <f>IF(AND($A190="",$B190=""),"",IF(M190="Ambassador","1 - Ambassador",IF(M190="Member","2 - Member",IF(J190="Completed","3 - Presented",IF(H190&lt;&gt;"","4 - Sent",IF(F190&lt;&gt;"","5 - Contacted","6 - No Activity"))))))</f>
        <v/>
      </c>
      <c r="X190" s="25">
        <f>IF(AND($A190="",$B190=""),9999999+(ROW()-4),VALUE(LEFT($W190,1))*10000+(ROW()-4))</f>
        <v/>
      </c>
    </row>
    <row r="191" ht="15" customHeight="1" s="20">
      <c r="A191" s="25" t="n"/>
      <c r="B191" s="25" t="n"/>
      <c r="C191" s="25" t="n"/>
      <c r="D191" s="25" t="n"/>
      <c r="E191" s="25" t="n"/>
      <c r="F191" s="26" t="n"/>
      <c r="G191" s="25" t="n"/>
      <c r="H191" s="25" t="n"/>
      <c r="I191" s="26" t="n"/>
      <c r="J191" s="25" t="n"/>
      <c r="K191" s="26" t="n"/>
      <c r="L191" s="25" t="n"/>
      <c r="M191" s="25" t="n"/>
      <c r="N191" s="26" t="n"/>
      <c r="O191" s="25" t="n"/>
      <c r="P191" s="25" t="n"/>
      <c r="Q191" s="26" t="n"/>
      <c r="R191" s="25">
        <f>IF(AND($A191="",$B191=""),"",IF(Q191="Complete","Onboarded",IF(OR(M191="Member",M191="Ambassador"),"Sponsored",IF(K191&lt;&gt;"","Follow-Up",IF(I191&lt;&gt;"","Presented",IF(F191&lt;&gt;"","Contacted","New Lead"))))))</f>
        <v/>
      </c>
      <c r="S191" s="25" t="n"/>
      <c r="T191" s="25">
        <f>IF(MAX(F191,I191,K191)=0,"",TODAY()-MAX(F191,I191,K191))</f>
        <v/>
      </c>
      <c r="U191" s="25" t="n"/>
      <c r="V191" s="25" t="n"/>
      <c r="W191" s="25">
        <f>IF(AND($A191="",$B191=""),"",IF(M191="Ambassador","1 - Ambassador",IF(M191="Member","2 - Member",IF(J191="Completed","3 - Presented",IF(H191&lt;&gt;"","4 - Sent",IF(F191&lt;&gt;"","5 - Contacted","6 - No Activity"))))))</f>
        <v/>
      </c>
      <c r="X191" s="25">
        <f>IF(AND($A191="",$B191=""),9999999+(ROW()-4),VALUE(LEFT($W191,1))*10000+(ROW()-4))</f>
        <v/>
      </c>
    </row>
    <row r="192" ht="15" customHeight="1" s="20">
      <c r="A192" s="25" t="n"/>
      <c r="B192" s="25" t="n"/>
      <c r="C192" s="25" t="n"/>
      <c r="D192" s="25" t="n"/>
      <c r="E192" s="25" t="n"/>
      <c r="F192" s="26" t="n"/>
      <c r="G192" s="25" t="n"/>
      <c r="H192" s="25" t="n"/>
      <c r="I192" s="26" t="n"/>
      <c r="J192" s="25" t="n"/>
      <c r="K192" s="26" t="n"/>
      <c r="L192" s="25" t="n"/>
      <c r="M192" s="25" t="n"/>
      <c r="N192" s="26" t="n"/>
      <c r="O192" s="25" t="n"/>
      <c r="P192" s="25" t="n"/>
      <c r="Q192" s="26" t="n"/>
      <c r="R192" s="25">
        <f>IF(AND($A192="",$B192=""),"",IF(Q192="Complete","Onboarded",IF(OR(M192="Member",M192="Ambassador"),"Sponsored",IF(K192&lt;&gt;"","Follow-Up",IF(I192&lt;&gt;"","Presented",IF(F192&lt;&gt;"","Contacted","New Lead"))))))</f>
        <v/>
      </c>
      <c r="S192" s="25" t="n"/>
      <c r="T192" s="25">
        <f>IF(MAX(F192,I192,K192)=0,"",TODAY()-MAX(F192,I192,K192))</f>
        <v/>
      </c>
      <c r="U192" s="25" t="n"/>
      <c r="V192" s="25" t="n"/>
      <c r="W192" s="25">
        <f>IF(AND($A192="",$B192=""),"",IF(M192="Ambassador","1 - Ambassador",IF(M192="Member","2 - Member",IF(J192="Completed","3 - Presented",IF(H192&lt;&gt;"","4 - Sent",IF(F192&lt;&gt;"","5 - Contacted","6 - No Activity"))))))</f>
        <v/>
      </c>
      <c r="X192" s="25">
        <f>IF(AND($A192="",$B192=""),9999999+(ROW()-4),VALUE(LEFT($W192,1))*10000+(ROW()-4))</f>
        <v/>
      </c>
    </row>
    <row r="193" ht="15" customHeight="1" s="20">
      <c r="A193" s="25" t="n"/>
      <c r="B193" s="25" t="n"/>
      <c r="C193" s="25" t="n"/>
      <c r="D193" s="25" t="n"/>
      <c r="E193" s="25" t="n"/>
      <c r="F193" s="26" t="n"/>
      <c r="G193" s="25" t="n"/>
      <c r="H193" s="25" t="n"/>
      <c r="I193" s="26" t="n"/>
      <c r="J193" s="25" t="n"/>
      <c r="K193" s="26" t="n"/>
      <c r="L193" s="25" t="n"/>
      <c r="M193" s="25" t="n"/>
      <c r="N193" s="26" t="n"/>
      <c r="O193" s="25" t="n"/>
      <c r="P193" s="25" t="n"/>
      <c r="Q193" s="26" t="n"/>
      <c r="R193" s="25">
        <f>IF(AND($A193="",$B193=""),"",IF(Q193="Complete","Onboarded",IF(OR(M193="Member",M193="Ambassador"),"Sponsored",IF(K193&lt;&gt;"","Follow-Up",IF(I193&lt;&gt;"","Presented",IF(F193&lt;&gt;"","Contacted","New Lead"))))))</f>
        <v/>
      </c>
      <c r="S193" s="25" t="n"/>
      <c r="T193" s="25">
        <f>IF(MAX(F193,I193,K193)=0,"",TODAY()-MAX(F193,I193,K193))</f>
        <v/>
      </c>
      <c r="U193" s="25" t="n"/>
      <c r="V193" s="25" t="n"/>
      <c r="W193" s="25">
        <f>IF(AND($A193="",$B193=""),"",IF(M193="Ambassador","1 - Ambassador",IF(M193="Member","2 - Member",IF(J193="Completed","3 - Presented",IF(H193&lt;&gt;"","4 - Sent",IF(F193&lt;&gt;"","5 - Contacted","6 - No Activity"))))))</f>
        <v/>
      </c>
      <c r="X193" s="25">
        <f>IF(AND($A193="",$B193=""),9999999+(ROW()-4),VALUE(LEFT($W193,1))*10000+(ROW()-4))</f>
        <v/>
      </c>
    </row>
    <row r="194" ht="15" customHeight="1" s="20">
      <c r="A194" s="25" t="n"/>
      <c r="B194" s="25" t="n"/>
      <c r="C194" s="25" t="n"/>
      <c r="D194" s="25" t="n"/>
      <c r="E194" s="25" t="n"/>
      <c r="F194" s="26" t="n"/>
      <c r="G194" s="25" t="n"/>
      <c r="H194" s="25" t="n"/>
      <c r="I194" s="26" t="n"/>
      <c r="J194" s="25" t="n"/>
      <c r="K194" s="26" t="n"/>
      <c r="L194" s="25" t="n"/>
      <c r="M194" s="25" t="n"/>
      <c r="N194" s="26" t="n"/>
      <c r="O194" s="25" t="n"/>
      <c r="P194" s="25" t="n"/>
      <c r="Q194" s="26" t="n"/>
      <c r="R194" s="25">
        <f>IF(AND($A194="",$B194=""),"",IF(Q194="Complete","Onboarded",IF(OR(M194="Member",M194="Ambassador"),"Sponsored",IF(K194&lt;&gt;"","Follow-Up",IF(I194&lt;&gt;"","Presented",IF(F194&lt;&gt;"","Contacted","New Lead"))))))</f>
        <v/>
      </c>
      <c r="S194" s="25" t="n"/>
      <c r="T194" s="25">
        <f>IF(MAX(F194,I194,K194)=0,"",TODAY()-MAX(F194,I194,K194))</f>
        <v/>
      </c>
      <c r="U194" s="25" t="n"/>
      <c r="V194" s="25" t="n"/>
      <c r="W194" s="25">
        <f>IF(AND($A194="",$B194=""),"",IF(M194="Ambassador","1 - Ambassador",IF(M194="Member","2 - Member",IF(J194="Completed","3 - Presented",IF(H194&lt;&gt;"","4 - Sent",IF(F194&lt;&gt;"","5 - Contacted","6 - No Activity"))))))</f>
        <v/>
      </c>
      <c r="X194" s="25">
        <f>IF(AND($A194="",$B194=""),9999999+(ROW()-4),VALUE(LEFT($W194,1))*10000+(ROW()-4))</f>
        <v/>
      </c>
    </row>
    <row r="195" ht="15" customHeight="1" s="20">
      <c r="A195" s="25" t="n"/>
      <c r="B195" s="25" t="n"/>
      <c r="C195" s="25" t="n"/>
      <c r="D195" s="25" t="n"/>
      <c r="E195" s="25" t="n"/>
      <c r="F195" s="26" t="n"/>
      <c r="G195" s="25" t="n"/>
      <c r="H195" s="25" t="n"/>
      <c r="I195" s="26" t="n"/>
      <c r="J195" s="25" t="n"/>
      <c r="K195" s="26" t="n"/>
      <c r="L195" s="25" t="n"/>
      <c r="M195" s="25" t="n"/>
      <c r="N195" s="26" t="n"/>
      <c r="O195" s="25" t="n"/>
      <c r="P195" s="25" t="n"/>
      <c r="Q195" s="26" t="n"/>
      <c r="R195" s="25">
        <f>IF(AND($A195="",$B195=""),"",IF(Q195="Complete","Onboarded",IF(OR(M195="Member",M195="Ambassador"),"Sponsored",IF(K195&lt;&gt;"","Follow-Up",IF(I195&lt;&gt;"","Presented",IF(F195&lt;&gt;"","Contacted","New Lead"))))))</f>
        <v/>
      </c>
      <c r="S195" s="25" t="n"/>
      <c r="T195" s="25">
        <f>IF(MAX(F195,I195,K195)=0,"",TODAY()-MAX(F195,I195,K195))</f>
        <v/>
      </c>
      <c r="U195" s="25" t="n"/>
      <c r="V195" s="25" t="n"/>
      <c r="W195" s="25">
        <f>IF(AND($A195="",$B195=""),"",IF(M195="Ambassador","1 - Ambassador",IF(M195="Member","2 - Member",IF(J195="Completed","3 - Presented",IF(H195&lt;&gt;"","4 - Sent",IF(F195&lt;&gt;"","5 - Contacted","6 - No Activity"))))))</f>
        <v/>
      </c>
      <c r="X195" s="25">
        <f>IF(AND($A195="",$B195=""),9999999+(ROW()-4),VALUE(LEFT($W195,1))*10000+(ROW()-4))</f>
        <v/>
      </c>
    </row>
    <row r="196" ht="15" customHeight="1" s="20">
      <c r="A196" s="25" t="n"/>
      <c r="B196" s="25" t="n"/>
      <c r="C196" s="25" t="n"/>
      <c r="D196" s="25" t="n"/>
      <c r="E196" s="25" t="n"/>
      <c r="F196" s="26" t="n"/>
      <c r="G196" s="25" t="n"/>
      <c r="H196" s="25" t="n"/>
      <c r="I196" s="26" t="n"/>
      <c r="J196" s="25" t="n"/>
      <c r="K196" s="26" t="n"/>
      <c r="L196" s="25" t="n"/>
      <c r="M196" s="25" t="n"/>
      <c r="N196" s="26" t="n"/>
      <c r="O196" s="25" t="n"/>
      <c r="P196" s="25" t="n"/>
      <c r="Q196" s="26" t="n"/>
      <c r="R196" s="25">
        <f>IF(AND($A196="",$B196=""),"",IF(Q196="Complete","Onboarded",IF(OR(M196="Member",M196="Ambassador"),"Sponsored",IF(K196&lt;&gt;"","Follow-Up",IF(I196&lt;&gt;"","Presented",IF(F196&lt;&gt;"","Contacted","New Lead"))))))</f>
        <v/>
      </c>
      <c r="S196" s="25" t="n"/>
      <c r="T196" s="25">
        <f>IF(MAX(F196,I196,K196)=0,"",TODAY()-MAX(F196,I196,K196))</f>
        <v/>
      </c>
      <c r="U196" s="25" t="n"/>
      <c r="V196" s="25" t="n"/>
      <c r="W196" s="25">
        <f>IF(AND($A196="",$B196=""),"",IF(M196="Ambassador","1 - Ambassador",IF(M196="Member","2 - Member",IF(J196="Completed","3 - Presented",IF(H196&lt;&gt;"","4 - Sent",IF(F196&lt;&gt;"","5 - Contacted","6 - No Activity"))))))</f>
        <v/>
      </c>
      <c r="X196" s="25">
        <f>IF(AND($A196="",$B196=""),9999999+(ROW()-4),VALUE(LEFT($W196,1))*10000+(ROW()-4))</f>
        <v/>
      </c>
    </row>
    <row r="197" ht="15" customHeight="1" s="20">
      <c r="A197" s="25" t="n"/>
      <c r="B197" s="25" t="n"/>
      <c r="C197" s="25" t="n"/>
      <c r="D197" s="25" t="n"/>
      <c r="E197" s="25" t="n"/>
      <c r="F197" s="26" t="n"/>
      <c r="G197" s="25" t="n"/>
      <c r="H197" s="25" t="n"/>
      <c r="I197" s="26" t="n"/>
      <c r="J197" s="25" t="n"/>
      <c r="K197" s="26" t="n"/>
      <c r="L197" s="25" t="n"/>
      <c r="M197" s="25" t="n"/>
      <c r="N197" s="26" t="n"/>
      <c r="O197" s="25" t="n"/>
      <c r="P197" s="25" t="n"/>
      <c r="Q197" s="26" t="n"/>
      <c r="R197" s="25">
        <f>IF(AND($A197="",$B197=""),"",IF(Q197="Complete","Onboarded",IF(OR(M197="Member",M197="Ambassador"),"Sponsored",IF(K197&lt;&gt;"","Follow-Up",IF(I197&lt;&gt;"","Presented",IF(F197&lt;&gt;"","Contacted","New Lead"))))))</f>
        <v/>
      </c>
      <c r="S197" s="25" t="n"/>
      <c r="T197" s="25">
        <f>IF(MAX(F197,I197,K197)=0,"",TODAY()-MAX(F197,I197,K197))</f>
        <v/>
      </c>
      <c r="U197" s="25" t="n"/>
      <c r="V197" s="25" t="n"/>
      <c r="W197" s="25">
        <f>IF(AND($A197="",$B197=""),"",IF(M197="Ambassador","1 - Ambassador",IF(M197="Member","2 - Member",IF(J197="Completed","3 - Presented",IF(H197&lt;&gt;"","4 - Sent",IF(F197&lt;&gt;"","5 - Contacted","6 - No Activity"))))))</f>
        <v/>
      </c>
      <c r="X197" s="25">
        <f>IF(AND($A197="",$B197=""),9999999+(ROW()-4),VALUE(LEFT($W197,1))*10000+(ROW()-4))</f>
        <v/>
      </c>
    </row>
    <row r="198" ht="15" customHeight="1" s="20">
      <c r="A198" s="25" t="n"/>
      <c r="B198" s="25" t="n"/>
      <c r="C198" s="25" t="n"/>
      <c r="D198" s="25" t="n"/>
      <c r="E198" s="25" t="n"/>
      <c r="F198" s="26" t="n"/>
      <c r="G198" s="25" t="n"/>
      <c r="H198" s="25" t="n"/>
      <c r="I198" s="26" t="n"/>
      <c r="J198" s="25" t="n"/>
      <c r="K198" s="26" t="n"/>
      <c r="L198" s="25" t="n"/>
      <c r="M198" s="25" t="n"/>
      <c r="N198" s="26" t="n"/>
      <c r="O198" s="25" t="n"/>
      <c r="P198" s="25" t="n"/>
      <c r="Q198" s="26" t="n"/>
      <c r="R198" s="25">
        <f>IF(AND($A198="",$B198=""),"",IF(Q198="Complete","Onboarded",IF(OR(M198="Member",M198="Ambassador"),"Sponsored",IF(K198&lt;&gt;"","Follow-Up",IF(I198&lt;&gt;"","Presented",IF(F198&lt;&gt;"","Contacted","New Lead"))))))</f>
        <v/>
      </c>
      <c r="S198" s="25" t="n"/>
      <c r="T198" s="25">
        <f>IF(MAX(F198,I198,K198)=0,"",TODAY()-MAX(F198,I198,K198))</f>
        <v/>
      </c>
      <c r="U198" s="25" t="n"/>
      <c r="V198" s="25" t="n"/>
      <c r="W198" s="25">
        <f>IF(AND($A198="",$B198=""),"",IF(M198="Ambassador","1 - Ambassador",IF(M198="Member","2 - Member",IF(J198="Completed","3 - Presented",IF(H198&lt;&gt;"","4 - Sent",IF(F198&lt;&gt;"","5 - Contacted","6 - No Activity"))))))</f>
        <v/>
      </c>
      <c r="X198" s="25">
        <f>IF(AND($A198="",$B198=""),9999999+(ROW()-4),VALUE(LEFT($W198,1))*10000+(ROW()-4))</f>
        <v/>
      </c>
    </row>
    <row r="199" ht="15" customHeight="1" s="20">
      <c r="A199" s="25" t="n"/>
      <c r="B199" s="25" t="n"/>
      <c r="C199" s="25" t="n"/>
      <c r="D199" s="25" t="n"/>
      <c r="E199" s="25" t="n"/>
      <c r="F199" s="26" t="n"/>
      <c r="G199" s="25" t="n"/>
      <c r="H199" s="25" t="n"/>
      <c r="I199" s="26" t="n"/>
      <c r="J199" s="25" t="n"/>
      <c r="K199" s="26" t="n"/>
      <c r="L199" s="25" t="n"/>
      <c r="M199" s="25" t="n"/>
      <c r="N199" s="26" t="n"/>
      <c r="O199" s="25" t="n"/>
      <c r="P199" s="25" t="n"/>
      <c r="Q199" s="26" t="n"/>
      <c r="R199" s="25">
        <f>IF(AND($A199="",$B199=""),"",IF(Q199="Complete","Onboarded",IF(OR(M199="Member",M199="Ambassador"),"Sponsored",IF(K199&lt;&gt;"","Follow-Up",IF(I199&lt;&gt;"","Presented",IF(F199&lt;&gt;"","Contacted","New Lead"))))))</f>
        <v/>
      </c>
      <c r="S199" s="25" t="n"/>
      <c r="T199" s="25">
        <f>IF(MAX(F199,I199,K199)=0,"",TODAY()-MAX(F199,I199,K199))</f>
        <v/>
      </c>
      <c r="U199" s="25" t="n"/>
      <c r="V199" s="25" t="n"/>
      <c r="W199" s="25">
        <f>IF(AND($A199="",$B199=""),"",IF(M199="Ambassador","1 - Ambassador",IF(M199="Member","2 - Member",IF(J199="Completed","3 - Presented",IF(H199&lt;&gt;"","4 - Sent",IF(F199&lt;&gt;"","5 - Contacted","6 - No Activity"))))))</f>
        <v/>
      </c>
      <c r="X199" s="25">
        <f>IF(AND($A199="",$B199=""),9999999+(ROW()-4),VALUE(LEFT($W199,1))*10000+(ROW()-4))</f>
        <v/>
      </c>
    </row>
    <row r="200" ht="15" customHeight="1" s="20">
      <c r="A200" s="25" t="n"/>
      <c r="B200" s="25" t="n"/>
      <c r="C200" s="25" t="n"/>
      <c r="D200" s="25" t="n"/>
      <c r="E200" s="25" t="n"/>
      <c r="F200" s="26" t="n"/>
      <c r="G200" s="25" t="n"/>
      <c r="H200" s="25" t="n"/>
      <c r="I200" s="26" t="n"/>
      <c r="J200" s="25" t="n"/>
      <c r="K200" s="26" t="n"/>
      <c r="L200" s="25" t="n"/>
      <c r="M200" s="25" t="n"/>
      <c r="N200" s="26" t="n"/>
      <c r="O200" s="25" t="n"/>
      <c r="P200" s="25" t="n"/>
      <c r="Q200" s="26" t="n"/>
      <c r="R200" s="25">
        <f>IF(AND($A200="",$B200=""),"",IF(Q200="Complete","Onboarded",IF(OR(M200="Member",M200="Ambassador"),"Sponsored",IF(K200&lt;&gt;"","Follow-Up",IF(I200&lt;&gt;"","Presented",IF(F200&lt;&gt;"","Contacted","New Lead"))))))</f>
        <v/>
      </c>
      <c r="S200" s="25" t="n"/>
      <c r="T200" s="25">
        <f>IF(MAX(F200,I200,K200)=0,"",TODAY()-MAX(F200,I200,K200))</f>
        <v/>
      </c>
      <c r="U200" s="25" t="n"/>
      <c r="V200" s="25" t="n"/>
      <c r="W200" s="25">
        <f>IF(AND($A200="",$B200=""),"",IF(M200="Ambassador","1 - Ambassador",IF(M200="Member","2 - Member",IF(J200="Completed","3 - Presented",IF(H200&lt;&gt;"","4 - Sent",IF(F200&lt;&gt;"","5 - Contacted","6 - No Activity"))))))</f>
        <v/>
      </c>
      <c r="X200" s="25">
        <f>IF(AND($A200="",$B200=""),9999999+(ROW()-4),VALUE(LEFT($W200,1))*10000+(ROW()-4))</f>
        <v/>
      </c>
    </row>
    <row r="201" ht="15" customHeight="1" s="20">
      <c r="A201" s="25" t="n"/>
      <c r="B201" s="25" t="n"/>
      <c r="C201" s="25" t="n"/>
      <c r="D201" s="25" t="n"/>
      <c r="E201" s="25" t="n"/>
      <c r="F201" s="26" t="n"/>
      <c r="G201" s="25" t="n"/>
      <c r="H201" s="25" t="n"/>
      <c r="I201" s="26" t="n"/>
      <c r="J201" s="25" t="n"/>
      <c r="K201" s="26" t="n"/>
      <c r="L201" s="25" t="n"/>
      <c r="M201" s="25" t="n"/>
      <c r="N201" s="26" t="n"/>
      <c r="O201" s="25" t="n"/>
      <c r="P201" s="25" t="n"/>
      <c r="Q201" s="26" t="n"/>
      <c r="R201" s="25">
        <f>IF(AND($A201="",$B201=""),"",IF(Q201="Complete","Onboarded",IF(OR(M201="Member",M201="Ambassador"),"Sponsored",IF(K201&lt;&gt;"","Follow-Up",IF(I201&lt;&gt;"","Presented",IF(F201&lt;&gt;"","Contacted","New Lead"))))))</f>
        <v/>
      </c>
      <c r="S201" s="25" t="n"/>
      <c r="T201" s="25">
        <f>IF(MAX(F201,I201,K201)=0,"",TODAY()-MAX(F201,I201,K201))</f>
        <v/>
      </c>
      <c r="U201" s="25" t="n"/>
      <c r="V201" s="25" t="n"/>
      <c r="W201" s="25">
        <f>IF(AND($A201="",$B201=""),"",IF(M201="Ambassador","1 - Ambassador",IF(M201="Member","2 - Member",IF(J201="Completed","3 - Presented",IF(H201&lt;&gt;"","4 - Sent",IF(F201&lt;&gt;"","5 - Contacted","6 - No Activity"))))))</f>
        <v/>
      </c>
      <c r="X201" s="25">
        <f>IF(AND($A201="",$B201=""),9999999+(ROW()-4),VALUE(LEFT($W201,1))*10000+(ROW()-4))</f>
        <v/>
      </c>
    </row>
    <row r="202" ht="15" customHeight="1" s="20">
      <c r="A202" s="25" t="n"/>
      <c r="B202" s="25" t="n"/>
      <c r="C202" s="25" t="n"/>
      <c r="D202" s="25" t="n"/>
      <c r="E202" s="25" t="n"/>
      <c r="F202" s="26" t="n"/>
      <c r="G202" s="25" t="n"/>
      <c r="H202" s="25" t="n"/>
      <c r="I202" s="26" t="n"/>
      <c r="J202" s="25" t="n"/>
      <c r="K202" s="26" t="n"/>
      <c r="L202" s="25" t="n"/>
      <c r="M202" s="25" t="n"/>
      <c r="N202" s="26" t="n"/>
      <c r="O202" s="25" t="n"/>
      <c r="P202" s="25" t="n"/>
      <c r="Q202" s="26" t="n"/>
      <c r="R202" s="25">
        <f>IF(AND($A202="",$B202=""),"",IF(Q202="Complete","Onboarded",IF(OR(M202="Member",M202="Ambassador"),"Sponsored",IF(K202&lt;&gt;"","Follow-Up",IF(I202&lt;&gt;"","Presented",IF(F202&lt;&gt;"","Contacted","New Lead"))))))</f>
        <v/>
      </c>
      <c r="S202" s="25" t="n"/>
      <c r="T202" s="25">
        <f>IF(MAX(F202,I202,K202)=0,"",TODAY()-MAX(F202,I202,K202))</f>
        <v/>
      </c>
      <c r="U202" s="25" t="n"/>
      <c r="V202" s="25" t="n"/>
      <c r="W202" s="25">
        <f>IF(AND($A202="",$B202=""),"",IF(M202="Ambassador","1 - Ambassador",IF(M202="Member","2 - Member",IF(J202="Completed","3 - Presented",IF(H202&lt;&gt;"","4 - Sent",IF(F202&lt;&gt;"","5 - Contacted","6 - No Activity"))))))</f>
        <v/>
      </c>
      <c r="X202" s="25">
        <f>IF(AND($A202="",$B202=""),9999999+(ROW()-4),VALUE(LEFT($W202,1))*10000+(ROW()-4))</f>
        <v/>
      </c>
    </row>
    <row r="203" ht="15" customHeight="1" s="20">
      <c r="A203" s="25" t="n"/>
      <c r="B203" s="25" t="n"/>
      <c r="C203" s="25" t="n"/>
      <c r="D203" s="25" t="n"/>
      <c r="E203" s="25" t="n"/>
      <c r="F203" s="26" t="n"/>
      <c r="G203" s="25" t="n"/>
      <c r="H203" s="25" t="n"/>
      <c r="I203" s="26" t="n"/>
      <c r="J203" s="25" t="n"/>
      <c r="K203" s="26" t="n"/>
      <c r="L203" s="25" t="n"/>
      <c r="M203" s="25" t="n"/>
      <c r="N203" s="26" t="n"/>
      <c r="O203" s="25" t="n"/>
      <c r="P203" s="25" t="n"/>
      <c r="Q203" s="26" t="n"/>
      <c r="R203" s="25">
        <f>IF(AND($A203="",$B203=""),"",IF(Q203="Complete","Onboarded",IF(OR(M203="Member",M203="Ambassador"),"Sponsored",IF(K203&lt;&gt;"","Follow-Up",IF(I203&lt;&gt;"","Presented",IF(F203&lt;&gt;"","Contacted","New Lead"))))))</f>
        <v/>
      </c>
      <c r="S203" s="25" t="n"/>
      <c r="T203" s="25">
        <f>IF(MAX(F203,I203,K203)=0,"",TODAY()-MAX(F203,I203,K203))</f>
        <v/>
      </c>
      <c r="U203" s="25" t="n"/>
      <c r="V203" s="25" t="n"/>
      <c r="W203" s="25">
        <f>IF(AND($A203="",$B203=""),"",IF(M203="Ambassador","1 - Ambassador",IF(M203="Member","2 - Member",IF(J203="Completed","3 - Presented",IF(H203&lt;&gt;"","4 - Sent",IF(F203&lt;&gt;"","5 - Contacted","6 - No Activity"))))))</f>
        <v/>
      </c>
      <c r="X203" s="25">
        <f>IF(AND($A203="",$B203=""),9999999+(ROW()-4),VALUE(LEFT($W203,1))*10000+(ROW()-4))</f>
        <v/>
      </c>
    </row>
    <row r="204" ht="15" customHeight="1" s="20">
      <c r="A204" s="25" t="n"/>
      <c r="B204" s="25" t="n"/>
      <c r="C204" s="25" t="n"/>
      <c r="D204" s="25" t="n"/>
      <c r="E204" s="25" t="n"/>
      <c r="F204" s="26" t="n"/>
      <c r="G204" s="25" t="n"/>
      <c r="H204" s="25" t="n"/>
      <c r="I204" s="26" t="n"/>
      <c r="J204" s="25" t="n"/>
      <c r="K204" s="26" t="n"/>
      <c r="L204" s="25" t="n"/>
      <c r="M204" s="25" t="n"/>
      <c r="N204" s="26" t="n"/>
      <c r="O204" s="25" t="n"/>
      <c r="P204" s="25" t="n"/>
      <c r="Q204" s="26" t="n"/>
      <c r="R204" s="25">
        <f>IF(AND($A204="",$B204=""),"",IF(Q204="Complete","Onboarded",IF(OR(M204="Member",M204="Ambassador"),"Sponsored",IF(K204&lt;&gt;"","Follow-Up",IF(I204&lt;&gt;"","Presented",IF(F204&lt;&gt;"","Contacted","New Lead"))))))</f>
        <v/>
      </c>
      <c r="S204" s="25" t="n"/>
      <c r="T204" s="25">
        <f>IF(MAX(F204,I204,K204)=0,"",TODAY()-MAX(F204,I204,K204))</f>
        <v/>
      </c>
      <c r="U204" s="25" t="n"/>
      <c r="V204" s="25" t="n"/>
      <c r="W204" s="25">
        <f>IF(AND($A204="",$B204=""),"",IF(M204="Ambassador","1 - Ambassador",IF(M204="Member","2 - Member",IF(J204="Completed","3 - Presented",IF(H204&lt;&gt;"","4 - Sent",IF(F204&lt;&gt;"","5 - Contacted","6 - No Activity"))))))</f>
        <v/>
      </c>
      <c r="X204" s="25">
        <f>IF(AND($A204="",$B204=""),9999999+(ROW()-4),VALUE(LEFT($W204,1))*10000+(ROW()-4))</f>
        <v/>
      </c>
    </row>
    <row r="205" ht="15" customHeight="1" s="20">
      <c r="A205" s="25" t="n"/>
      <c r="B205" s="25" t="n"/>
      <c r="C205" s="25" t="n"/>
      <c r="D205" s="25" t="n"/>
      <c r="E205" s="25" t="n"/>
      <c r="F205" s="26" t="n"/>
      <c r="G205" s="25" t="n"/>
      <c r="H205" s="25" t="n"/>
      <c r="I205" s="26" t="n"/>
      <c r="J205" s="25" t="n"/>
      <c r="K205" s="26" t="n"/>
      <c r="L205" s="25" t="n"/>
      <c r="M205" s="25" t="n"/>
      <c r="N205" s="26" t="n"/>
      <c r="O205" s="25" t="n"/>
      <c r="P205" s="25" t="n"/>
      <c r="Q205" s="26" t="n"/>
      <c r="R205" s="25">
        <f>IF(AND($A205="",$B205=""),"",IF(Q205="Complete","Onboarded",IF(OR(M205="Member",M205="Ambassador"),"Sponsored",IF(K205&lt;&gt;"","Follow-Up",IF(I205&lt;&gt;"","Presented",IF(F205&lt;&gt;"","Contacted","New Lead"))))))</f>
        <v/>
      </c>
      <c r="S205" s="25" t="n"/>
      <c r="T205" s="25">
        <f>IF(MAX(F205,I205,K205)=0,"",TODAY()-MAX(F205,I205,K205))</f>
        <v/>
      </c>
      <c r="U205" s="25" t="n"/>
      <c r="V205" s="25" t="n"/>
      <c r="W205" s="25">
        <f>IF(AND($A205="",$B205=""),"",IF(M205="Ambassador","1 - Ambassador",IF(M205="Member","2 - Member",IF(J205="Completed","3 - Presented",IF(H205&lt;&gt;"","4 - Sent",IF(F205&lt;&gt;"","5 - Contacted","6 - No Activity"))))))</f>
        <v/>
      </c>
      <c r="X205" s="25">
        <f>IF(AND($A205="",$B205=""),9999999+(ROW()-4),VALUE(LEFT($W205,1))*10000+(ROW()-4))</f>
        <v/>
      </c>
    </row>
    <row r="206" ht="15" customHeight="1" s="20">
      <c r="A206" s="25" t="n"/>
      <c r="B206" s="25" t="n"/>
      <c r="C206" s="25" t="n"/>
      <c r="D206" s="25" t="n"/>
      <c r="E206" s="25" t="n"/>
      <c r="F206" s="26" t="n"/>
      <c r="G206" s="25" t="n"/>
      <c r="H206" s="25" t="n"/>
      <c r="I206" s="26" t="n"/>
      <c r="J206" s="25" t="n"/>
      <c r="K206" s="26" t="n"/>
      <c r="L206" s="25" t="n"/>
      <c r="M206" s="25" t="n"/>
      <c r="N206" s="26" t="n"/>
      <c r="O206" s="25" t="n"/>
      <c r="P206" s="25" t="n"/>
      <c r="Q206" s="26" t="n"/>
      <c r="R206" s="25">
        <f>IF(AND($A206="",$B206=""),"",IF(Q206="Complete","Onboarded",IF(OR(M206="Member",M206="Ambassador"),"Sponsored",IF(K206&lt;&gt;"","Follow-Up",IF(I206&lt;&gt;"","Presented",IF(F206&lt;&gt;"","Contacted","New Lead"))))))</f>
        <v/>
      </c>
      <c r="S206" s="25" t="n"/>
      <c r="T206" s="25">
        <f>IF(MAX(F206,I206,K206)=0,"",TODAY()-MAX(F206,I206,K206))</f>
        <v/>
      </c>
      <c r="U206" s="25" t="n"/>
      <c r="V206" s="25" t="n"/>
      <c r="W206" s="25">
        <f>IF(AND($A206="",$B206=""),"",IF(M206="Ambassador","1 - Ambassador",IF(M206="Member","2 - Member",IF(J206="Completed","3 - Presented",IF(H206&lt;&gt;"","4 - Sent",IF(F206&lt;&gt;"","5 - Contacted","6 - No Activity"))))))</f>
        <v/>
      </c>
      <c r="X206" s="25">
        <f>IF(AND($A206="",$B206=""),9999999+(ROW()-4),VALUE(LEFT($W206,1))*10000+(ROW()-4))</f>
        <v/>
      </c>
    </row>
    <row r="207" ht="15" customHeight="1" s="20">
      <c r="A207" s="25" t="n"/>
      <c r="B207" s="25" t="n"/>
      <c r="C207" s="25" t="n"/>
      <c r="D207" s="25" t="n"/>
      <c r="E207" s="25" t="n"/>
      <c r="F207" s="26" t="n"/>
      <c r="G207" s="25" t="n"/>
      <c r="H207" s="25" t="n"/>
      <c r="I207" s="26" t="n"/>
      <c r="J207" s="25" t="n"/>
      <c r="K207" s="26" t="n"/>
      <c r="L207" s="25" t="n"/>
      <c r="M207" s="25" t="n"/>
      <c r="N207" s="26" t="n"/>
      <c r="O207" s="25" t="n"/>
      <c r="P207" s="25" t="n"/>
      <c r="Q207" s="26" t="n"/>
      <c r="R207" s="25">
        <f>IF(AND($A207="",$B207=""),"",IF(Q207="Complete","Onboarded",IF(OR(M207="Member",M207="Ambassador"),"Sponsored",IF(K207&lt;&gt;"","Follow-Up",IF(I207&lt;&gt;"","Presented",IF(F207&lt;&gt;"","Contacted","New Lead"))))))</f>
        <v/>
      </c>
      <c r="S207" s="25" t="n"/>
      <c r="T207" s="25">
        <f>IF(MAX(F207,I207,K207)=0,"",TODAY()-MAX(F207,I207,K207))</f>
        <v/>
      </c>
      <c r="U207" s="25" t="n"/>
      <c r="V207" s="25" t="n"/>
      <c r="W207" s="25">
        <f>IF(AND($A207="",$B207=""),"",IF(M207="Ambassador","1 - Ambassador",IF(M207="Member","2 - Member",IF(J207="Completed","3 - Presented",IF(H207&lt;&gt;"","4 - Sent",IF(F207&lt;&gt;"","5 - Contacted","6 - No Activity"))))))</f>
        <v/>
      </c>
      <c r="X207" s="25">
        <f>IF(AND($A207="",$B207=""),9999999+(ROW()-4),VALUE(LEFT($W207,1))*10000+(ROW()-4))</f>
        <v/>
      </c>
    </row>
    <row r="208" ht="15" customHeight="1" s="20">
      <c r="A208" s="25" t="n"/>
      <c r="B208" s="25" t="n"/>
      <c r="C208" s="25" t="n"/>
      <c r="D208" s="25" t="n"/>
      <c r="E208" s="25" t="n"/>
      <c r="F208" s="26" t="n"/>
      <c r="G208" s="25" t="n"/>
      <c r="H208" s="25" t="n"/>
      <c r="I208" s="26" t="n"/>
      <c r="J208" s="25" t="n"/>
      <c r="K208" s="26" t="n"/>
      <c r="L208" s="25" t="n"/>
      <c r="M208" s="25" t="n"/>
      <c r="N208" s="26" t="n"/>
      <c r="O208" s="25" t="n"/>
      <c r="P208" s="25" t="n"/>
      <c r="Q208" s="26" t="n"/>
      <c r="R208" s="25">
        <f>IF(AND($A208="",$B208=""),"",IF(Q208="Complete","Onboarded",IF(OR(M208="Member",M208="Ambassador"),"Sponsored",IF(K208&lt;&gt;"","Follow-Up",IF(I208&lt;&gt;"","Presented",IF(F208&lt;&gt;"","Contacted","New Lead"))))))</f>
        <v/>
      </c>
      <c r="S208" s="25" t="n"/>
      <c r="T208" s="25">
        <f>IF(MAX(F208,I208,K208)=0,"",TODAY()-MAX(F208,I208,K208))</f>
        <v/>
      </c>
      <c r="U208" s="25" t="n"/>
      <c r="V208" s="25" t="n"/>
      <c r="W208" s="25">
        <f>IF(AND($A208="",$B208=""),"",IF(M208="Ambassador","1 - Ambassador",IF(M208="Member","2 - Member",IF(J208="Completed","3 - Presented",IF(H208&lt;&gt;"","4 - Sent",IF(F208&lt;&gt;"","5 - Contacted","6 - No Activity"))))))</f>
        <v/>
      </c>
      <c r="X208" s="25">
        <f>IF(AND($A208="",$B208=""),9999999+(ROW()-4),VALUE(LEFT($W208,1))*10000+(ROW()-4))</f>
        <v/>
      </c>
    </row>
    <row r="209" ht="15" customHeight="1" s="20">
      <c r="A209" s="25" t="n"/>
      <c r="B209" s="25" t="n"/>
      <c r="C209" s="25" t="n"/>
      <c r="D209" s="25" t="n"/>
      <c r="E209" s="25" t="n"/>
      <c r="F209" s="26" t="n"/>
      <c r="G209" s="25" t="n"/>
      <c r="H209" s="25" t="n"/>
      <c r="I209" s="26" t="n"/>
      <c r="J209" s="25" t="n"/>
      <c r="K209" s="26" t="n"/>
      <c r="L209" s="25" t="n"/>
      <c r="M209" s="25" t="n"/>
      <c r="N209" s="26" t="n"/>
      <c r="O209" s="25" t="n"/>
      <c r="P209" s="25" t="n"/>
      <c r="Q209" s="26" t="n"/>
      <c r="R209" s="25">
        <f>IF(AND($A209="",$B209=""),"",IF(Q209="Complete","Onboarded",IF(OR(M209="Member",M209="Ambassador"),"Sponsored",IF(K209&lt;&gt;"","Follow-Up",IF(I209&lt;&gt;"","Presented",IF(F209&lt;&gt;"","Contacted","New Lead"))))))</f>
        <v/>
      </c>
      <c r="S209" s="25" t="n"/>
      <c r="T209" s="25">
        <f>IF(MAX(F209,I209,K209)=0,"",TODAY()-MAX(F209,I209,K209))</f>
        <v/>
      </c>
      <c r="U209" s="25" t="n"/>
      <c r="V209" s="25" t="n"/>
      <c r="W209" s="25">
        <f>IF(AND($A209="",$B209=""),"",IF(M209="Ambassador","1 - Ambassador",IF(M209="Member","2 - Member",IF(J209="Completed","3 - Presented",IF(H209&lt;&gt;"","4 - Sent",IF(F209&lt;&gt;"","5 - Contacted","6 - No Activity"))))))</f>
        <v/>
      </c>
      <c r="X209" s="25">
        <f>IF(AND($A209="",$B209=""),9999999+(ROW()-4),VALUE(LEFT($W209,1))*10000+(ROW()-4))</f>
        <v/>
      </c>
    </row>
    <row r="210" ht="15" customHeight="1" s="20">
      <c r="A210" s="25" t="n"/>
      <c r="B210" s="25" t="n"/>
      <c r="C210" s="25" t="n"/>
      <c r="D210" s="25" t="n"/>
      <c r="E210" s="25" t="n"/>
      <c r="F210" s="26" t="n"/>
      <c r="G210" s="25" t="n"/>
      <c r="H210" s="25" t="n"/>
      <c r="I210" s="26" t="n"/>
      <c r="J210" s="25" t="n"/>
      <c r="K210" s="26" t="n"/>
      <c r="L210" s="25" t="n"/>
      <c r="M210" s="25" t="n"/>
      <c r="N210" s="26" t="n"/>
      <c r="O210" s="25" t="n"/>
      <c r="P210" s="25" t="n"/>
      <c r="Q210" s="26" t="n"/>
      <c r="R210" s="25">
        <f>IF(AND($A210="",$B210=""),"",IF(Q210="Complete","Onboarded",IF(OR(M210="Member",M210="Ambassador"),"Sponsored",IF(K210&lt;&gt;"","Follow-Up",IF(I210&lt;&gt;"","Presented",IF(F210&lt;&gt;"","Contacted","New Lead"))))))</f>
        <v/>
      </c>
      <c r="S210" s="25" t="n"/>
      <c r="T210" s="25">
        <f>IF(MAX(F210,I210,K210)=0,"",TODAY()-MAX(F210,I210,K210))</f>
        <v/>
      </c>
      <c r="U210" s="25" t="n"/>
      <c r="V210" s="25" t="n"/>
      <c r="W210" s="25">
        <f>IF(AND($A210="",$B210=""),"",IF(M210="Ambassador","1 - Ambassador",IF(M210="Member","2 - Member",IF(J210="Completed","3 - Presented",IF(H210&lt;&gt;"","4 - Sent",IF(F210&lt;&gt;"","5 - Contacted","6 - No Activity"))))))</f>
        <v/>
      </c>
      <c r="X210" s="25">
        <f>IF(AND($A210="",$B210=""),9999999+(ROW()-4),VALUE(LEFT($W210,1))*10000+(ROW()-4))</f>
        <v/>
      </c>
    </row>
    <row r="211" ht="15" customHeight="1" s="20">
      <c r="A211" s="25" t="n"/>
      <c r="B211" s="25" t="n"/>
      <c r="C211" s="25" t="n"/>
      <c r="D211" s="25" t="n"/>
      <c r="E211" s="25" t="n"/>
      <c r="F211" s="26" t="n"/>
      <c r="G211" s="25" t="n"/>
      <c r="H211" s="25" t="n"/>
      <c r="I211" s="26" t="n"/>
      <c r="J211" s="25" t="n"/>
      <c r="K211" s="26" t="n"/>
      <c r="L211" s="25" t="n"/>
      <c r="M211" s="25" t="n"/>
      <c r="N211" s="26" t="n"/>
      <c r="O211" s="25" t="n"/>
      <c r="P211" s="25" t="n"/>
      <c r="Q211" s="26" t="n"/>
      <c r="R211" s="25">
        <f>IF(AND($A211="",$B211=""),"",IF(Q211="Complete","Onboarded",IF(OR(M211="Member",M211="Ambassador"),"Sponsored",IF(K211&lt;&gt;"","Follow-Up",IF(I211&lt;&gt;"","Presented",IF(F211&lt;&gt;"","Contacted","New Lead"))))))</f>
        <v/>
      </c>
      <c r="S211" s="25" t="n"/>
      <c r="T211" s="25">
        <f>IF(MAX(F211,I211,K211)=0,"",TODAY()-MAX(F211,I211,K211))</f>
        <v/>
      </c>
      <c r="U211" s="25" t="n"/>
      <c r="V211" s="25" t="n"/>
      <c r="W211" s="25">
        <f>IF(AND($A211="",$B211=""),"",IF(M211="Ambassador","1 - Ambassador",IF(M211="Member","2 - Member",IF(J211="Completed","3 - Presented",IF(H211&lt;&gt;"","4 - Sent",IF(F211&lt;&gt;"","5 - Contacted","6 - No Activity"))))))</f>
        <v/>
      </c>
      <c r="X211" s="25">
        <f>IF(AND($A211="",$B211=""),9999999+(ROW()-4),VALUE(LEFT($W211,1))*10000+(ROW()-4))</f>
        <v/>
      </c>
    </row>
    <row r="212" ht="15" customHeight="1" s="20">
      <c r="A212" s="25" t="n"/>
      <c r="B212" s="25" t="n"/>
      <c r="C212" s="25" t="n"/>
      <c r="D212" s="25" t="n"/>
      <c r="E212" s="25" t="n"/>
      <c r="F212" s="26" t="n"/>
      <c r="G212" s="25" t="n"/>
      <c r="H212" s="25" t="n"/>
      <c r="I212" s="26" t="n"/>
      <c r="J212" s="25" t="n"/>
      <c r="K212" s="26" t="n"/>
      <c r="L212" s="25" t="n"/>
      <c r="M212" s="25" t="n"/>
      <c r="N212" s="26" t="n"/>
      <c r="O212" s="25" t="n"/>
      <c r="P212" s="25" t="n"/>
      <c r="Q212" s="26" t="n"/>
      <c r="R212" s="25">
        <f>IF(AND($A212="",$B212=""),"",IF(Q212="Complete","Onboarded",IF(OR(M212="Member",M212="Ambassador"),"Sponsored",IF(K212&lt;&gt;"","Follow-Up",IF(I212&lt;&gt;"","Presented",IF(F212&lt;&gt;"","Contacted","New Lead"))))))</f>
        <v/>
      </c>
      <c r="S212" s="25" t="n"/>
      <c r="T212" s="25">
        <f>IF(MAX(F212,I212,K212)=0,"",TODAY()-MAX(F212,I212,K212))</f>
        <v/>
      </c>
      <c r="U212" s="25" t="n"/>
      <c r="V212" s="25" t="n"/>
      <c r="W212" s="25">
        <f>IF(AND($A212="",$B212=""),"",IF(M212="Ambassador","1 - Ambassador",IF(M212="Member","2 - Member",IF(J212="Completed","3 - Presented",IF(H212&lt;&gt;"","4 - Sent",IF(F212&lt;&gt;"","5 - Contacted","6 - No Activity"))))))</f>
        <v/>
      </c>
      <c r="X212" s="25">
        <f>IF(AND($A212="",$B212=""),9999999+(ROW()-4),VALUE(LEFT($W212,1))*10000+(ROW()-4))</f>
        <v/>
      </c>
    </row>
    <row r="213" ht="15" customHeight="1" s="20">
      <c r="A213" s="25" t="n"/>
      <c r="B213" s="25" t="n"/>
      <c r="C213" s="25" t="n"/>
      <c r="D213" s="25" t="n"/>
      <c r="E213" s="25" t="n"/>
      <c r="F213" s="26" t="n"/>
      <c r="G213" s="25" t="n"/>
      <c r="H213" s="25" t="n"/>
      <c r="I213" s="26" t="n"/>
      <c r="J213" s="25" t="n"/>
      <c r="K213" s="26" t="n"/>
      <c r="L213" s="25" t="n"/>
      <c r="M213" s="25" t="n"/>
      <c r="N213" s="26" t="n"/>
      <c r="O213" s="25" t="n"/>
      <c r="P213" s="25" t="n"/>
      <c r="Q213" s="26" t="n"/>
      <c r="R213" s="25">
        <f>IF(AND($A213="",$B213=""),"",IF(Q213="Complete","Onboarded",IF(OR(M213="Member",M213="Ambassador"),"Sponsored",IF(K213&lt;&gt;"","Follow-Up",IF(I213&lt;&gt;"","Presented",IF(F213&lt;&gt;"","Contacted","New Lead"))))))</f>
        <v/>
      </c>
      <c r="S213" s="25" t="n"/>
      <c r="T213" s="25">
        <f>IF(MAX(F213,I213,K213)=0,"",TODAY()-MAX(F213,I213,K213))</f>
        <v/>
      </c>
      <c r="U213" s="25" t="n"/>
      <c r="V213" s="25" t="n"/>
      <c r="W213" s="25">
        <f>IF(AND($A213="",$B213=""),"",IF(M213="Ambassador","1 - Ambassador",IF(M213="Member","2 - Member",IF(J213="Completed","3 - Presented",IF(H213&lt;&gt;"","4 - Sent",IF(F213&lt;&gt;"","5 - Contacted","6 - No Activity"))))))</f>
        <v/>
      </c>
      <c r="X213" s="25">
        <f>IF(AND($A213="",$B213=""),9999999+(ROW()-4),VALUE(LEFT($W213,1))*10000+(ROW()-4))</f>
        <v/>
      </c>
    </row>
    <row r="214" ht="15" customHeight="1" s="20">
      <c r="A214" s="25" t="n"/>
      <c r="B214" s="25" t="n"/>
      <c r="C214" s="25" t="n"/>
      <c r="D214" s="25" t="n"/>
      <c r="E214" s="25" t="n"/>
      <c r="F214" s="26" t="n"/>
      <c r="G214" s="25" t="n"/>
      <c r="H214" s="25" t="n"/>
      <c r="I214" s="26" t="n"/>
      <c r="J214" s="25" t="n"/>
      <c r="K214" s="26" t="n"/>
      <c r="L214" s="25" t="n"/>
      <c r="M214" s="25" t="n"/>
      <c r="N214" s="26" t="n"/>
      <c r="O214" s="25" t="n"/>
      <c r="P214" s="25" t="n"/>
      <c r="Q214" s="26" t="n"/>
      <c r="R214" s="25">
        <f>IF(AND($A214="",$B214=""),"",IF(Q214="Complete","Onboarded",IF(OR(M214="Member",M214="Ambassador"),"Sponsored",IF(K214&lt;&gt;"","Follow-Up",IF(I214&lt;&gt;"","Presented",IF(F214&lt;&gt;"","Contacted","New Lead"))))))</f>
        <v/>
      </c>
      <c r="S214" s="25" t="n"/>
      <c r="T214" s="25">
        <f>IF(MAX(F214,I214,K214)=0,"",TODAY()-MAX(F214,I214,K214))</f>
        <v/>
      </c>
      <c r="U214" s="25" t="n"/>
      <c r="V214" s="25" t="n"/>
      <c r="W214" s="25">
        <f>IF(AND($A214="",$B214=""),"",IF(M214="Ambassador","1 - Ambassador",IF(M214="Member","2 - Member",IF(J214="Completed","3 - Presented",IF(H214&lt;&gt;"","4 - Sent",IF(F214&lt;&gt;"","5 - Contacted","6 - No Activity"))))))</f>
        <v/>
      </c>
      <c r="X214" s="25">
        <f>IF(AND($A214="",$B214=""),9999999+(ROW()-4),VALUE(LEFT($W214,1))*10000+(ROW()-4))</f>
        <v/>
      </c>
    </row>
    <row r="215" ht="15" customHeight="1" s="20">
      <c r="A215" s="25" t="n"/>
      <c r="B215" s="25" t="n"/>
      <c r="C215" s="25" t="n"/>
      <c r="D215" s="25" t="n"/>
      <c r="E215" s="25" t="n"/>
      <c r="F215" s="26" t="n"/>
      <c r="G215" s="25" t="n"/>
      <c r="H215" s="25" t="n"/>
      <c r="I215" s="26" t="n"/>
      <c r="J215" s="25" t="n"/>
      <c r="K215" s="26" t="n"/>
      <c r="L215" s="25" t="n"/>
      <c r="M215" s="25" t="n"/>
      <c r="N215" s="26" t="n"/>
      <c r="O215" s="25" t="n"/>
      <c r="P215" s="25" t="n"/>
      <c r="Q215" s="26" t="n"/>
      <c r="R215" s="25">
        <f>IF(AND($A215="",$B215=""),"",IF(Q215="Complete","Onboarded",IF(OR(M215="Member",M215="Ambassador"),"Sponsored",IF(K215&lt;&gt;"","Follow-Up",IF(I215&lt;&gt;"","Presented",IF(F215&lt;&gt;"","Contacted","New Lead"))))))</f>
        <v/>
      </c>
      <c r="S215" s="25" t="n"/>
      <c r="T215" s="25">
        <f>IF(MAX(F215,I215,K215)=0,"",TODAY()-MAX(F215,I215,K215))</f>
        <v/>
      </c>
      <c r="U215" s="25" t="n"/>
      <c r="V215" s="25" t="n"/>
      <c r="W215" s="25">
        <f>IF(AND($A215="",$B215=""),"",IF(M215="Ambassador","1 - Ambassador",IF(M215="Member","2 - Member",IF(J215="Completed","3 - Presented",IF(H215&lt;&gt;"","4 - Sent",IF(F215&lt;&gt;"","5 - Contacted","6 - No Activity"))))))</f>
        <v/>
      </c>
      <c r="X215" s="25">
        <f>IF(AND($A215="",$B215=""),9999999+(ROW()-4),VALUE(LEFT($W215,1))*10000+(ROW()-4))</f>
        <v/>
      </c>
    </row>
    <row r="216" ht="15" customHeight="1" s="20">
      <c r="A216" s="25" t="n"/>
      <c r="B216" s="25" t="n"/>
      <c r="C216" s="25" t="n"/>
      <c r="D216" s="25" t="n"/>
      <c r="E216" s="25" t="n"/>
      <c r="F216" s="26" t="n"/>
      <c r="G216" s="25" t="n"/>
      <c r="H216" s="25" t="n"/>
      <c r="I216" s="26" t="n"/>
      <c r="J216" s="25" t="n"/>
      <c r="K216" s="26" t="n"/>
      <c r="L216" s="25" t="n"/>
      <c r="M216" s="25" t="n"/>
      <c r="N216" s="26" t="n"/>
      <c r="O216" s="25" t="n"/>
      <c r="P216" s="25" t="n"/>
      <c r="Q216" s="26" t="n"/>
      <c r="R216" s="25">
        <f>IF(AND($A216="",$B216=""),"",IF(Q216="Complete","Onboarded",IF(OR(M216="Member",M216="Ambassador"),"Sponsored",IF(K216&lt;&gt;"","Follow-Up",IF(I216&lt;&gt;"","Presented",IF(F216&lt;&gt;"","Contacted","New Lead"))))))</f>
        <v/>
      </c>
      <c r="S216" s="25" t="n"/>
      <c r="T216" s="25">
        <f>IF(MAX(F216,I216,K216)=0,"",TODAY()-MAX(F216,I216,K216))</f>
        <v/>
      </c>
      <c r="U216" s="25" t="n"/>
      <c r="V216" s="25" t="n"/>
      <c r="W216" s="25">
        <f>IF(AND($A216="",$B216=""),"",IF(M216="Ambassador","1 - Ambassador",IF(M216="Member","2 - Member",IF(J216="Completed","3 - Presented",IF(H216&lt;&gt;"","4 - Sent",IF(F216&lt;&gt;"","5 - Contacted","6 - No Activity"))))))</f>
        <v/>
      </c>
      <c r="X216" s="25">
        <f>IF(AND($A216="",$B216=""),9999999+(ROW()-4),VALUE(LEFT($W216,1))*10000+(ROW()-4))</f>
        <v/>
      </c>
    </row>
    <row r="217" ht="15" customHeight="1" s="20">
      <c r="A217" s="25" t="n"/>
      <c r="B217" s="25" t="n"/>
      <c r="C217" s="25" t="n"/>
      <c r="D217" s="25" t="n"/>
      <c r="E217" s="25" t="n"/>
      <c r="F217" s="26" t="n"/>
      <c r="G217" s="25" t="n"/>
      <c r="H217" s="25" t="n"/>
      <c r="I217" s="26" t="n"/>
      <c r="J217" s="25" t="n"/>
      <c r="K217" s="26" t="n"/>
      <c r="L217" s="25" t="n"/>
      <c r="M217" s="25" t="n"/>
      <c r="N217" s="26" t="n"/>
      <c r="O217" s="25" t="n"/>
      <c r="P217" s="25" t="n"/>
      <c r="Q217" s="26" t="n"/>
      <c r="R217" s="25">
        <f>IF(AND($A217="",$B217=""),"",IF(Q217="Complete","Onboarded",IF(OR(M217="Member",M217="Ambassador"),"Sponsored",IF(K217&lt;&gt;"","Follow-Up",IF(I217&lt;&gt;"","Presented",IF(F217&lt;&gt;"","Contacted","New Lead"))))))</f>
        <v/>
      </c>
      <c r="S217" s="25" t="n"/>
      <c r="T217" s="25">
        <f>IF(MAX(F217,I217,K217)=0,"",TODAY()-MAX(F217,I217,K217))</f>
        <v/>
      </c>
      <c r="U217" s="25" t="n"/>
      <c r="V217" s="25" t="n"/>
      <c r="W217" s="25">
        <f>IF(AND($A217="",$B217=""),"",IF(M217="Ambassador","1 - Ambassador",IF(M217="Member","2 - Member",IF(J217="Completed","3 - Presented",IF(H217&lt;&gt;"","4 - Sent",IF(F217&lt;&gt;"","5 - Contacted","6 - No Activity"))))))</f>
        <v/>
      </c>
      <c r="X217" s="25">
        <f>IF(AND($A217="",$B217=""),9999999+(ROW()-4),VALUE(LEFT($W217,1))*10000+(ROW()-4))</f>
        <v/>
      </c>
    </row>
    <row r="218" ht="15" customHeight="1" s="20">
      <c r="A218" s="25" t="n"/>
      <c r="B218" s="25" t="n"/>
      <c r="C218" s="25" t="n"/>
      <c r="D218" s="25" t="n"/>
      <c r="E218" s="25" t="n"/>
      <c r="F218" s="26" t="n"/>
      <c r="G218" s="25" t="n"/>
      <c r="H218" s="25" t="n"/>
      <c r="I218" s="26" t="n"/>
      <c r="J218" s="25" t="n"/>
      <c r="K218" s="26" t="n"/>
      <c r="L218" s="25" t="n"/>
      <c r="M218" s="25" t="n"/>
      <c r="N218" s="26" t="n"/>
      <c r="O218" s="25" t="n"/>
      <c r="P218" s="25" t="n"/>
      <c r="Q218" s="26" t="n"/>
      <c r="R218" s="25">
        <f>IF(AND($A218="",$B218=""),"",IF(Q218="Complete","Onboarded",IF(OR(M218="Member",M218="Ambassador"),"Sponsored",IF(K218&lt;&gt;"","Follow-Up",IF(I218&lt;&gt;"","Presented",IF(F218&lt;&gt;"","Contacted","New Lead"))))))</f>
        <v/>
      </c>
      <c r="S218" s="25" t="n"/>
      <c r="T218" s="25">
        <f>IF(MAX(F218,I218,K218)=0,"",TODAY()-MAX(F218,I218,K218))</f>
        <v/>
      </c>
      <c r="U218" s="25" t="n"/>
      <c r="V218" s="25" t="n"/>
      <c r="W218" s="25">
        <f>IF(AND($A218="",$B218=""),"",IF(M218="Ambassador","1 - Ambassador",IF(M218="Member","2 - Member",IF(J218="Completed","3 - Presented",IF(H218&lt;&gt;"","4 - Sent",IF(F218&lt;&gt;"","5 - Contacted","6 - No Activity"))))))</f>
        <v/>
      </c>
      <c r="X218" s="25">
        <f>IF(AND($A218="",$B218=""),9999999+(ROW()-4),VALUE(LEFT($W218,1))*10000+(ROW()-4))</f>
        <v/>
      </c>
    </row>
    <row r="219" ht="15" customHeight="1" s="20">
      <c r="A219" s="25" t="n"/>
      <c r="B219" s="25" t="n"/>
      <c r="C219" s="25" t="n"/>
      <c r="D219" s="25" t="n"/>
      <c r="E219" s="25" t="n"/>
      <c r="F219" s="26" t="n"/>
      <c r="G219" s="25" t="n"/>
      <c r="H219" s="25" t="n"/>
      <c r="I219" s="26" t="n"/>
      <c r="J219" s="25" t="n"/>
      <c r="K219" s="26" t="n"/>
      <c r="L219" s="25" t="n"/>
      <c r="M219" s="25" t="n"/>
      <c r="N219" s="26" t="n"/>
      <c r="O219" s="25" t="n"/>
      <c r="P219" s="25" t="n"/>
      <c r="Q219" s="26" t="n"/>
      <c r="R219" s="25">
        <f>IF(AND($A219="",$B219=""),"",IF(Q219="Complete","Onboarded",IF(OR(M219="Member",M219="Ambassador"),"Sponsored",IF(K219&lt;&gt;"","Follow-Up",IF(I219&lt;&gt;"","Presented",IF(F219&lt;&gt;"","Contacted","New Lead"))))))</f>
        <v/>
      </c>
      <c r="S219" s="25" t="n"/>
      <c r="T219" s="25">
        <f>IF(MAX(F219,I219,K219)=0,"",TODAY()-MAX(F219,I219,K219))</f>
        <v/>
      </c>
      <c r="U219" s="25" t="n"/>
      <c r="V219" s="25" t="n"/>
      <c r="W219" s="25">
        <f>IF(AND($A219="",$B219=""),"",IF(M219="Ambassador","1 - Ambassador",IF(M219="Member","2 - Member",IF(J219="Completed","3 - Presented",IF(H219&lt;&gt;"","4 - Sent",IF(F219&lt;&gt;"","5 - Contacted","6 - No Activity"))))))</f>
        <v/>
      </c>
      <c r="X219" s="25">
        <f>IF(AND($A219="",$B219=""),9999999+(ROW()-4),VALUE(LEFT($W219,1))*10000+(ROW()-4))</f>
        <v/>
      </c>
    </row>
    <row r="220" ht="15" customHeight="1" s="20">
      <c r="A220" s="25" t="n"/>
      <c r="B220" s="25" t="n"/>
      <c r="C220" s="25" t="n"/>
      <c r="D220" s="25" t="n"/>
      <c r="E220" s="25" t="n"/>
      <c r="F220" s="26" t="n"/>
      <c r="G220" s="25" t="n"/>
      <c r="H220" s="25" t="n"/>
      <c r="I220" s="26" t="n"/>
      <c r="J220" s="25" t="n"/>
      <c r="K220" s="26" t="n"/>
      <c r="L220" s="25" t="n"/>
      <c r="M220" s="25" t="n"/>
      <c r="N220" s="26" t="n"/>
      <c r="O220" s="25" t="n"/>
      <c r="P220" s="25" t="n"/>
      <c r="Q220" s="26" t="n"/>
      <c r="R220" s="25">
        <f>IF(AND($A220="",$B220=""),"",IF(Q220="Complete","Onboarded",IF(OR(M220="Member",M220="Ambassador"),"Sponsored",IF(K220&lt;&gt;"","Follow-Up",IF(I220&lt;&gt;"","Presented",IF(F220&lt;&gt;"","Contacted","New Lead"))))))</f>
        <v/>
      </c>
      <c r="S220" s="25" t="n"/>
      <c r="T220" s="25">
        <f>IF(MAX(F220,I220,K220)=0,"",TODAY()-MAX(F220,I220,K220))</f>
        <v/>
      </c>
      <c r="U220" s="25" t="n"/>
      <c r="V220" s="25" t="n"/>
      <c r="W220" s="25">
        <f>IF(AND($A220="",$B220=""),"",IF(M220="Ambassador","1 - Ambassador",IF(M220="Member","2 - Member",IF(J220="Completed","3 - Presented",IF(H220&lt;&gt;"","4 - Sent",IF(F220&lt;&gt;"","5 - Contacted","6 - No Activity"))))))</f>
        <v/>
      </c>
      <c r="X220" s="25">
        <f>IF(AND($A220="",$B220=""),9999999+(ROW()-4),VALUE(LEFT($W220,1))*10000+(ROW()-4))</f>
        <v/>
      </c>
    </row>
    <row r="221" ht="15" customHeight="1" s="20">
      <c r="A221" s="25" t="n"/>
      <c r="B221" s="25" t="n"/>
      <c r="C221" s="25" t="n"/>
      <c r="D221" s="25" t="n"/>
      <c r="E221" s="25" t="n"/>
      <c r="F221" s="26" t="n"/>
      <c r="G221" s="25" t="n"/>
      <c r="H221" s="25" t="n"/>
      <c r="I221" s="26" t="n"/>
      <c r="J221" s="25" t="n"/>
      <c r="K221" s="26" t="n"/>
      <c r="L221" s="25" t="n"/>
      <c r="M221" s="25" t="n"/>
      <c r="N221" s="26" t="n"/>
      <c r="O221" s="25" t="n"/>
      <c r="P221" s="25" t="n"/>
      <c r="Q221" s="26" t="n"/>
      <c r="R221" s="25">
        <f>IF(AND($A221="",$B221=""),"",IF(Q221="Complete","Onboarded",IF(OR(M221="Member",M221="Ambassador"),"Sponsored",IF(K221&lt;&gt;"","Follow-Up",IF(I221&lt;&gt;"","Presented",IF(F221&lt;&gt;"","Contacted","New Lead"))))))</f>
        <v/>
      </c>
      <c r="S221" s="25" t="n"/>
      <c r="T221" s="25">
        <f>IF(MAX(F221,I221,K221)=0,"",TODAY()-MAX(F221,I221,K221))</f>
        <v/>
      </c>
      <c r="U221" s="25" t="n"/>
      <c r="V221" s="25" t="n"/>
      <c r="W221" s="25">
        <f>IF(AND($A221="",$B221=""),"",IF(M221="Ambassador","1 - Ambassador",IF(M221="Member","2 - Member",IF(J221="Completed","3 - Presented",IF(H221&lt;&gt;"","4 - Sent",IF(F221&lt;&gt;"","5 - Contacted","6 - No Activity"))))))</f>
        <v/>
      </c>
      <c r="X221" s="25">
        <f>IF(AND($A221="",$B221=""),9999999+(ROW()-4),VALUE(LEFT($W221,1))*10000+(ROW()-4))</f>
        <v/>
      </c>
    </row>
    <row r="222" ht="15" customHeight="1" s="20">
      <c r="A222" s="25" t="n"/>
      <c r="B222" s="25" t="n"/>
      <c r="C222" s="25" t="n"/>
      <c r="D222" s="25" t="n"/>
      <c r="E222" s="25" t="n"/>
      <c r="F222" s="26" t="n"/>
      <c r="G222" s="25" t="n"/>
      <c r="H222" s="25" t="n"/>
      <c r="I222" s="26" t="n"/>
      <c r="J222" s="25" t="n"/>
      <c r="K222" s="26" t="n"/>
      <c r="L222" s="25" t="n"/>
      <c r="M222" s="25" t="n"/>
      <c r="N222" s="26" t="n"/>
      <c r="O222" s="25" t="n"/>
      <c r="P222" s="25" t="n"/>
      <c r="Q222" s="26" t="n"/>
      <c r="R222" s="25">
        <f>IF(AND($A222="",$B222=""),"",IF(Q222="Complete","Onboarded",IF(OR(M222="Member",M222="Ambassador"),"Sponsored",IF(K222&lt;&gt;"","Follow-Up",IF(I222&lt;&gt;"","Presented",IF(F222&lt;&gt;"","Contacted","New Lead"))))))</f>
        <v/>
      </c>
      <c r="S222" s="25" t="n"/>
      <c r="T222" s="25">
        <f>IF(MAX(F222,I222,K222)=0,"",TODAY()-MAX(F222,I222,K222))</f>
        <v/>
      </c>
      <c r="U222" s="25" t="n"/>
      <c r="V222" s="25" t="n"/>
      <c r="W222" s="25">
        <f>IF(AND($A222="",$B222=""),"",IF(M222="Ambassador","1 - Ambassador",IF(M222="Member","2 - Member",IF(J222="Completed","3 - Presented",IF(H222&lt;&gt;"","4 - Sent",IF(F222&lt;&gt;"","5 - Contacted","6 - No Activity"))))))</f>
        <v/>
      </c>
      <c r="X222" s="25">
        <f>IF(AND($A222="",$B222=""),9999999+(ROW()-4),VALUE(LEFT($W222,1))*10000+(ROW()-4))</f>
        <v/>
      </c>
    </row>
    <row r="223" ht="15" customHeight="1" s="20">
      <c r="A223" s="25" t="n"/>
      <c r="B223" s="25" t="n"/>
      <c r="C223" s="25" t="n"/>
      <c r="D223" s="25" t="n"/>
      <c r="E223" s="25" t="n"/>
      <c r="F223" s="26" t="n"/>
      <c r="G223" s="25" t="n"/>
      <c r="H223" s="25" t="n"/>
      <c r="I223" s="26" t="n"/>
      <c r="J223" s="25" t="n"/>
      <c r="K223" s="26" t="n"/>
      <c r="L223" s="25" t="n"/>
      <c r="M223" s="25" t="n"/>
      <c r="N223" s="26" t="n"/>
      <c r="O223" s="25" t="n"/>
      <c r="P223" s="25" t="n"/>
      <c r="Q223" s="26" t="n"/>
      <c r="R223" s="25">
        <f>IF(AND($A223="",$B223=""),"",IF(Q223="Complete","Onboarded",IF(OR(M223="Member",M223="Ambassador"),"Sponsored",IF(K223&lt;&gt;"","Follow-Up",IF(I223&lt;&gt;"","Presented",IF(F223&lt;&gt;"","Contacted","New Lead"))))))</f>
        <v/>
      </c>
      <c r="S223" s="25" t="n"/>
      <c r="T223" s="25">
        <f>IF(MAX(F223,I223,K223)=0,"",TODAY()-MAX(F223,I223,K223))</f>
        <v/>
      </c>
      <c r="U223" s="25" t="n"/>
      <c r="V223" s="25" t="n"/>
      <c r="W223" s="25">
        <f>IF(AND($A223="",$B223=""),"",IF(M223="Ambassador","1 - Ambassador",IF(M223="Member","2 - Member",IF(J223="Completed","3 - Presented",IF(H223&lt;&gt;"","4 - Sent",IF(F223&lt;&gt;"","5 - Contacted","6 - No Activity"))))))</f>
        <v/>
      </c>
      <c r="X223" s="25">
        <f>IF(AND($A223="",$B223=""),9999999+(ROW()-4),VALUE(LEFT($W223,1))*10000+(ROW()-4))</f>
        <v/>
      </c>
    </row>
    <row r="224" ht="15" customHeight="1" s="20">
      <c r="A224" s="25" t="n"/>
      <c r="B224" s="25" t="n"/>
      <c r="C224" s="25" t="n"/>
      <c r="D224" s="25" t="n"/>
      <c r="E224" s="25" t="n"/>
      <c r="F224" s="26" t="n"/>
      <c r="G224" s="25" t="n"/>
      <c r="H224" s="25" t="n"/>
      <c r="I224" s="26" t="n"/>
      <c r="J224" s="25" t="n"/>
      <c r="K224" s="26" t="n"/>
      <c r="L224" s="25" t="n"/>
      <c r="M224" s="25" t="n"/>
      <c r="N224" s="26" t="n"/>
      <c r="O224" s="25" t="n"/>
      <c r="P224" s="25" t="n"/>
      <c r="Q224" s="26" t="n"/>
      <c r="R224" s="25">
        <f>IF(AND($A224="",$B224=""),"",IF(Q224="Complete","Onboarded",IF(OR(M224="Member",M224="Ambassador"),"Sponsored",IF(K224&lt;&gt;"","Follow-Up",IF(I224&lt;&gt;"","Presented",IF(F224&lt;&gt;"","Contacted","New Lead"))))))</f>
        <v/>
      </c>
      <c r="S224" s="25" t="n"/>
      <c r="T224" s="25">
        <f>IF(MAX(F224,I224,K224)=0,"",TODAY()-MAX(F224,I224,K224))</f>
        <v/>
      </c>
      <c r="U224" s="25" t="n"/>
      <c r="V224" s="25" t="n"/>
      <c r="W224" s="25">
        <f>IF(AND($A224="",$B224=""),"",IF(M224="Ambassador","1 - Ambassador",IF(M224="Member","2 - Member",IF(J224="Completed","3 - Presented",IF(H224&lt;&gt;"","4 - Sent",IF(F224&lt;&gt;"","5 - Contacted","6 - No Activity"))))))</f>
        <v/>
      </c>
      <c r="X224" s="25">
        <f>IF(AND($A224="",$B224=""),9999999+(ROW()-4),VALUE(LEFT($W224,1))*10000+(ROW()-4))</f>
        <v/>
      </c>
    </row>
    <row r="225" ht="15" customHeight="1" s="20">
      <c r="A225" s="25" t="n"/>
      <c r="B225" s="25" t="n"/>
      <c r="C225" s="25" t="n"/>
      <c r="D225" s="25" t="n"/>
      <c r="E225" s="25" t="n"/>
      <c r="F225" s="26" t="n"/>
      <c r="G225" s="25" t="n"/>
      <c r="H225" s="25" t="n"/>
      <c r="I225" s="26" t="n"/>
      <c r="J225" s="25" t="n"/>
      <c r="K225" s="26" t="n"/>
      <c r="L225" s="25" t="n"/>
      <c r="M225" s="25" t="n"/>
      <c r="N225" s="26" t="n"/>
      <c r="O225" s="25" t="n"/>
      <c r="P225" s="25" t="n"/>
      <c r="Q225" s="26" t="n"/>
      <c r="R225" s="25">
        <f>IF(AND($A225="",$B225=""),"",IF(Q225="Complete","Onboarded",IF(OR(M225="Member",M225="Ambassador"),"Sponsored",IF(K225&lt;&gt;"","Follow-Up",IF(I225&lt;&gt;"","Presented",IF(F225&lt;&gt;"","Contacted","New Lead"))))))</f>
        <v/>
      </c>
      <c r="S225" s="25" t="n"/>
      <c r="T225" s="25">
        <f>IF(MAX(F225,I225,K225)=0,"",TODAY()-MAX(F225,I225,K225))</f>
        <v/>
      </c>
      <c r="U225" s="25" t="n"/>
      <c r="V225" s="25" t="n"/>
      <c r="W225" s="25">
        <f>IF(AND($A225="",$B225=""),"",IF(M225="Ambassador","1 - Ambassador",IF(M225="Member","2 - Member",IF(J225="Completed","3 - Presented",IF(H225&lt;&gt;"","4 - Sent",IF(F225&lt;&gt;"","5 - Contacted","6 - No Activity"))))))</f>
        <v/>
      </c>
      <c r="X225" s="25">
        <f>IF(AND($A225="",$B225=""),9999999+(ROW()-4),VALUE(LEFT($W225,1))*10000+(ROW()-4))</f>
        <v/>
      </c>
    </row>
    <row r="226" ht="15" customHeight="1" s="20">
      <c r="A226" s="25" t="n"/>
      <c r="B226" s="25" t="n"/>
      <c r="C226" s="25" t="n"/>
      <c r="D226" s="25" t="n"/>
      <c r="E226" s="25" t="n"/>
      <c r="F226" s="26" t="n"/>
      <c r="G226" s="25" t="n"/>
      <c r="H226" s="25" t="n"/>
      <c r="I226" s="26" t="n"/>
      <c r="J226" s="25" t="n"/>
      <c r="K226" s="26" t="n"/>
      <c r="L226" s="25" t="n"/>
      <c r="M226" s="25" t="n"/>
      <c r="N226" s="26" t="n"/>
      <c r="O226" s="25" t="n"/>
      <c r="P226" s="25" t="n"/>
      <c r="Q226" s="26" t="n"/>
      <c r="R226" s="25">
        <f>IF(AND($A226="",$B226=""),"",IF(Q226="Complete","Onboarded",IF(OR(M226="Member",M226="Ambassador"),"Sponsored",IF(K226&lt;&gt;"","Follow-Up",IF(I226&lt;&gt;"","Presented",IF(F226&lt;&gt;"","Contacted","New Lead"))))))</f>
        <v/>
      </c>
      <c r="S226" s="25" t="n"/>
      <c r="T226" s="25">
        <f>IF(MAX(F226,I226,K226)=0,"",TODAY()-MAX(F226,I226,K226))</f>
        <v/>
      </c>
      <c r="U226" s="25" t="n"/>
      <c r="V226" s="25" t="n"/>
      <c r="W226" s="25">
        <f>IF(AND($A226="",$B226=""),"",IF(M226="Ambassador","1 - Ambassador",IF(M226="Member","2 - Member",IF(J226="Completed","3 - Presented",IF(H226&lt;&gt;"","4 - Sent",IF(F226&lt;&gt;"","5 - Contacted","6 - No Activity"))))))</f>
        <v/>
      </c>
      <c r="X226" s="25">
        <f>IF(AND($A226="",$B226=""),9999999+(ROW()-4),VALUE(LEFT($W226,1))*10000+(ROW()-4))</f>
        <v/>
      </c>
    </row>
    <row r="227" ht="15" customHeight="1" s="20">
      <c r="A227" s="25" t="n"/>
      <c r="B227" s="25" t="n"/>
      <c r="C227" s="25" t="n"/>
      <c r="D227" s="25" t="n"/>
      <c r="E227" s="25" t="n"/>
      <c r="F227" s="26" t="n"/>
      <c r="G227" s="25" t="n"/>
      <c r="H227" s="25" t="n"/>
      <c r="I227" s="26" t="n"/>
      <c r="J227" s="25" t="n"/>
      <c r="K227" s="26" t="n"/>
      <c r="L227" s="25" t="n"/>
      <c r="M227" s="25" t="n"/>
      <c r="N227" s="26" t="n"/>
      <c r="O227" s="25" t="n"/>
      <c r="P227" s="25" t="n"/>
      <c r="Q227" s="26" t="n"/>
      <c r="R227" s="25">
        <f>IF(AND($A227="",$B227=""),"",IF(Q227="Complete","Onboarded",IF(OR(M227="Member",M227="Ambassador"),"Sponsored",IF(K227&lt;&gt;"","Follow-Up",IF(I227&lt;&gt;"","Presented",IF(F227&lt;&gt;"","Contacted","New Lead"))))))</f>
        <v/>
      </c>
      <c r="S227" s="25" t="n"/>
      <c r="T227" s="25">
        <f>IF(MAX(F227,I227,K227)=0,"",TODAY()-MAX(F227,I227,K227))</f>
        <v/>
      </c>
      <c r="U227" s="25" t="n"/>
      <c r="V227" s="25" t="n"/>
      <c r="W227" s="25">
        <f>IF(AND($A227="",$B227=""),"",IF(M227="Ambassador","1 - Ambassador",IF(M227="Member","2 - Member",IF(J227="Completed","3 - Presented",IF(H227&lt;&gt;"","4 - Sent",IF(F227&lt;&gt;"","5 - Contacted","6 - No Activity"))))))</f>
        <v/>
      </c>
      <c r="X227" s="25">
        <f>IF(AND($A227="",$B227=""),9999999+(ROW()-4),VALUE(LEFT($W227,1))*10000+(ROW()-4))</f>
        <v/>
      </c>
    </row>
    <row r="228" ht="15" customHeight="1" s="20">
      <c r="A228" s="25" t="n"/>
      <c r="B228" s="25" t="n"/>
      <c r="C228" s="25" t="n"/>
      <c r="D228" s="25" t="n"/>
      <c r="E228" s="25" t="n"/>
      <c r="F228" s="26" t="n"/>
      <c r="G228" s="25" t="n"/>
      <c r="H228" s="25" t="n"/>
      <c r="I228" s="26" t="n"/>
      <c r="J228" s="25" t="n"/>
      <c r="K228" s="26" t="n"/>
      <c r="L228" s="25" t="n"/>
      <c r="M228" s="25" t="n"/>
      <c r="N228" s="26" t="n"/>
      <c r="O228" s="25" t="n"/>
      <c r="P228" s="25" t="n"/>
      <c r="Q228" s="26" t="n"/>
      <c r="R228" s="25">
        <f>IF(AND($A228="",$B228=""),"",IF(Q228="Complete","Onboarded",IF(OR(M228="Member",M228="Ambassador"),"Sponsored",IF(K228&lt;&gt;"","Follow-Up",IF(I228&lt;&gt;"","Presented",IF(F228&lt;&gt;"","Contacted","New Lead"))))))</f>
        <v/>
      </c>
      <c r="S228" s="25" t="n"/>
      <c r="T228" s="25">
        <f>IF(MAX(F228,I228,K228)=0,"",TODAY()-MAX(F228,I228,K228))</f>
        <v/>
      </c>
      <c r="U228" s="25" t="n"/>
      <c r="V228" s="25" t="n"/>
      <c r="W228" s="25">
        <f>IF(AND($A228="",$B228=""),"",IF(M228="Ambassador","1 - Ambassador",IF(M228="Member","2 - Member",IF(J228="Completed","3 - Presented",IF(H228&lt;&gt;"","4 - Sent",IF(F228&lt;&gt;"","5 - Contacted","6 - No Activity"))))))</f>
        <v/>
      </c>
      <c r="X228" s="25">
        <f>IF(AND($A228="",$B228=""),9999999+(ROW()-4),VALUE(LEFT($W228,1))*10000+(ROW()-4))</f>
        <v/>
      </c>
    </row>
    <row r="229" ht="15" customHeight="1" s="20">
      <c r="A229" s="25" t="n"/>
      <c r="B229" s="25" t="n"/>
      <c r="C229" s="25" t="n"/>
      <c r="D229" s="25" t="n"/>
      <c r="E229" s="25" t="n"/>
      <c r="F229" s="26" t="n"/>
      <c r="G229" s="25" t="n"/>
      <c r="H229" s="25" t="n"/>
      <c r="I229" s="26" t="n"/>
      <c r="J229" s="25" t="n"/>
      <c r="K229" s="26" t="n"/>
      <c r="L229" s="25" t="n"/>
      <c r="M229" s="25" t="n"/>
      <c r="N229" s="26" t="n"/>
      <c r="O229" s="25" t="n"/>
      <c r="P229" s="25" t="n"/>
      <c r="Q229" s="26" t="n"/>
      <c r="R229" s="25">
        <f>IF(AND($A229="",$B229=""),"",IF(Q229="Complete","Onboarded",IF(OR(M229="Member",M229="Ambassador"),"Sponsored",IF(K229&lt;&gt;"","Follow-Up",IF(I229&lt;&gt;"","Presented",IF(F229&lt;&gt;"","Contacted","New Lead"))))))</f>
        <v/>
      </c>
      <c r="S229" s="25" t="n"/>
      <c r="T229" s="25">
        <f>IF(MAX(F229,I229,K229)=0,"",TODAY()-MAX(F229,I229,K229))</f>
        <v/>
      </c>
      <c r="U229" s="25" t="n"/>
      <c r="V229" s="25" t="n"/>
      <c r="W229" s="25">
        <f>IF(AND($A229="",$B229=""),"",IF(M229="Ambassador","1 - Ambassador",IF(M229="Member","2 - Member",IF(J229="Completed","3 - Presented",IF(H229&lt;&gt;"","4 - Sent",IF(F229&lt;&gt;"","5 - Contacted","6 - No Activity"))))))</f>
        <v/>
      </c>
      <c r="X229" s="25">
        <f>IF(AND($A229="",$B229=""),9999999+(ROW()-4),VALUE(LEFT($W229,1))*10000+(ROW()-4))</f>
        <v/>
      </c>
    </row>
    <row r="230" ht="15" customHeight="1" s="20">
      <c r="A230" s="25" t="n"/>
      <c r="B230" s="25" t="n"/>
      <c r="C230" s="25" t="n"/>
      <c r="D230" s="25" t="n"/>
      <c r="E230" s="25" t="n"/>
      <c r="F230" s="26" t="n"/>
      <c r="G230" s="25" t="n"/>
      <c r="H230" s="25" t="n"/>
      <c r="I230" s="26" t="n"/>
      <c r="J230" s="25" t="n"/>
      <c r="K230" s="26" t="n"/>
      <c r="L230" s="25" t="n"/>
      <c r="M230" s="25" t="n"/>
      <c r="N230" s="26" t="n"/>
      <c r="O230" s="25" t="n"/>
      <c r="P230" s="25" t="n"/>
      <c r="Q230" s="26" t="n"/>
      <c r="R230" s="25">
        <f>IF(AND($A230="",$B230=""),"",IF(Q230="Complete","Onboarded",IF(OR(M230="Member",M230="Ambassador"),"Sponsored",IF(K230&lt;&gt;"","Follow-Up",IF(I230&lt;&gt;"","Presented",IF(F230&lt;&gt;"","Contacted","New Lead"))))))</f>
        <v/>
      </c>
      <c r="S230" s="25" t="n"/>
      <c r="T230" s="25">
        <f>IF(MAX(F230,I230,K230)=0,"",TODAY()-MAX(F230,I230,K230))</f>
        <v/>
      </c>
      <c r="U230" s="25" t="n"/>
      <c r="V230" s="25" t="n"/>
      <c r="W230" s="25">
        <f>IF(AND($A230="",$B230=""),"",IF(M230="Ambassador","1 - Ambassador",IF(M230="Member","2 - Member",IF(J230="Completed","3 - Presented",IF(H230&lt;&gt;"","4 - Sent",IF(F230&lt;&gt;"","5 - Contacted","6 - No Activity"))))))</f>
        <v/>
      </c>
      <c r="X230" s="25">
        <f>IF(AND($A230="",$B230=""),9999999+(ROW()-4),VALUE(LEFT($W230,1))*10000+(ROW()-4))</f>
        <v/>
      </c>
    </row>
    <row r="231" ht="15" customHeight="1" s="20">
      <c r="A231" s="25" t="n"/>
      <c r="B231" s="25" t="n"/>
      <c r="C231" s="25" t="n"/>
      <c r="D231" s="25" t="n"/>
      <c r="E231" s="25" t="n"/>
      <c r="F231" s="26" t="n"/>
      <c r="G231" s="25" t="n"/>
      <c r="H231" s="25" t="n"/>
      <c r="I231" s="26" t="n"/>
      <c r="J231" s="25" t="n"/>
      <c r="K231" s="26" t="n"/>
      <c r="L231" s="25" t="n"/>
      <c r="M231" s="25" t="n"/>
      <c r="N231" s="26" t="n"/>
      <c r="O231" s="25" t="n"/>
      <c r="P231" s="25" t="n"/>
      <c r="Q231" s="26" t="n"/>
      <c r="R231" s="25">
        <f>IF(AND($A231="",$B231=""),"",IF(Q231="Complete","Onboarded",IF(OR(M231="Member",M231="Ambassador"),"Sponsored",IF(K231&lt;&gt;"","Follow-Up",IF(I231&lt;&gt;"","Presented",IF(F231&lt;&gt;"","Contacted","New Lead"))))))</f>
        <v/>
      </c>
      <c r="S231" s="25" t="n"/>
      <c r="T231" s="25">
        <f>IF(MAX(F231,I231,K231)=0,"",TODAY()-MAX(F231,I231,K231))</f>
        <v/>
      </c>
      <c r="U231" s="25" t="n"/>
      <c r="V231" s="25" t="n"/>
      <c r="W231" s="25">
        <f>IF(AND($A231="",$B231=""),"",IF(M231="Ambassador","1 - Ambassador",IF(M231="Member","2 - Member",IF(J231="Completed","3 - Presented",IF(H231&lt;&gt;"","4 - Sent",IF(F231&lt;&gt;"","5 - Contacted","6 - No Activity"))))))</f>
        <v/>
      </c>
      <c r="X231" s="25">
        <f>IF(AND($A231="",$B231=""),9999999+(ROW()-4),VALUE(LEFT($W231,1))*10000+(ROW()-4))</f>
        <v/>
      </c>
    </row>
    <row r="232" ht="15" customHeight="1" s="20">
      <c r="A232" s="25" t="n"/>
      <c r="B232" s="25" t="n"/>
      <c r="C232" s="25" t="n"/>
      <c r="D232" s="25" t="n"/>
      <c r="E232" s="25" t="n"/>
      <c r="F232" s="26" t="n"/>
      <c r="G232" s="25" t="n"/>
      <c r="H232" s="25" t="n"/>
      <c r="I232" s="26" t="n"/>
      <c r="J232" s="25" t="n"/>
      <c r="K232" s="26" t="n"/>
      <c r="L232" s="25" t="n"/>
      <c r="M232" s="25" t="n"/>
      <c r="N232" s="26" t="n"/>
      <c r="O232" s="25" t="n"/>
      <c r="P232" s="25" t="n"/>
      <c r="Q232" s="26" t="n"/>
      <c r="R232" s="25">
        <f>IF(AND($A232="",$B232=""),"",IF(Q232="Complete","Onboarded",IF(OR(M232="Member",M232="Ambassador"),"Sponsored",IF(K232&lt;&gt;"","Follow-Up",IF(I232&lt;&gt;"","Presented",IF(F232&lt;&gt;"","Contacted","New Lead"))))))</f>
        <v/>
      </c>
      <c r="S232" s="25" t="n"/>
      <c r="T232" s="25">
        <f>IF(MAX(F232,I232,K232)=0,"",TODAY()-MAX(F232,I232,K232))</f>
        <v/>
      </c>
      <c r="U232" s="25" t="n"/>
      <c r="V232" s="25" t="n"/>
      <c r="W232" s="25">
        <f>IF(AND($A232="",$B232=""),"",IF(M232="Ambassador","1 - Ambassador",IF(M232="Member","2 - Member",IF(J232="Completed","3 - Presented",IF(H232&lt;&gt;"","4 - Sent",IF(F232&lt;&gt;"","5 - Contacted","6 - No Activity"))))))</f>
        <v/>
      </c>
      <c r="X232" s="25">
        <f>IF(AND($A232="",$B232=""),9999999+(ROW()-4),VALUE(LEFT($W232,1))*10000+(ROW()-4))</f>
        <v/>
      </c>
    </row>
    <row r="233" ht="15" customHeight="1" s="20">
      <c r="A233" s="25" t="n"/>
      <c r="B233" s="25" t="n"/>
      <c r="C233" s="25" t="n"/>
      <c r="D233" s="25" t="n"/>
      <c r="E233" s="25" t="n"/>
      <c r="F233" s="26" t="n"/>
      <c r="G233" s="25" t="n"/>
      <c r="H233" s="25" t="n"/>
      <c r="I233" s="26" t="n"/>
      <c r="J233" s="25" t="n"/>
      <c r="K233" s="26" t="n"/>
      <c r="L233" s="25" t="n"/>
      <c r="M233" s="25" t="n"/>
      <c r="N233" s="26" t="n"/>
      <c r="O233" s="25" t="n"/>
      <c r="P233" s="25" t="n"/>
      <c r="Q233" s="26" t="n"/>
      <c r="R233" s="25">
        <f>IF(AND($A233="",$B233=""),"",IF(Q233="Complete","Onboarded",IF(OR(M233="Member",M233="Ambassador"),"Sponsored",IF(K233&lt;&gt;"","Follow-Up",IF(I233&lt;&gt;"","Presented",IF(F233&lt;&gt;"","Contacted","New Lead"))))))</f>
        <v/>
      </c>
      <c r="S233" s="25" t="n"/>
      <c r="T233" s="25">
        <f>IF(MAX(F233,I233,K233)=0,"",TODAY()-MAX(F233,I233,K233))</f>
        <v/>
      </c>
      <c r="U233" s="25" t="n"/>
      <c r="V233" s="25" t="n"/>
      <c r="W233" s="25">
        <f>IF(AND($A233="",$B233=""),"",IF(M233="Ambassador","1 - Ambassador",IF(M233="Member","2 - Member",IF(J233="Completed","3 - Presented",IF(H233&lt;&gt;"","4 - Sent",IF(F233&lt;&gt;"","5 - Contacted","6 - No Activity"))))))</f>
        <v/>
      </c>
      <c r="X233" s="25">
        <f>IF(AND($A233="",$B233=""),9999999+(ROW()-4),VALUE(LEFT($W233,1))*10000+(ROW()-4))</f>
        <v/>
      </c>
    </row>
    <row r="234" ht="15" customHeight="1" s="20">
      <c r="A234" s="25" t="n"/>
      <c r="B234" s="25" t="n"/>
      <c r="C234" s="25" t="n"/>
      <c r="D234" s="25" t="n"/>
      <c r="E234" s="25" t="n"/>
      <c r="F234" s="26" t="n"/>
      <c r="G234" s="25" t="n"/>
      <c r="H234" s="25" t="n"/>
      <c r="I234" s="26" t="n"/>
      <c r="J234" s="25" t="n"/>
      <c r="K234" s="26" t="n"/>
      <c r="L234" s="25" t="n"/>
      <c r="M234" s="25" t="n"/>
      <c r="N234" s="26" t="n"/>
      <c r="O234" s="25" t="n"/>
      <c r="P234" s="25" t="n"/>
      <c r="Q234" s="26" t="n"/>
      <c r="R234" s="25">
        <f>IF(AND($A234="",$B234=""),"",IF(Q234="Complete","Onboarded",IF(OR(M234="Member",M234="Ambassador"),"Sponsored",IF(K234&lt;&gt;"","Follow-Up",IF(I234&lt;&gt;"","Presented",IF(F234&lt;&gt;"","Contacted","New Lead"))))))</f>
        <v/>
      </c>
      <c r="S234" s="25" t="n"/>
      <c r="T234" s="25">
        <f>IF(MAX(F234,I234,K234)=0,"",TODAY()-MAX(F234,I234,K234))</f>
        <v/>
      </c>
      <c r="U234" s="25" t="n"/>
      <c r="V234" s="25" t="n"/>
      <c r="W234" s="25">
        <f>IF(AND($A234="",$B234=""),"",IF(M234="Ambassador","1 - Ambassador",IF(M234="Member","2 - Member",IF(J234="Completed","3 - Presented",IF(H234&lt;&gt;"","4 - Sent",IF(F234&lt;&gt;"","5 - Contacted","6 - No Activity"))))))</f>
        <v/>
      </c>
      <c r="X234" s="25">
        <f>IF(AND($A234="",$B234=""),9999999+(ROW()-4),VALUE(LEFT($W234,1))*10000+(ROW()-4))</f>
        <v/>
      </c>
    </row>
    <row r="235" ht="15" customHeight="1" s="20">
      <c r="A235" s="25" t="n"/>
      <c r="B235" s="25" t="n"/>
      <c r="C235" s="25" t="n"/>
      <c r="D235" s="25" t="n"/>
      <c r="E235" s="25" t="n"/>
      <c r="F235" s="26" t="n"/>
      <c r="G235" s="25" t="n"/>
      <c r="H235" s="25" t="n"/>
      <c r="I235" s="26" t="n"/>
      <c r="J235" s="25" t="n"/>
      <c r="K235" s="26" t="n"/>
      <c r="L235" s="25" t="n"/>
      <c r="M235" s="25" t="n"/>
      <c r="N235" s="26" t="n"/>
      <c r="O235" s="25" t="n"/>
      <c r="P235" s="25" t="n"/>
      <c r="Q235" s="26" t="n"/>
      <c r="R235" s="25">
        <f>IF(AND($A235="",$B235=""),"",IF(Q235="Complete","Onboarded",IF(OR(M235="Member",M235="Ambassador"),"Sponsored",IF(K235&lt;&gt;"","Follow-Up",IF(I235&lt;&gt;"","Presented",IF(F235&lt;&gt;"","Contacted","New Lead"))))))</f>
        <v/>
      </c>
      <c r="S235" s="25" t="n"/>
      <c r="T235" s="25">
        <f>IF(MAX(F235,I235,K235)=0,"",TODAY()-MAX(F235,I235,K235))</f>
        <v/>
      </c>
      <c r="U235" s="25" t="n"/>
      <c r="V235" s="25" t="n"/>
      <c r="W235" s="25">
        <f>IF(AND($A235="",$B235=""),"",IF(M235="Ambassador","1 - Ambassador",IF(M235="Member","2 - Member",IF(J235="Completed","3 - Presented",IF(H235&lt;&gt;"","4 - Sent",IF(F235&lt;&gt;"","5 - Contacted","6 - No Activity"))))))</f>
        <v/>
      </c>
      <c r="X235" s="25">
        <f>IF(AND($A235="",$B235=""),9999999+(ROW()-4),VALUE(LEFT($W235,1))*10000+(ROW()-4))</f>
        <v/>
      </c>
    </row>
    <row r="236" ht="15" customHeight="1" s="20">
      <c r="A236" s="25" t="n"/>
      <c r="B236" s="25" t="n"/>
      <c r="C236" s="25" t="n"/>
      <c r="D236" s="25" t="n"/>
      <c r="E236" s="25" t="n"/>
      <c r="F236" s="26" t="n"/>
      <c r="G236" s="25" t="n"/>
      <c r="H236" s="25" t="n"/>
      <c r="I236" s="26" t="n"/>
      <c r="J236" s="25" t="n"/>
      <c r="K236" s="26" t="n"/>
      <c r="L236" s="25" t="n"/>
      <c r="M236" s="25" t="n"/>
      <c r="N236" s="26" t="n"/>
      <c r="O236" s="25" t="n"/>
      <c r="P236" s="25" t="n"/>
      <c r="Q236" s="26" t="n"/>
      <c r="R236" s="25">
        <f>IF(AND($A236="",$B236=""),"",IF(Q236="Complete","Onboarded",IF(OR(M236="Member",M236="Ambassador"),"Sponsored",IF(K236&lt;&gt;"","Follow-Up",IF(I236&lt;&gt;"","Presented",IF(F236&lt;&gt;"","Contacted","New Lead"))))))</f>
        <v/>
      </c>
      <c r="S236" s="25" t="n"/>
      <c r="T236" s="25">
        <f>IF(MAX(F236,I236,K236)=0,"",TODAY()-MAX(F236,I236,K236))</f>
        <v/>
      </c>
      <c r="U236" s="25" t="n"/>
      <c r="V236" s="25" t="n"/>
      <c r="W236" s="25">
        <f>IF(AND($A236="",$B236=""),"",IF(M236="Ambassador","1 - Ambassador",IF(M236="Member","2 - Member",IF(J236="Completed","3 - Presented",IF(H236&lt;&gt;"","4 - Sent",IF(F236&lt;&gt;"","5 - Contacted","6 - No Activity"))))))</f>
        <v/>
      </c>
      <c r="X236" s="25">
        <f>IF(AND($A236="",$B236=""),9999999+(ROW()-4),VALUE(LEFT($W236,1))*10000+(ROW()-4))</f>
        <v/>
      </c>
    </row>
    <row r="237" ht="15" customHeight="1" s="20">
      <c r="A237" s="25" t="n"/>
      <c r="B237" s="25" t="n"/>
      <c r="C237" s="25" t="n"/>
      <c r="D237" s="25" t="n"/>
      <c r="E237" s="25" t="n"/>
      <c r="F237" s="26" t="n"/>
      <c r="G237" s="25" t="n"/>
      <c r="H237" s="25" t="n"/>
      <c r="I237" s="26" t="n"/>
      <c r="J237" s="25" t="n"/>
      <c r="K237" s="26" t="n"/>
      <c r="L237" s="25" t="n"/>
      <c r="M237" s="25" t="n"/>
      <c r="N237" s="26" t="n"/>
      <c r="O237" s="25" t="n"/>
      <c r="P237" s="25" t="n"/>
      <c r="Q237" s="26" t="n"/>
      <c r="R237" s="25">
        <f>IF(AND($A237="",$B237=""),"",IF(Q237="Complete","Onboarded",IF(OR(M237="Member",M237="Ambassador"),"Sponsored",IF(K237&lt;&gt;"","Follow-Up",IF(I237&lt;&gt;"","Presented",IF(F237&lt;&gt;"","Contacted","New Lead"))))))</f>
        <v/>
      </c>
      <c r="S237" s="25" t="n"/>
      <c r="T237" s="25">
        <f>IF(MAX(F237,I237,K237)=0,"",TODAY()-MAX(F237,I237,K237))</f>
        <v/>
      </c>
      <c r="U237" s="25" t="n"/>
      <c r="V237" s="25" t="n"/>
      <c r="W237" s="25">
        <f>IF(AND($A237="",$B237=""),"",IF(M237="Ambassador","1 - Ambassador",IF(M237="Member","2 - Member",IF(J237="Completed","3 - Presented",IF(H237&lt;&gt;"","4 - Sent",IF(F237&lt;&gt;"","5 - Contacted","6 - No Activity"))))))</f>
        <v/>
      </c>
      <c r="X237" s="25">
        <f>IF(AND($A237="",$B237=""),9999999+(ROW()-4),VALUE(LEFT($W237,1))*10000+(ROW()-4))</f>
        <v/>
      </c>
    </row>
    <row r="238" ht="15" customHeight="1" s="20">
      <c r="A238" s="25" t="n"/>
      <c r="B238" s="25" t="n"/>
      <c r="C238" s="25" t="n"/>
      <c r="D238" s="25" t="n"/>
      <c r="E238" s="25" t="n"/>
      <c r="F238" s="26" t="n"/>
      <c r="G238" s="25" t="n"/>
      <c r="H238" s="25" t="n"/>
      <c r="I238" s="26" t="n"/>
      <c r="J238" s="25" t="n"/>
      <c r="K238" s="26" t="n"/>
      <c r="L238" s="25" t="n"/>
      <c r="M238" s="25" t="n"/>
      <c r="N238" s="26" t="n"/>
      <c r="O238" s="25" t="n"/>
      <c r="P238" s="25" t="n"/>
      <c r="Q238" s="26" t="n"/>
      <c r="R238" s="25">
        <f>IF(AND($A238="",$B238=""),"",IF(Q238="Complete","Onboarded",IF(OR(M238="Member",M238="Ambassador"),"Sponsored",IF(K238&lt;&gt;"","Follow-Up",IF(I238&lt;&gt;"","Presented",IF(F238&lt;&gt;"","Contacted","New Lead"))))))</f>
        <v/>
      </c>
      <c r="S238" s="25" t="n"/>
      <c r="T238" s="25">
        <f>IF(MAX(F238,I238,K238)=0,"",TODAY()-MAX(F238,I238,K238))</f>
        <v/>
      </c>
      <c r="U238" s="25" t="n"/>
      <c r="V238" s="25" t="n"/>
      <c r="W238" s="25">
        <f>IF(AND($A238="",$B238=""),"",IF(M238="Ambassador","1 - Ambassador",IF(M238="Member","2 - Member",IF(J238="Completed","3 - Presented",IF(H238&lt;&gt;"","4 - Sent",IF(F238&lt;&gt;"","5 - Contacted","6 - No Activity"))))))</f>
        <v/>
      </c>
      <c r="X238" s="25">
        <f>IF(AND($A238="",$B238=""),9999999+(ROW()-4),VALUE(LEFT($W238,1))*10000+(ROW()-4))</f>
        <v/>
      </c>
    </row>
    <row r="239" ht="15" customHeight="1" s="20">
      <c r="A239" s="25" t="n"/>
      <c r="B239" s="25" t="n"/>
      <c r="C239" s="25" t="n"/>
      <c r="D239" s="25" t="n"/>
      <c r="E239" s="25" t="n"/>
      <c r="F239" s="26" t="n"/>
      <c r="G239" s="25" t="n"/>
      <c r="H239" s="25" t="n"/>
      <c r="I239" s="26" t="n"/>
      <c r="J239" s="25" t="n"/>
      <c r="K239" s="26" t="n"/>
      <c r="L239" s="25" t="n"/>
      <c r="M239" s="25" t="n"/>
      <c r="N239" s="26" t="n"/>
      <c r="O239" s="25" t="n"/>
      <c r="P239" s="25" t="n"/>
      <c r="Q239" s="26" t="n"/>
      <c r="R239" s="25">
        <f>IF(AND($A239="",$B239=""),"",IF(Q239="Complete","Onboarded",IF(OR(M239="Member",M239="Ambassador"),"Sponsored",IF(K239&lt;&gt;"","Follow-Up",IF(I239&lt;&gt;"","Presented",IF(F239&lt;&gt;"","Contacted","New Lead"))))))</f>
        <v/>
      </c>
      <c r="S239" s="25" t="n"/>
      <c r="T239" s="25">
        <f>IF(MAX(F239,I239,K239)=0,"",TODAY()-MAX(F239,I239,K239))</f>
        <v/>
      </c>
      <c r="U239" s="25" t="n"/>
      <c r="V239" s="25" t="n"/>
      <c r="W239" s="25">
        <f>IF(AND($A239="",$B239=""),"",IF(M239="Ambassador","1 - Ambassador",IF(M239="Member","2 - Member",IF(J239="Completed","3 - Presented",IF(H239&lt;&gt;"","4 - Sent",IF(F239&lt;&gt;"","5 - Contacted","6 - No Activity"))))))</f>
        <v/>
      </c>
      <c r="X239" s="25">
        <f>IF(AND($A239="",$B239=""),9999999+(ROW()-4),VALUE(LEFT($W239,1))*10000+(ROW()-4))</f>
        <v/>
      </c>
    </row>
    <row r="240" ht="15" customHeight="1" s="20">
      <c r="A240" s="25" t="n"/>
      <c r="B240" s="25" t="n"/>
      <c r="C240" s="25" t="n"/>
      <c r="D240" s="25" t="n"/>
      <c r="E240" s="25" t="n"/>
      <c r="F240" s="26" t="n"/>
      <c r="G240" s="25" t="n"/>
      <c r="H240" s="25" t="n"/>
      <c r="I240" s="26" t="n"/>
      <c r="J240" s="25" t="n"/>
      <c r="K240" s="26" t="n"/>
      <c r="L240" s="25" t="n"/>
      <c r="M240" s="25" t="n"/>
      <c r="N240" s="26" t="n"/>
      <c r="O240" s="25" t="n"/>
      <c r="P240" s="25" t="n"/>
      <c r="Q240" s="26" t="n"/>
      <c r="R240" s="25">
        <f>IF(AND($A240="",$B240=""),"",IF(Q240="Complete","Onboarded",IF(OR(M240="Member",M240="Ambassador"),"Sponsored",IF(K240&lt;&gt;"","Follow-Up",IF(I240&lt;&gt;"","Presented",IF(F240&lt;&gt;"","Contacted","New Lead"))))))</f>
        <v/>
      </c>
      <c r="S240" s="25" t="n"/>
      <c r="T240" s="25">
        <f>IF(MAX(F240,I240,K240)=0,"",TODAY()-MAX(F240,I240,K240))</f>
        <v/>
      </c>
      <c r="U240" s="25" t="n"/>
      <c r="V240" s="25" t="n"/>
      <c r="W240" s="25">
        <f>IF(AND($A240="",$B240=""),"",IF(M240="Ambassador","1 - Ambassador",IF(M240="Member","2 - Member",IF(J240="Completed","3 - Presented",IF(H240&lt;&gt;"","4 - Sent",IF(F240&lt;&gt;"","5 - Contacted","6 - No Activity"))))))</f>
        <v/>
      </c>
      <c r="X240" s="25">
        <f>IF(AND($A240="",$B240=""),9999999+(ROW()-4),VALUE(LEFT($W240,1))*10000+(ROW()-4))</f>
        <v/>
      </c>
    </row>
    <row r="241" ht="15" customHeight="1" s="20">
      <c r="A241" s="25" t="n"/>
      <c r="B241" s="25" t="n"/>
      <c r="C241" s="25" t="n"/>
      <c r="D241" s="25" t="n"/>
      <c r="E241" s="25" t="n"/>
      <c r="F241" s="26" t="n"/>
      <c r="G241" s="25" t="n"/>
      <c r="H241" s="25" t="n"/>
      <c r="I241" s="26" t="n"/>
      <c r="J241" s="25" t="n"/>
      <c r="K241" s="26" t="n"/>
      <c r="L241" s="25" t="n"/>
      <c r="M241" s="25" t="n"/>
      <c r="N241" s="26" t="n"/>
      <c r="O241" s="25" t="n"/>
      <c r="P241" s="25" t="n"/>
      <c r="Q241" s="26" t="n"/>
      <c r="R241" s="25">
        <f>IF(AND($A241="",$B241=""),"",IF(Q241="Complete","Onboarded",IF(OR(M241="Member",M241="Ambassador"),"Sponsored",IF(K241&lt;&gt;"","Follow-Up",IF(I241&lt;&gt;"","Presented",IF(F241&lt;&gt;"","Contacted","New Lead"))))))</f>
        <v/>
      </c>
      <c r="S241" s="25" t="n"/>
      <c r="T241" s="25">
        <f>IF(MAX(F241,I241,K241)=0,"",TODAY()-MAX(F241,I241,K241))</f>
        <v/>
      </c>
      <c r="U241" s="25" t="n"/>
      <c r="V241" s="25" t="n"/>
      <c r="W241" s="25">
        <f>IF(AND($A241="",$B241=""),"",IF(M241="Ambassador","1 - Ambassador",IF(M241="Member","2 - Member",IF(J241="Completed","3 - Presented",IF(H241&lt;&gt;"","4 - Sent",IF(F241&lt;&gt;"","5 - Contacted","6 - No Activity"))))))</f>
        <v/>
      </c>
      <c r="X241" s="25">
        <f>IF(AND($A241="",$B241=""),9999999+(ROW()-4),VALUE(LEFT($W241,1))*10000+(ROW()-4))</f>
        <v/>
      </c>
    </row>
    <row r="242" ht="15" customHeight="1" s="20">
      <c r="A242" s="25" t="n"/>
      <c r="B242" s="25" t="n"/>
      <c r="C242" s="25" t="n"/>
      <c r="D242" s="25" t="n"/>
      <c r="E242" s="25" t="n"/>
      <c r="F242" s="26" t="n"/>
      <c r="G242" s="25" t="n"/>
      <c r="H242" s="25" t="n"/>
      <c r="I242" s="26" t="n"/>
      <c r="J242" s="25" t="n"/>
      <c r="K242" s="26" t="n"/>
      <c r="L242" s="25" t="n"/>
      <c r="M242" s="25" t="n"/>
      <c r="N242" s="26" t="n"/>
      <c r="O242" s="25" t="n"/>
      <c r="P242" s="25" t="n"/>
      <c r="Q242" s="26" t="n"/>
      <c r="R242" s="25">
        <f>IF(AND($A242="",$B242=""),"",IF(Q242="Complete","Onboarded",IF(OR(M242="Member",M242="Ambassador"),"Sponsored",IF(K242&lt;&gt;"","Follow-Up",IF(I242&lt;&gt;"","Presented",IF(F242&lt;&gt;"","Contacted","New Lead"))))))</f>
        <v/>
      </c>
      <c r="S242" s="25" t="n"/>
      <c r="T242" s="25">
        <f>IF(MAX(F242,I242,K242)=0,"",TODAY()-MAX(F242,I242,K242))</f>
        <v/>
      </c>
      <c r="U242" s="25" t="n"/>
      <c r="V242" s="25" t="n"/>
      <c r="W242" s="25">
        <f>IF(AND($A242="",$B242=""),"",IF(M242="Ambassador","1 - Ambassador",IF(M242="Member","2 - Member",IF(J242="Completed","3 - Presented",IF(H242&lt;&gt;"","4 - Sent",IF(F242&lt;&gt;"","5 - Contacted","6 - No Activity"))))))</f>
        <v/>
      </c>
      <c r="X242" s="25">
        <f>IF(AND($A242="",$B242=""),9999999+(ROW()-4),VALUE(LEFT($W242,1))*10000+(ROW()-4))</f>
        <v/>
      </c>
    </row>
    <row r="243" ht="15" customHeight="1" s="20">
      <c r="A243" s="25" t="n"/>
      <c r="B243" s="25" t="n"/>
      <c r="C243" s="25" t="n"/>
      <c r="D243" s="25" t="n"/>
      <c r="E243" s="25" t="n"/>
      <c r="F243" s="26" t="n"/>
      <c r="G243" s="25" t="n"/>
      <c r="H243" s="25" t="n"/>
      <c r="I243" s="26" t="n"/>
      <c r="J243" s="25" t="n"/>
      <c r="K243" s="26" t="n"/>
      <c r="L243" s="25" t="n"/>
      <c r="M243" s="25" t="n"/>
      <c r="N243" s="26" t="n"/>
      <c r="O243" s="25" t="n"/>
      <c r="P243" s="25" t="n"/>
      <c r="Q243" s="26" t="n"/>
      <c r="R243" s="25">
        <f>IF(AND($A243="",$B243=""),"",IF(Q243="Complete","Onboarded",IF(OR(M243="Member",M243="Ambassador"),"Sponsored",IF(K243&lt;&gt;"","Follow-Up",IF(I243&lt;&gt;"","Presented",IF(F243&lt;&gt;"","Contacted","New Lead"))))))</f>
        <v/>
      </c>
      <c r="S243" s="25" t="n"/>
      <c r="T243" s="25">
        <f>IF(MAX(F243,I243,K243)=0,"",TODAY()-MAX(F243,I243,K243))</f>
        <v/>
      </c>
      <c r="U243" s="25" t="n"/>
      <c r="V243" s="25" t="n"/>
      <c r="W243" s="25">
        <f>IF(AND($A243="",$B243=""),"",IF(M243="Ambassador","1 - Ambassador",IF(M243="Member","2 - Member",IF(J243="Completed","3 - Presented",IF(H243&lt;&gt;"","4 - Sent",IF(F243&lt;&gt;"","5 - Contacted","6 - No Activity"))))))</f>
        <v/>
      </c>
      <c r="X243" s="25">
        <f>IF(AND($A243="",$B243=""),9999999+(ROW()-4),VALUE(LEFT($W243,1))*10000+(ROW()-4))</f>
        <v/>
      </c>
    </row>
    <row r="244" ht="15" customHeight="1" s="20">
      <c r="A244" s="25" t="n"/>
      <c r="B244" s="25" t="n"/>
      <c r="C244" s="25" t="n"/>
      <c r="D244" s="25" t="n"/>
      <c r="E244" s="25" t="n"/>
      <c r="F244" s="26" t="n"/>
      <c r="G244" s="25" t="n"/>
      <c r="H244" s="25" t="n"/>
      <c r="I244" s="26" t="n"/>
      <c r="J244" s="25" t="n"/>
      <c r="K244" s="26" t="n"/>
      <c r="L244" s="25" t="n"/>
      <c r="M244" s="25" t="n"/>
      <c r="N244" s="26" t="n"/>
      <c r="O244" s="25" t="n"/>
      <c r="P244" s="25" t="n"/>
      <c r="Q244" s="26" t="n"/>
      <c r="R244" s="25">
        <f>IF(AND($A244="",$B244=""),"",IF(Q244="Complete","Onboarded",IF(OR(M244="Member",M244="Ambassador"),"Sponsored",IF(K244&lt;&gt;"","Follow-Up",IF(I244&lt;&gt;"","Presented",IF(F244&lt;&gt;"","Contacted","New Lead"))))))</f>
        <v/>
      </c>
      <c r="S244" s="25" t="n"/>
      <c r="T244" s="25">
        <f>IF(MAX(F244,I244,K244)=0,"",TODAY()-MAX(F244,I244,K244))</f>
        <v/>
      </c>
      <c r="U244" s="25" t="n"/>
      <c r="V244" s="25" t="n"/>
      <c r="W244" s="25">
        <f>IF(AND($A244="",$B244=""),"",IF(M244="Ambassador","1 - Ambassador",IF(M244="Member","2 - Member",IF(J244="Completed","3 - Presented",IF(H244&lt;&gt;"","4 - Sent",IF(F244&lt;&gt;"","5 - Contacted","6 - No Activity"))))))</f>
        <v/>
      </c>
      <c r="X244" s="25">
        <f>IF(AND($A244="",$B244=""),9999999+(ROW()-4),VALUE(LEFT($W244,1))*10000+(ROW()-4))</f>
        <v/>
      </c>
    </row>
    <row r="245" ht="15" customHeight="1" s="20">
      <c r="A245" s="25" t="n"/>
      <c r="B245" s="25" t="n"/>
      <c r="C245" s="25" t="n"/>
      <c r="D245" s="25" t="n"/>
      <c r="E245" s="25" t="n"/>
      <c r="F245" s="26" t="n"/>
      <c r="G245" s="25" t="n"/>
      <c r="H245" s="25" t="n"/>
      <c r="I245" s="26" t="n"/>
      <c r="J245" s="25" t="n"/>
      <c r="K245" s="26" t="n"/>
      <c r="L245" s="25" t="n"/>
      <c r="M245" s="25" t="n"/>
      <c r="N245" s="26" t="n"/>
      <c r="O245" s="25" t="n"/>
      <c r="P245" s="25" t="n"/>
      <c r="Q245" s="26" t="n"/>
      <c r="R245" s="25">
        <f>IF(AND($A245="",$B245=""),"",IF(Q245="Complete","Onboarded",IF(OR(M245="Member",M245="Ambassador"),"Sponsored",IF(K245&lt;&gt;"","Follow-Up",IF(I245&lt;&gt;"","Presented",IF(F245&lt;&gt;"","Contacted","New Lead"))))))</f>
        <v/>
      </c>
      <c r="S245" s="25" t="n"/>
      <c r="T245" s="25">
        <f>IF(MAX(F245,I245,K245)=0,"",TODAY()-MAX(F245,I245,K245))</f>
        <v/>
      </c>
      <c r="U245" s="25" t="n"/>
      <c r="V245" s="25" t="n"/>
      <c r="W245" s="25">
        <f>IF(AND($A245="",$B245=""),"",IF(M245="Ambassador","1 - Ambassador",IF(M245="Member","2 - Member",IF(J245="Completed","3 - Presented",IF(H245&lt;&gt;"","4 - Sent",IF(F245&lt;&gt;"","5 - Contacted","6 - No Activity"))))))</f>
        <v/>
      </c>
      <c r="X245" s="25">
        <f>IF(AND($A245="",$B245=""),9999999+(ROW()-4),VALUE(LEFT($W245,1))*10000+(ROW()-4))</f>
        <v/>
      </c>
    </row>
    <row r="246" ht="15" customHeight="1" s="20">
      <c r="A246" s="25" t="n"/>
      <c r="B246" s="25" t="n"/>
      <c r="C246" s="25" t="n"/>
      <c r="D246" s="25" t="n"/>
      <c r="E246" s="25" t="n"/>
      <c r="F246" s="26" t="n"/>
      <c r="G246" s="25" t="n"/>
      <c r="H246" s="25" t="n"/>
      <c r="I246" s="26" t="n"/>
      <c r="J246" s="25" t="n"/>
      <c r="K246" s="26" t="n"/>
      <c r="L246" s="25" t="n"/>
      <c r="M246" s="25" t="n"/>
      <c r="N246" s="26" t="n"/>
      <c r="O246" s="25" t="n"/>
      <c r="P246" s="25" t="n"/>
      <c r="Q246" s="26" t="n"/>
      <c r="R246" s="25">
        <f>IF(AND($A246="",$B246=""),"",IF(Q246="Complete","Onboarded",IF(OR(M246="Member",M246="Ambassador"),"Sponsored",IF(K246&lt;&gt;"","Follow-Up",IF(I246&lt;&gt;"","Presented",IF(F246&lt;&gt;"","Contacted","New Lead"))))))</f>
        <v/>
      </c>
      <c r="S246" s="25" t="n"/>
      <c r="T246" s="25">
        <f>IF(MAX(F246,I246,K246)=0,"",TODAY()-MAX(F246,I246,K246))</f>
        <v/>
      </c>
      <c r="U246" s="25" t="n"/>
      <c r="V246" s="25" t="n"/>
      <c r="W246" s="25">
        <f>IF(AND($A246="",$B246=""),"",IF(M246="Ambassador","1 - Ambassador",IF(M246="Member","2 - Member",IF(J246="Completed","3 - Presented",IF(H246&lt;&gt;"","4 - Sent",IF(F246&lt;&gt;"","5 - Contacted","6 - No Activity"))))))</f>
        <v/>
      </c>
      <c r="X246" s="25">
        <f>IF(AND($A246="",$B246=""),9999999+(ROW()-4),VALUE(LEFT($W246,1))*10000+(ROW()-4))</f>
        <v/>
      </c>
    </row>
    <row r="247" ht="15" customHeight="1" s="20">
      <c r="A247" s="25" t="n"/>
      <c r="B247" s="25" t="n"/>
      <c r="C247" s="25" t="n"/>
      <c r="D247" s="25" t="n"/>
      <c r="E247" s="25" t="n"/>
      <c r="F247" s="26" t="n"/>
      <c r="G247" s="25" t="n"/>
      <c r="H247" s="25" t="n"/>
      <c r="I247" s="26" t="n"/>
      <c r="J247" s="25" t="n"/>
      <c r="K247" s="26" t="n"/>
      <c r="L247" s="25" t="n"/>
      <c r="M247" s="25" t="n"/>
      <c r="N247" s="26" t="n"/>
      <c r="O247" s="25" t="n"/>
      <c r="P247" s="25" t="n"/>
      <c r="Q247" s="26" t="n"/>
      <c r="R247" s="25">
        <f>IF(AND($A247="",$B247=""),"",IF(Q247="Complete","Onboarded",IF(OR(M247="Member",M247="Ambassador"),"Sponsored",IF(K247&lt;&gt;"","Follow-Up",IF(I247&lt;&gt;"","Presented",IF(F247&lt;&gt;"","Contacted","New Lead"))))))</f>
        <v/>
      </c>
      <c r="S247" s="25" t="n"/>
      <c r="T247" s="25">
        <f>IF(MAX(F247,I247,K247)=0,"",TODAY()-MAX(F247,I247,K247))</f>
        <v/>
      </c>
      <c r="U247" s="25" t="n"/>
      <c r="V247" s="25" t="n"/>
      <c r="W247" s="25">
        <f>IF(AND($A247="",$B247=""),"",IF(M247="Ambassador","1 - Ambassador",IF(M247="Member","2 - Member",IF(J247="Completed","3 - Presented",IF(H247&lt;&gt;"","4 - Sent",IF(F247&lt;&gt;"","5 - Contacted","6 - No Activity"))))))</f>
        <v/>
      </c>
      <c r="X247" s="25">
        <f>IF(AND($A247="",$B247=""),9999999+(ROW()-4),VALUE(LEFT($W247,1))*10000+(ROW()-4))</f>
        <v/>
      </c>
    </row>
    <row r="248" ht="15" customHeight="1" s="20">
      <c r="A248" s="25" t="n"/>
      <c r="B248" s="25" t="n"/>
      <c r="C248" s="25" t="n"/>
      <c r="D248" s="25" t="n"/>
      <c r="E248" s="25" t="n"/>
      <c r="F248" s="26" t="n"/>
      <c r="G248" s="25" t="n"/>
      <c r="H248" s="25" t="n"/>
      <c r="I248" s="26" t="n"/>
      <c r="J248" s="25" t="n"/>
      <c r="K248" s="26" t="n"/>
      <c r="L248" s="25" t="n"/>
      <c r="M248" s="25" t="n"/>
      <c r="N248" s="26" t="n"/>
      <c r="O248" s="25" t="n"/>
      <c r="P248" s="25" t="n"/>
      <c r="Q248" s="26" t="n"/>
      <c r="R248" s="25">
        <f>IF(AND($A248="",$B248=""),"",IF(Q248="Complete","Onboarded",IF(OR(M248="Member",M248="Ambassador"),"Sponsored",IF(K248&lt;&gt;"","Follow-Up",IF(I248&lt;&gt;"","Presented",IF(F248&lt;&gt;"","Contacted","New Lead"))))))</f>
        <v/>
      </c>
      <c r="S248" s="25" t="n"/>
      <c r="T248" s="25">
        <f>IF(MAX(F248,I248,K248)=0,"",TODAY()-MAX(F248,I248,K248))</f>
        <v/>
      </c>
      <c r="U248" s="25" t="n"/>
      <c r="V248" s="25" t="n"/>
      <c r="W248" s="25">
        <f>IF(AND($A248="",$B248=""),"",IF(M248="Ambassador","1 - Ambassador",IF(M248="Member","2 - Member",IF(J248="Completed","3 - Presented",IF(H248&lt;&gt;"","4 - Sent",IF(F248&lt;&gt;"","5 - Contacted","6 - No Activity"))))))</f>
        <v/>
      </c>
      <c r="X248" s="25">
        <f>IF(AND($A248="",$B248=""),9999999+(ROW()-4),VALUE(LEFT($W248,1))*10000+(ROW()-4))</f>
        <v/>
      </c>
    </row>
    <row r="249" ht="15" customHeight="1" s="20">
      <c r="A249" s="25" t="n"/>
      <c r="B249" s="25" t="n"/>
      <c r="C249" s="25" t="n"/>
      <c r="D249" s="25" t="n"/>
      <c r="E249" s="25" t="n"/>
      <c r="F249" s="26" t="n"/>
      <c r="G249" s="25" t="n"/>
      <c r="H249" s="25" t="n"/>
      <c r="I249" s="26" t="n"/>
      <c r="J249" s="25" t="n"/>
      <c r="K249" s="26" t="n"/>
      <c r="L249" s="25" t="n"/>
      <c r="M249" s="25" t="n"/>
      <c r="N249" s="26" t="n"/>
      <c r="O249" s="25" t="n"/>
      <c r="P249" s="25" t="n"/>
      <c r="Q249" s="26" t="n"/>
      <c r="R249" s="25">
        <f>IF(AND($A249="",$B249=""),"",IF(Q249="Complete","Onboarded",IF(OR(M249="Member",M249="Ambassador"),"Sponsored",IF(K249&lt;&gt;"","Follow-Up",IF(I249&lt;&gt;"","Presented",IF(F249&lt;&gt;"","Contacted","New Lead"))))))</f>
        <v/>
      </c>
      <c r="S249" s="25" t="n"/>
      <c r="T249" s="25">
        <f>IF(MAX(F249,I249,K249)=0,"",TODAY()-MAX(F249,I249,K249))</f>
        <v/>
      </c>
      <c r="U249" s="25" t="n"/>
      <c r="V249" s="25" t="n"/>
      <c r="W249" s="25">
        <f>IF(AND($A249="",$B249=""),"",IF(M249="Ambassador","1 - Ambassador",IF(M249="Member","2 - Member",IF(J249="Completed","3 - Presented",IF(H249&lt;&gt;"","4 - Sent",IF(F249&lt;&gt;"","5 - Contacted","6 - No Activity"))))))</f>
        <v/>
      </c>
      <c r="X249" s="25">
        <f>IF(AND($A249="",$B249=""),9999999+(ROW()-4),VALUE(LEFT($W249,1))*10000+(ROW()-4))</f>
        <v/>
      </c>
    </row>
    <row r="250" ht="15" customHeight="1" s="20">
      <c r="A250" s="25" t="n"/>
      <c r="B250" s="25" t="n"/>
      <c r="C250" s="25" t="n"/>
      <c r="D250" s="25" t="n"/>
      <c r="E250" s="25" t="n"/>
      <c r="F250" s="26" t="n"/>
      <c r="G250" s="25" t="n"/>
      <c r="H250" s="25" t="n"/>
      <c r="I250" s="26" t="n"/>
      <c r="J250" s="25" t="n"/>
      <c r="K250" s="26" t="n"/>
      <c r="L250" s="25" t="n"/>
      <c r="M250" s="25" t="n"/>
      <c r="N250" s="26" t="n"/>
      <c r="O250" s="25" t="n"/>
      <c r="P250" s="25" t="n"/>
      <c r="Q250" s="26" t="n"/>
      <c r="R250" s="25">
        <f>IF(AND($A250="",$B250=""),"",IF(Q250="Complete","Onboarded",IF(OR(M250="Member",M250="Ambassador"),"Sponsored",IF(K250&lt;&gt;"","Follow-Up",IF(I250&lt;&gt;"","Presented",IF(F250&lt;&gt;"","Contacted","New Lead"))))))</f>
        <v/>
      </c>
      <c r="S250" s="25" t="n"/>
      <c r="T250" s="25">
        <f>IF(MAX(F250,I250,K250)=0,"",TODAY()-MAX(F250,I250,K250))</f>
        <v/>
      </c>
      <c r="U250" s="25" t="n"/>
      <c r="V250" s="25" t="n"/>
      <c r="W250" s="25">
        <f>IF(AND($A250="",$B250=""),"",IF(M250="Ambassador","1 - Ambassador",IF(M250="Member","2 - Member",IF(J250="Completed","3 - Presented",IF(H250&lt;&gt;"","4 - Sent",IF(F250&lt;&gt;"","5 - Contacted","6 - No Activity"))))))</f>
        <v/>
      </c>
      <c r="X250" s="25">
        <f>IF(AND($A250="",$B250=""),9999999+(ROW()-4),VALUE(LEFT($W250,1))*10000+(ROW()-4))</f>
        <v/>
      </c>
    </row>
    <row r="251" ht="15" customHeight="1" s="20">
      <c r="A251" s="25" t="n"/>
      <c r="B251" s="25" t="n"/>
      <c r="C251" s="25" t="n"/>
      <c r="D251" s="25" t="n"/>
      <c r="E251" s="25" t="n"/>
      <c r="F251" s="26" t="n"/>
      <c r="G251" s="25" t="n"/>
      <c r="H251" s="25" t="n"/>
      <c r="I251" s="26" t="n"/>
      <c r="J251" s="25" t="n"/>
      <c r="K251" s="26" t="n"/>
      <c r="L251" s="25" t="n"/>
      <c r="M251" s="25" t="n"/>
      <c r="N251" s="26" t="n"/>
      <c r="O251" s="25" t="n"/>
      <c r="P251" s="25" t="n"/>
      <c r="Q251" s="26" t="n"/>
      <c r="R251" s="25">
        <f>IF(AND($A251="",$B251=""),"",IF(Q251="Complete","Onboarded",IF(OR(M251="Member",M251="Ambassador"),"Sponsored",IF(K251&lt;&gt;"","Follow-Up",IF(I251&lt;&gt;"","Presented",IF(F251&lt;&gt;"","Contacted","New Lead"))))))</f>
        <v/>
      </c>
      <c r="S251" s="25" t="n"/>
      <c r="T251" s="25">
        <f>IF(MAX(F251,I251,K251)=0,"",TODAY()-MAX(F251,I251,K251))</f>
        <v/>
      </c>
      <c r="U251" s="25" t="n"/>
      <c r="V251" s="25" t="n"/>
      <c r="W251" s="25">
        <f>IF(AND($A251="",$B251=""),"",IF(M251="Ambassador","1 - Ambassador",IF(M251="Member","2 - Member",IF(J251="Completed","3 - Presented",IF(H251&lt;&gt;"","4 - Sent",IF(F251&lt;&gt;"","5 - Contacted","6 - No Activity"))))))</f>
        <v/>
      </c>
      <c r="X251" s="25">
        <f>IF(AND($A251="",$B251=""),9999999+(ROW()-4),VALUE(LEFT($W251,1))*10000+(ROW()-4))</f>
        <v/>
      </c>
    </row>
    <row r="252" ht="15" customHeight="1" s="20">
      <c r="A252" s="25" t="n"/>
      <c r="B252" s="25" t="n"/>
      <c r="C252" s="25" t="n"/>
      <c r="D252" s="25" t="n"/>
      <c r="E252" s="25" t="n"/>
      <c r="F252" s="26" t="n"/>
      <c r="G252" s="25" t="n"/>
      <c r="H252" s="25" t="n"/>
      <c r="I252" s="26" t="n"/>
      <c r="J252" s="25" t="n"/>
      <c r="K252" s="26" t="n"/>
      <c r="L252" s="25" t="n"/>
      <c r="M252" s="25" t="n"/>
      <c r="N252" s="26" t="n"/>
      <c r="O252" s="25" t="n"/>
      <c r="P252" s="25" t="n"/>
      <c r="Q252" s="26" t="n"/>
      <c r="R252" s="25">
        <f>IF(AND($A252="",$B252=""),"",IF(Q252="Complete","Onboarded",IF(OR(M252="Member",M252="Ambassador"),"Sponsored",IF(K252&lt;&gt;"","Follow-Up",IF(I252&lt;&gt;"","Presented",IF(F252&lt;&gt;"","Contacted","New Lead"))))))</f>
        <v/>
      </c>
      <c r="S252" s="25" t="n"/>
      <c r="T252" s="25">
        <f>IF(MAX(F252,I252,K252)=0,"",TODAY()-MAX(F252,I252,K252))</f>
        <v/>
      </c>
      <c r="U252" s="25" t="n"/>
      <c r="V252" s="25" t="n"/>
      <c r="W252" s="25">
        <f>IF(AND($A252="",$B252=""),"",IF(M252="Ambassador","1 - Ambassador",IF(M252="Member","2 - Member",IF(J252="Completed","3 - Presented",IF(H252&lt;&gt;"","4 - Sent",IF(F252&lt;&gt;"","5 - Contacted","6 - No Activity"))))))</f>
        <v/>
      </c>
      <c r="X252" s="25">
        <f>IF(AND($A252="",$B252=""),9999999+(ROW()-4),VALUE(LEFT($W252,1))*10000+(ROW()-4))</f>
        <v/>
      </c>
    </row>
    <row r="253" ht="15" customHeight="1" s="20">
      <c r="A253" s="25" t="n"/>
      <c r="B253" s="25" t="n"/>
      <c r="C253" s="25" t="n"/>
      <c r="D253" s="25" t="n"/>
      <c r="E253" s="25" t="n"/>
      <c r="F253" s="26" t="n"/>
      <c r="G253" s="25" t="n"/>
      <c r="H253" s="25" t="n"/>
      <c r="I253" s="26" t="n"/>
      <c r="J253" s="25" t="n"/>
      <c r="K253" s="26" t="n"/>
      <c r="L253" s="25" t="n"/>
      <c r="M253" s="25" t="n"/>
      <c r="N253" s="26" t="n"/>
      <c r="O253" s="25" t="n"/>
      <c r="P253" s="25" t="n"/>
      <c r="Q253" s="26" t="n"/>
      <c r="R253" s="25">
        <f>IF(AND($A253="",$B253=""),"",IF(Q253="Complete","Onboarded",IF(OR(M253="Member",M253="Ambassador"),"Sponsored",IF(K253&lt;&gt;"","Follow-Up",IF(I253&lt;&gt;"","Presented",IF(F253&lt;&gt;"","Contacted","New Lead"))))))</f>
        <v/>
      </c>
      <c r="S253" s="25" t="n"/>
      <c r="T253" s="25">
        <f>IF(MAX(F253,I253,K253)=0,"",TODAY()-MAX(F253,I253,K253))</f>
        <v/>
      </c>
      <c r="U253" s="25" t="n"/>
      <c r="V253" s="25" t="n"/>
      <c r="W253" s="25">
        <f>IF(AND($A253="",$B253=""),"",IF(M253="Ambassador","1 - Ambassador",IF(M253="Member","2 - Member",IF(J253="Completed","3 - Presented",IF(H253&lt;&gt;"","4 - Sent",IF(F253&lt;&gt;"","5 - Contacted","6 - No Activity"))))))</f>
        <v/>
      </c>
      <c r="X253" s="25">
        <f>IF(AND($A253="",$B253=""),9999999+(ROW()-4),VALUE(LEFT($W253,1))*10000+(ROW()-4))</f>
        <v/>
      </c>
    </row>
    <row r="254" ht="15" customHeight="1" s="20">
      <c r="A254" s="25" t="n"/>
      <c r="B254" s="25" t="n"/>
      <c r="C254" s="25" t="n"/>
      <c r="D254" s="25" t="n"/>
      <c r="E254" s="25" t="n"/>
      <c r="F254" s="26" t="n"/>
      <c r="G254" s="25" t="n"/>
      <c r="H254" s="25" t="n"/>
      <c r="I254" s="26" t="n"/>
      <c r="J254" s="25" t="n"/>
      <c r="K254" s="26" t="n"/>
      <c r="L254" s="25" t="n"/>
      <c r="M254" s="25" t="n"/>
      <c r="N254" s="26" t="n"/>
      <c r="O254" s="25" t="n"/>
      <c r="P254" s="25" t="n"/>
      <c r="Q254" s="26" t="n"/>
      <c r="R254" s="25">
        <f>IF(AND($A254="",$B254=""),"",IF(Q254="Complete","Onboarded",IF(OR(M254="Member",M254="Ambassador"),"Sponsored",IF(K254&lt;&gt;"","Follow-Up",IF(I254&lt;&gt;"","Presented",IF(F254&lt;&gt;"","Contacted","New Lead"))))))</f>
        <v/>
      </c>
      <c r="S254" s="25" t="n"/>
      <c r="T254" s="25">
        <f>IF(MAX(F254,I254,K254)=0,"",TODAY()-MAX(F254,I254,K254))</f>
        <v/>
      </c>
      <c r="U254" s="25" t="n"/>
      <c r="V254" s="25" t="n"/>
      <c r="W254" s="25">
        <f>IF(AND($A254="",$B254=""),"",IF(M254="Ambassador","1 - Ambassador",IF(M254="Member","2 - Member",IF(J254="Completed","3 - Presented",IF(H254&lt;&gt;"","4 - Sent",IF(F254&lt;&gt;"","5 - Contacted","6 - No Activity"))))))</f>
        <v/>
      </c>
      <c r="X254" s="25">
        <f>IF(AND($A254="",$B254=""),9999999+(ROW()-4),VALUE(LEFT($W254,1))*10000+(ROW()-4))</f>
        <v/>
      </c>
    </row>
    <row r="255" ht="15" customHeight="1" s="20">
      <c r="A255" s="25" t="n"/>
      <c r="B255" s="25" t="n"/>
      <c r="C255" s="25" t="n"/>
      <c r="D255" s="25" t="n"/>
      <c r="E255" s="25" t="n"/>
      <c r="F255" s="26" t="n"/>
      <c r="G255" s="25" t="n"/>
      <c r="H255" s="25" t="n"/>
      <c r="I255" s="26" t="n"/>
      <c r="J255" s="25" t="n"/>
      <c r="K255" s="26" t="n"/>
      <c r="L255" s="25" t="n"/>
      <c r="M255" s="25" t="n"/>
      <c r="N255" s="26" t="n"/>
      <c r="O255" s="25" t="n"/>
      <c r="P255" s="25" t="n"/>
      <c r="Q255" s="26" t="n"/>
      <c r="R255" s="25">
        <f>IF(AND($A255="",$B255=""),"",IF(Q255="Complete","Onboarded",IF(OR(M255="Member",M255="Ambassador"),"Sponsored",IF(K255&lt;&gt;"","Follow-Up",IF(I255&lt;&gt;"","Presented",IF(F255&lt;&gt;"","Contacted","New Lead"))))))</f>
        <v/>
      </c>
      <c r="S255" s="25" t="n"/>
      <c r="T255" s="25">
        <f>IF(MAX(F255,I255,K255)=0,"",TODAY()-MAX(F255,I255,K255))</f>
        <v/>
      </c>
      <c r="U255" s="25" t="n"/>
      <c r="V255" s="25" t="n"/>
      <c r="W255" s="25">
        <f>IF(AND($A255="",$B255=""),"",IF(M255="Ambassador","1 - Ambassador",IF(M255="Member","2 - Member",IF(J255="Completed","3 - Presented",IF(H255&lt;&gt;"","4 - Sent",IF(F255&lt;&gt;"","5 - Contacted","6 - No Activity"))))))</f>
        <v/>
      </c>
      <c r="X255" s="25">
        <f>IF(AND($A255="",$B255=""),9999999+(ROW()-4),VALUE(LEFT($W255,1))*10000+(ROW()-4))</f>
        <v/>
      </c>
    </row>
    <row r="256" ht="15" customHeight="1" s="20">
      <c r="A256" s="25" t="n"/>
      <c r="B256" s="25" t="n"/>
      <c r="C256" s="25" t="n"/>
      <c r="D256" s="25" t="n"/>
      <c r="E256" s="25" t="n"/>
      <c r="F256" s="26" t="n"/>
      <c r="G256" s="25" t="n"/>
      <c r="H256" s="25" t="n"/>
      <c r="I256" s="26" t="n"/>
      <c r="J256" s="25" t="n"/>
      <c r="K256" s="26" t="n"/>
      <c r="L256" s="25" t="n"/>
      <c r="M256" s="25" t="n"/>
      <c r="N256" s="26" t="n"/>
      <c r="O256" s="25" t="n"/>
      <c r="P256" s="25" t="n"/>
      <c r="Q256" s="26" t="n"/>
      <c r="R256" s="25">
        <f>IF(AND($A256="",$B256=""),"",IF(Q256="Complete","Onboarded",IF(OR(M256="Member",M256="Ambassador"),"Sponsored",IF(K256&lt;&gt;"","Follow-Up",IF(I256&lt;&gt;"","Presented",IF(F256&lt;&gt;"","Contacted","New Lead"))))))</f>
        <v/>
      </c>
      <c r="S256" s="25" t="n"/>
      <c r="T256" s="25">
        <f>IF(MAX(F256,I256,K256)=0,"",TODAY()-MAX(F256,I256,K256))</f>
        <v/>
      </c>
      <c r="U256" s="25" t="n"/>
      <c r="V256" s="25" t="n"/>
      <c r="W256" s="25">
        <f>IF(AND($A256="",$B256=""),"",IF(M256="Ambassador","1 - Ambassador",IF(M256="Member","2 - Member",IF(J256="Completed","3 - Presented",IF(H256&lt;&gt;"","4 - Sent",IF(F256&lt;&gt;"","5 - Contacted","6 - No Activity"))))))</f>
        <v/>
      </c>
      <c r="X256" s="25">
        <f>IF(AND($A256="",$B256=""),9999999+(ROW()-4),VALUE(LEFT($W256,1))*10000+(ROW()-4))</f>
        <v/>
      </c>
    </row>
    <row r="257" ht="15" customHeight="1" s="20">
      <c r="A257" s="25" t="n"/>
      <c r="B257" s="25" t="n"/>
      <c r="C257" s="25" t="n"/>
      <c r="D257" s="25" t="n"/>
      <c r="E257" s="25" t="n"/>
      <c r="F257" s="26" t="n"/>
      <c r="G257" s="25" t="n"/>
      <c r="H257" s="25" t="n"/>
      <c r="I257" s="26" t="n"/>
      <c r="J257" s="25" t="n"/>
      <c r="K257" s="26" t="n"/>
      <c r="L257" s="25" t="n"/>
      <c r="M257" s="25" t="n"/>
      <c r="N257" s="26" t="n"/>
      <c r="O257" s="25" t="n"/>
      <c r="P257" s="25" t="n"/>
      <c r="Q257" s="26" t="n"/>
      <c r="R257" s="25">
        <f>IF(AND($A257="",$B257=""),"",IF(Q257="Complete","Onboarded",IF(OR(M257="Member",M257="Ambassador"),"Sponsored",IF(K257&lt;&gt;"","Follow-Up",IF(I257&lt;&gt;"","Presented",IF(F257&lt;&gt;"","Contacted","New Lead"))))))</f>
        <v/>
      </c>
      <c r="S257" s="25" t="n"/>
      <c r="T257" s="25">
        <f>IF(MAX(F257,I257,K257)=0,"",TODAY()-MAX(F257,I257,K257))</f>
        <v/>
      </c>
      <c r="U257" s="25" t="n"/>
      <c r="V257" s="25" t="n"/>
      <c r="W257" s="25">
        <f>IF(AND($A257="",$B257=""),"",IF(M257="Ambassador","1 - Ambassador",IF(M257="Member","2 - Member",IF(J257="Completed","3 - Presented",IF(H257&lt;&gt;"","4 - Sent",IF(F257&lt;&gt;"","5 - Contacted","6 - No Activity"))))))</f>
        <v/>
      </c>
      <c r="X257" s="25">
        <f>IF(AND($A257="",$B257=""),9999999+(ROW()-4),VALUE(LEFT($W257,1))*10000+(ROW()-4))</f>
        <v/>
      </c>
    </row>
    <row r="258" ht="15" customHeight="1" s="20">
      <c r="A258" s="25" t="n"/>
      <c r="B258" s="25" t="n"/>
      <c r="C258" s="25" t="n"/>
      <c r="D258" s="25" t="n"/>
      <c r="E258" s="25" t="n"/>
      <c r="F258" s="26" t="n"/>
      <c r="G258" s="25" t="n"/>
      <c r="H258" s="25" t="n"/>
      <c r="I258" s="26" t="n"/>
      <c r="J258" s="25" t="n"/>
      <c r="K258" s="26" t="n"/>
      <c r="L258" s="25" t="n"/>
      <c r="M258" s="25" t="n"/>
      <c r="N258" s="26" t="n"/>
      <c r="O258" s="25" t="n"/>
      <c r="P258" s="25" t="n"/>
      <c r="Q258" s="26" t="n"/>
      <c r="R258" s="25">
        <f>IF(AND($A258="",$B258=""),"",IF(Q258="Complete","Onboarded",IF(OR(M258="Member",M258="Ambassador"),"Sponsored",IF(K258&lt;&gt;"","Follow-Up",IF(I258&lt;&gt;"","Presented",IF(F258&lt;&gt;"","Contacted","New Lead"))))))</f>
        <v/>
      </c>
      <c r="S258" s="25" t="n"/>
      <c r="T258" s="25">
        <f>IF(MAX(F258,I258,K258)=0,"",TODAY()-MAX(F258,I258,K258))</f>
        <v/>
      </c>
      <c r="U258" s="25" t="n"/>
      <c r="V258" s="25" t="n"/>
      <c r="W258" s="25">
        <f>IF(AND($A258="",$B258=""),"",IF(M258="Ambassador","1 - Ambassador",IF(M258="Member","2 - Member",IF(J258="Completed","3 - Presented",IF(H258&lt;&gt;"","4 - Sent",IF(F258&lt;&gt;"","5 - Contacted","6 - No Activity"))))))</f>
        <v/>
      </c>
      <c r="X258" s="25">
        <f>IF(AND($A258="",$B258=""),9999999+(ROW()-4),VALUE(LEFT($W258,1))*10000+(ROW()-4))</f>
        <v/>
      </c>
    </row>
    <row r="259" ht="15" customHeight="1" s="20">
      <c r="A259" s="25" t="n"/>
      <c r="B259" s="25" t="n"/>
      <c r="C259" s="25" t="n"/>
      <c r="D259" s="25" t="n"/>
      <c r="E259" s="25" t="n"/>
      <c r="F259" s="26" t="n"/>
      <c r="G259" s="25" t="n"/>
      <c r="H259" s="25" t="n"/>
      <c r="I259" s="26" t="n"/>
      <c r="J259" s="25" t="n"/>
      <c r="K259" s="26" t="n"/>
      <c r="L259" s="25" t="n"/>
      <c r="M259" s="25" t="n"/>
      <c r="N259" s="26" t="n"/>
      <c r="O259" s="25" t="n"/>
      <c r="P259" s="25" t="n"/>
      <c r="Q259" s="26" t="n"/>
      <c r="R259" s="25">
        <f>IF(AND($A259="",$B259=""),"",IF(Q259="Complete","Onboarded",IF(OR(M259="Member",M259="Ambassador"),"Sponsored",IF(K259&lt;&gt;"","Follow-Up",IF(I259&lt;&gt;"","Presented",IF(F259&lt;&gt;"","Contacted","New Lead"))))))</f>
        <v/>
      </c>
      <c r="S259" s="25" t="n"/>
      <c r="T259" s="25">
        <f>IF(MAX(F259,I259,K259)=0,"",TODAY()-MAX(F259,I259,K259))</f>
        <v/>
      </c>
      <c r="U259" s="25" t="n"/>
      <c r="V259" s="25" t="n"/>
      <c r="W259" s="25">
        <f>IF(AND($A259="",$B259=""),"",IF(M259="Ambassador","1 - Ambassador",IF(M259="Member","2 - Member",IF(J259="Completed","3 - Presented",IF(H259&lt;&gt;"","4 - Sent",IF(F259&lt;&gt;"","5 - Contacted","6 - No Activity"))))))</f>
        <v/>
      </c>
      <c r="X259" s="25">
        <f>IF(AND($A259="",$B259=""),9999999+(ROW()-4),VALUE(LEFT($W259,1))*10000+(ROW()-4))</f>
        <v/>
      </c>
    </row>
    <row r="260" ht="15" customHeight="1" s="20">
      <c r="A260" s="25" t="n"/>
      <c r="B260" s="25" t="n"/>
      <c r="C260" s="25" t="n"/>
      <c r="D260" s="25" t="n"/>
      <c r="E260" s="25" t="n"/>
      <c r="F260" s="26" t="n"/>
      <c r="G260" s="25" t="n"/>
      <c r="H260" s="25" t="n"/>
      <c r="I260" s="26" t="n"/>
      <c r="J260" s="25" t="n"/>
      <c r="K260" s="26" t="n"/>
      <c r="L260" s="25" t="n"/>
      <c r="M260" s="25" t="n"/>
      <c r="N260" s="26" t="n"/>
      <c r="O260" s="25" t="n"/>
      <c r="P260" s="25" t="n"/>
      <c r="Q260" s="26" t="n"/>
      <c r="R260" s="25">
        <f>IF(AND($A260="",$B260=""),"",IF(Q260="Complete","Onboarded",IF(OR(M260="Member",M260="Ambassador"),"Sponsored",IF(K260&lt;&gt;"","Follow-Up",IF(I260&lt;&gt;"","Presented",IF(F260&lt;&gt;"","Contacted","New Lead"))))))</f>
        <v/>
      </c>
      <c r="S260" s="25" t="n"/>
      <c r="T260" s="25">
        <f>IF(MAX(F260,I260,K260)=0,"",TODAY()-MAX(F260,I260,K260))</f>
        <v/>
      </c>
      <c r="U260" s="25" t="n"/>
      <c r="V260" s="25" t="n"/>
      <c r="W260" s="25">
        <f>IF(AND($A260="",$B260=""),"",IF(M260="Ambassador","1 - Ambassador",IF(M260="Member","2 - Member",IF(J260="Completed","3 - Presented",IF(H260&lt;&gt;"","4 - Sent",IF(F260&lt;&gt;"","5 - Contacted","6 - No Activity"))))))</f>
        <v/>
      </c>
      <c r="X260" s="25">
        <f>IF(AND($A260="",$B260=""),9999999+(ROW()-4),VALUE(LEFT($W260,1))*10000+(ROW()-4))</f>
        <v/>
      </c>
    </row>
    <row r="261" ht="15" customHeight="1" s="20">
      <c r="A261" s="25" t="n"/>
      <c r="B261" s="25" t="n"/>
      <c r="C261" s="25" t="n"/>
      <c r="D261" s="25" t="n"/>
      <c r="E261" s="25" t="n"/>
      <c r="F261" s="26" t="n"/>
      <c r="G261" s="25" t="n"/>
      <c r="H261" s="25" t="n"/>
      <c r="I261" s="26" t="n"/>
      <c r="J261" s="25" t="n"/>
      <c r="K261" s="26" t="n"/>
      <c r="L261" s="25" t="n"/>
      <c r="M261" s="25" t="n"/>
      <c r="N261" s="26" t="n"/>
      <c r="O261" s="25" t="n"/>
      <c r="P261" s="25" t="n"/>
      <c r="Q261" s="26" t="n"/>
      <c r="R261" s="25">
        <f>IF(AND($A261="",$B261=""),"",IF(Q261="Complete","Onboarded",IF(OR(M261="Member",M261="Ambassador"),"Sponsored",IF(K261&lt;&gt;"","Follow-Up",IF(I261&lt;&gt;"","Presented",IF(F261&lt;&gt;"","Contacted","New Lead"))))))</f>
        <v/>
      </c>
      <c r="S261" s="25" t="n"/>
      <c r="T261" s="25">
        <f>IF(MAX(F261,I261,K261)=0,"",TODAY()-MAX(F261,I261,K261))</f>
        <v/>
      </c>
      <c r="U261" s="25" t="n"/>
      <c r="V261" s="25" t="n"/>
      <c r="W261" s="25">
        <f>IF(AND($A261="",$B261=""),"",IF(M261="Ambassador","1 - Ambassador",IF(M261="Member","2 - Member",IF(J261="Completed","3 - Presented",IF(H261&lt;&gt;"","4 - Sent",IF(F261&lt;&gt;"","5 - Contacted","6 - No Activity"))))))</f>
        <v/>
      </c>
      <c r="X261" s="25">
        <f>IF(AND($A261="",$B261=""),9999999+(ROW()-4),VALUE(LEFT($W261,1))*10000+(ROW()-4))</f>
        <v/>
      </c>
    </row>
    <row r="262" ht="15" customHeight="1" s="20">
      <c r="A262" s="25" t="n"/>
      <c r="B262" s="25" t="n"/>
      <c r="C262" s="25" t="n"/>
      <c r="D262" s="25" t="n"/>
      <c r="E262" s="25" t="n"/>
      <c r="F262" s="26" t="n"/>
      <c r="G262" s="25" t="n"/>
      <c r="H262" s="25" t="n"/>
      <c r="I262" s="26" t="n"/>
      <c r="J262" s="25" t="n"/>
      <c r="K262" s="26" t="n"/>
      <c r="L262" s="25" t="n"/>
      <c r="M262" s="25" t="n"/>
      <c r="N262" s="26" t="n"/>
      <c r="O262" s="25" t="n"/>
      <c r="P262" s="25" t="n"/>
      <c r="Q262" s="26" t="n"/>
      <c r="R262" s="25">
        <f>IF(AND($A262="",$B262=""),"",IF(Q262="Complete","Onboarded",IF(OR(M262="Member",M262="Ambassador"),"Sponsored",IF(K262&lt;&gt;"","Follow-Up",IF(I262&lt;&gt;"","Presented",IF(F262&lt;&gt;"","Contacted","New Lead"))))))</f>
        <v/>
      </c>
      <c r="S262" s="25" t="n"/>
      <c r="T262" s="25">
        <f>IF(MAX(F262,I262,K262)=0,"",TODAY()-MAX(F262,I262,K262))</f>
        <v/>
      </c>
      <c r="U262" s="25" t="n"/>
      <c r="V262" s="25" t="n"/>
      <c r="W262" s="25">
        <f>IF(AND($A262="",$B262=""),"",IF(M262="Ambassador","1 - Ambassador",IF(M262="Member","2 - Member",IF(J262="Completed","3 - Presented",IF(H262&lt;&gt;"","4 - Sent",IF(F262&lt;&gt;"","5 - Contacted","6 - No Activity"))))))</f>
        <v/>
      </c>
      <c r="X262" s="25">
        <f>IF(AND($A262="",$B262=""),9999999+(ROW()-4),VALUE(LEFT($W262,1))*10000+(ROW()-4))</f>
        <v/>
      </c>
    </row>
    <row r="263" ht="15" customHeight="1" s="20">
      <c r="A263" s="25" t="n"/>
      <c r="B263" s="25" t="n"/>
      <c r="C263" s="25" t="n"/>
      <c r="D263" s="25" t="n"/>
      <c r="E263" s="25" t="n"/>
      <c r="F263" s="26" t="n"/>
      <c r="G263" s="25" t="n"/>
      <c r="H263" s="25" t="n"/>
      <c r="I263" s="26" t="n"/>
      <c r="J263" s="25" t="n"/>
      <c r="K263" s="26" t="n"/>
      <c r="L263" s="25" t="n"/>
      <c r="M263" s="25" t="n"/>
      <c r="N263" s="26" t="n"/>
      <c r="O263" s="25" t="n"/>
      <c r="P263" s="25" t="n"/>
      <c r="Q263" s="26" t="n"/>
      <c r="R263" s="25">
        <f>IF(AND($A263="",$B263=""),"",IF(Q263="Complete","Onboarded",IF(OR(M263="Member",M263="Ambassador"),"Sponsored",IF(K263&lt;&gt;"","Follow-Up",IF(I263&lt;&gt;"","Presented",IF(F263&lt;&gt;"","Contacted","New Lead"))))))</f>
        <v/>
      </c>
      <c r="S263" s="25" t="n"/>
      <c r="T263" s="25">
        <f>IF(MAX(F263,I263,K263)=0,"",TODAY()-MAX(F263,I263,K263))</f>
        <v/>
      </c>
      <c r="U263" s="25" t="n"/>
      <c r="V263" s="25" t="n"/>
      <c r="W263" s="25">
        <f>IF(AND($A263="",$B263=""),"",IF(M263="Ambassador","1 - Ambassador",IF(M263="Member","2 - Member",IF(J263="Completed","3 - Presented",IF(H263&lt;&gt;"","4 - Sent",IF(F263&lt;&gt;"","5 - Contacted","6 - No Activity"))))))</f>
        <v/>
      </c>
      <c r="X263" s="25">
        <f>IF(AND($A263="",$B263=""),9999999+(ROW()-4),VALUE(LEFT($W263,1))*10000+(ROW()-4))</f>
        <v/>
      </c>
    </row>
    <row r="264" ht="15" customHeight="1" s="20">
      <c r="A264" s="25" t="n"/>
      <c r="B264" s="25" t="n"/>
      <c r="C264" s="25" t="n"/>
      <c r="D264" s="25" t="n"/>
      <c r="E264" s="25" t="n"/>
      <c r="F264" s="26" t="n"/>
      <c r="G264" s="25" t="n"/>
      <c r="H264" s="25" t="n"/>
      <c r="I264" s="26" t="n"/>
      <c r="J264" s="25" t="n"/>
      <c r="K264" s="26" t="n"/>
      <c r="L264" s="25" t="n"/>
      <c r="M264" s="25" t="n"/>
      <c r="N264" s="26" t="n"/>
      <c r="O264" s="25" t="n"/>
      <c r="P264" s="25" t="n"/>
      <c r="Q264" s="26" t="n"/>
      <c r="R264" s="25">
        <f>IF(AND($A264="",$B264=""),"",IF(Q264="Complete","Onboarded",IF(OR(M264="Member",M264="Ambassador"),"Sponsored",IF(K264&lt;&gt;"","Follow-Up",IF(I264&lt;&gt;"","Presented",IF(F264&lt;&gt;"","Contacted","New Lead"))))))</f>
        <v/>
      </c>
      <c r="S264" s="25" t="n"/>
      <c r="T264" s="25">
        <f>IF(MAX(F264,I264,K264)=0,"",TODAY()-MAX(F264,I264,K264))</f>
        <v/>
      </c>
      <c r="U264" s="25" t="n"/>
      <c r="V264" s="25" t="n"/>
      <c r="W264" s="25">
        <f>IF(AND($A264="",$B264=""),"",IF(M264="Ambassador","1 - Ambassador",IF(M264="Member","2 - Member",IF(J264="Completed","3 - Presented",IF(H264&lt;&gt;"","4 - Sent",IF(F264&lt;&gt;"","5 - Contacted","6 - No Activity"))))))</f>
        <v/>
      </c>
      <c r="X264" s="25">
        <f>IF(AND($A264="",$B264=""),9999999+(ROW()-4),VALUE(LEFT($W264,1))*10000+(ROW()-4))</f>
        <v/>
      </c>
    </row>
    <row r="265" ht="15" customHeight="1" s="20">
      <c r="A265" s="25" t="n"/>
      <c r="B265" s="25" t="n"/>
      <c r="C265" s="25" t="n"/>
      <c r="D265" s="25" t="n"/>
      <c r="E265" s="25" t="n"/>
      <c r="F265" s="26" t="n"/>
      <c r="G265" s="25" t="n"/>
      <c r="H265" s="25" t="n"/>
      <c r="I265" s="26" t="n"/>
      <c r="J265" s="25" t="n"/>
      <c r="K265" s="26" t="n"/>
      <c r="L265" s="25" t="n"/>
      <c r="M265" s="25" t="n"/>
      <c r="N265" s="26" t="n"/>
      <c r="O265" s="25" t="n"/>
      <c r="P265" s="25" t="n"/>
      <c r="Q265" s="26" t="n"/>
      <c r="R265" s="25">
        <f>IF(AND($A265="",$B265=""),"",IF(Q265="Complete","Onboarded",IF(OR(M265="Member",M265="Ambassador"),"Sponsored",IF(K265&lt;&gt;"","Follow-Up",IF(I265&lt;&gt;"","Presented",IF(F265&lt;&gt;"","Contacted","New Lead"))))))</f>
        <v/>
      </c>
      <c r="S265" s="25" t="n"/>
      <c r="T265" s="25">
        <f>IF(MAX(F265,I265,K265)=0,"",TODAY()-MAX(F265,I265,K265))</f>
        <v/>
      </c>
      <c r="U265" s="25" t="n"/>
      <c r="V265" s="25" t="n"/>
      <c r="W265" s="25">
        <f>IF(AND($A265="",$B265=""),"",IF(M265="Ambassador","1 - Ambassador",IF(M265="Member","2 - Member",IF(J265="Completed","3 - Presented",IF(H265&lt;&gt;"","4 - Sent",IF(F265&lt;&gt;"","5 - Contacted","6 - No Activity"))))))</f>
        <v/>
      </c>
      <c r="X265" s="25">
        <f>IF(AND($A265="",$B265=""),9999999+(ROW()-4),VALUE(LEFT($W265,1))*10000+(ROW()-4))</f>
        <v/>
      </c>
    </row>
    <row r="266" ht="15" customHeight="1" s="20">
      <c r="A266" s="25" t="n"/>
      <c r="B266" s="25" t="n"/>
      <c r="C266" s="25" t="n"/>
      <c r="D266" s="25" t="n"/>
      <c r="E266" s="25" t="n"/>
      <c r="F266" s="26" t="n"/>
      <c r="G266" s="25" t="n"/>
      <c r="H266" s="25" t="n"/>
      <c r="I266" s="26" t="n"/>
      <c r="J266" s="25" t="n"/>
      <c r="K266" s="26" t="n"/>
      <c r="L266" s="25" t="n"/>
      <c r="M266" s="25" t="n"/>
      <c r="N266" s="26" t="n"/>
      <c r="O266" s="25" t="n"/>
      <c r="P266" s="25" t="n"/>
      <c r="Q266" s="26" t="n"/>
      <c r="R266" s="25">
        <f>IF(AND($A266="",$B266=""),"",IF(Q266="Complete","Onboarded",IF(OR(M266="Member",M266="Ambassador"),"Sponsored",IF(K266&lt;&gt;"","Follow-Up",IF(I266&lt;&gt;"","Presented",IF(F266&lt;&gt;"","Contacted","New Lead"))))))</f>
        <v/>
      </c>
      <c r="S266" s="25" t="n"/>
      <c r="T266" s="25">
        <f>IF(MAX(F266,I266,K266)=0,"",TODAY()-MAX(F266,I266,K266))</f>
        <v/>
      </c>
      <c r="U266" s="25" t="n"/>
      <c r="V266" s="25" t="n"/>
      <c r="W266" s="25">
        <f>IF(AND($A266="",$B266=""),"",IF(M266="Ambassador","1 - Ambassador",IF(M266="Member","2 - Member",IF(J266="Completed","3 - Presented",IF(H266&lt;&gt;"","4 - Sent",IF(F266&lt;&gt;"","5 - Contacted","6 - No Activity"))))))</f>
        <v/>
      </c>
      <c r="X266" s="25">
        <f>IF(AND($A266="",$B266=""),9999999+(ROW()-4),VALUE(LEFT($W266,1))*10000+(ROW()-4))</f>
        <v/>
      </c>
    </row>
    <row r="267" ht="15" customHeight="1" s="20">
      <c r="A267" s="25" t="n"/>
      <c r="B267" s="25" t="n"/>
      <c r="C267" s="25" t="n"/>
      <c r="D267" s="25" t="n"/>
      <c r="E267" s="25" t="n"/>
      <c r="F267" s="26" t="n"/>
      <c r="G267" s="25" t="n"/>
      <c r="H267" s="25" t="n"/>
      <c r="I267" s="26" t="n"/>
      <c r="J267" s="25" t="n"/>
      <c r="K267" s="26" t="n"/>
      <c r="L267" s="25" t="n"/>
      <c r="M267" s="25" t="n"/>
      <c r="N267" s="26" t="n"/>
      <c r="O267" s="25" t="n"/>
      <c r="P267" s="25" t="n"/>
      <c r="Q267" s="26" t="n"/>
      <c r="R267" s="25">
        <f>IF(AND($A267="",$B267=""),"",IF(Q267="Complete","Onboarded",IF(OR(M267="Member",M267="Ambassador"),"Sponsored",IF(K267&lt;&gt;"","Follow-Up",IF(I267&lt;&gt;"","Presented",IF(F267&lt;&gt;"","Contacted","New Lead"))))))</f>
        <v/>
      </c>
      <c r="S267" s="25" t="n"/>
      <c r="T267" s="25">
        <f>IF(MAX(F267,I267,K267)=0,"",TODAY()-MAX(F267,I267,K267))</f>
        <v/>
      </c>
      <c r="U267" s="25" t="n"/>
      <c r="V267" s="25" t="n"/>
      <c r="W267" s="25">
        <f>IF(AND($A267="",$B267=""),"",IF(M267="Ambassador","1 - Ambassador",IF(M267="Member","2 - Member",IF(J267="Completed","3 - Presented",IF(H267&lt;&gt;"","4 - Sent",IF(F267&lt;&gt;"","5 - Contacted","6 - No Activity"))))))</f>
        <v/>
      </c>
      <c r="X267" s="25">
        <f>IF(AND($A267="",$B267=""),9999999+(ROW()-4),VALUE(LEFT($W267,1))*10000+(ROW()-4))</f>
        <v/>
      </c>
    </row>
    <row r="268" ht="15" customHeight="1" s="20">
      <c r="A268" s="25" t="n"/>
      <c r="B268" s="25" t="n"/>
      <c r="C268" s="25" t="n"/>
      <c r="D268" s="25" t="n"/>
      <c r="E268" s="25" t="n"/>
      <c r="F268" s="26" t="n"/>
      <c r="G268" s="25" t="n"/>
      <c r="H268" s="25" t="n"/>
      <c r="I268" s="26" t="n"/>
      <c r="J268" s="25" t="n"/>
      <c r="K268" s="26" t="n"/>
      <c r="L268" s="25" t="n"/>
      <c r="M268" s="25" t="n"/>
      <c r="N268" s="26" t="n"/>
      <c r="O268" s="25" t="n"/>
      <c r="P268" s="25" t="n"/>
      <c r="Q268" s="26" t="n"/>
      <c r="R268" s="25">
        <f>IF(AND($A268="",$B268=""),"",IF(Q268="Complete","Onboarded",IF(OR(M268="Member",M268="Ambassador"),"Sponsored",IF(K268&lt;&gt;"","Follow-Up",IF(I268&lt;&gt;"","Presented",IF(F268&lt;&gt;"","Contacted","New Lead"))))))</f>
        <v/>
      </c>
      <c r="S268" s="25" t="n"/>
      <c r="T268" s="25">
        <f>IF(MAX(F268,I268,K268)=0,"",TODAY()-MAX(F268,I268,K268))</f>
        <v/>
      </c>
      <c r="U268" s="25" t="n"/>
      <c r="V268" s="25" t="n"/>
      <c r="W268" s="25">
        <f>IF(AND($A268="",$B268=""),"",IF(M268="Ambassador","1 - Ambassador",IF(M268="Member","2 - Member",IF(J268="Completed","3 - Presented",IF(H268&lt;&gt;"","4 - Sent",IF(F268&lt;&gt;"","5 - Contacted","6 - No Activity"))))))</f>
        <v/>
      </c>
      <c r="X268" s="25">
        <f>IF(AND($A268="",$B268=""),9999999+(ROW()-4),VALUE(LEFT($W268,1))*10000+(ROW()-4))</f>
        <v/>
      </c>
    </row>
    <row r="269" ht="15" customHeight="1" s="20">
      <c r="A269" s="25" t="n"/>
      <c r="B269" s="25" t="n"/>
      <c r="C269" s="25" t="n"/>
      <c r="D269" s="25" t="n"/>
      <c r="E269" s="25" t="n"/>
      <c r="F269" s="26" t="n"/>
      <c r="G269" s="25" t="n"/>
      <c r="H269" s="25" t="n"/>
      <c r="I269" s="26" t="n"/>
      <c r="J269" s="25" t="n"/>
      <c r="K269" s="26" t="n"/>
      <c r="L269" s="25" t="n"/>
      <c r="M269" s="25" t="n"/>
      <c r="N269" s="26" t="n"/>
      <c r="O269" s="25" t="n"/>
      <c r="P269" s="25" t="n"/>
      <c r="Q269" s="26" t="n"/>
      <c r="R269" s="25">
        <f>IF(AND($A269="",$B269=""),"",IF(Q269="Complete","Onboarded",IF(OR(M269="Member",M269="Ambassador"),"Sponsored",IF(K269&lt;&gt;"","Follow-Up",IF(I269&lt;&gt;"","Presented",IF(F269&lt;&gt;"","Contacted","New Lead"))))))</f>
        <v/>
      </c>
      <c r="S269" s="25" t="n"/>
      <c r="T269" s="25">
        <f>IF(MAX(F269,I269,K269)=0,"",TODAY()-MAX(F269,I269,K269))</f>
        <v/>
      </c>
      <c r="U269" s="25" t="n"/>
      <c r="V269" s="25" t="n"/>
      <c r="W269" s="25">
        <f>IF(AND($A269="",$B269=""),"",IF(M269="Ambassador","1 - Ambassador",IF(M269="Member","2 - Member",IF(J269="Completed","3 - Presented",IF(H269&lt;&gt;"","4 - Sent",IF(F269&lt;&gt;"","5 - Contacted","6 - No Activity"))))))</f>
        <v/>
      </c>
      <c r="X269" s="25">
        <f>IF(AND($A269="",$B269=""),9999999+(ROW()-4),VALUE(LEFT($W269,1))*10000+(ROW()-4))</f>
        <v/>
      </c>
    </row>
    <row r="270" ht="15" customHeight="1" s="20">
      <c r="A270" s="25" t="n"/>
      <c r="B270" s="25" t="n"/>
      <c r="C270" s="25" t="n"/>
      <c r="D270" s="25" t="n"/>
      <c r="E270" s="25" t="n"/>
      <c r="F270" s="26" t="n"/>
      <c r="G270" s="25" t="n"/>
      <c r="H270" s="25" t="n"/>
      <c r="I270" s="26" t="n"/>
      <c r="J270" s="25" t="n"/>
      <c r="K270" s="26" t="n"/>
      <c r="L270" s="25" t="n"/>
      <c r="M270" s="25" t="n"/>
      <c r="N270" s="26" t="n"/>
      <c r="O270" s="25" t="n"/>
      <c r="P270" s="25" t="n"/>
      <c r="Q270" s="26" t="n"/>
      <c r="R270" s="25">
        <f>IF(AND($A270="",$B270=""),"",IF(Q270="Complete","Onboarded",IF(OR(M270="Member",M270="Ambassador"),"Sponsored",IF(K270&lt;&gt;"","Follow-Up",IF(I270&lt;&gt;"","Presented",IF(F270&lt;&gt;"","Contacted","New Lead"))))))</f>
        <v/>
      </c>
      <c r="S270" s="25" t="n"/>
      <c r="T270" s="25">
        <f>IF(MAX(F270,I270,K270)=0,"",TODAY()-MAX(F270,I270,K270))</f>
        <v/>
      </c>
      <c r="U270" s="25" t="n"/>
      <c r="V270" s="25" t="n"/>
      <c r="W270" s="25">
        <f>IF(AND($A270="",$B270=""),"",IF(M270="Ambassador","1 - Ambassador",IF(M270="Member","2 - Member",IF(J270="Completed","3 - Presented",IF(H270&lt;&gt;"","4 - Sent",IF(F270&lt;&gt;"","5 - Contacted","6 - No Activity"))))))</f>
        <v/>
      </c>
      <c r="X270" s="25">
        <f>IF(AND($A270="",$B270=""),9999999+(ROW()-4),VALUE(LEFT($W270,1))*10000+(ROW()-4))</f>
        <v/>
      </c>
    </row>
    <row r="271" ht="15" customHeight="1" s="20">
      <c r="A271" s="25" t="n"/>
      <c r="B271" s="25" t="n"/>
      <c r="C271" s="25" t="n"/>
      <c r="D271" s="25" t="n"/>
      <c r="E271" s="25" t="n"/>
      <c r="F271" s="26" t="n"/>
      <c r="G271" s="25" t="n"/>
      <c r="H271" s="25" t="n"/>
      <c r="I271" s="26" t="n"/>
      <c r="J271" s="25" t="n"/>
      <c r="K271" s="26" t="n"/>
      <c r="L271" s="25" t="n"/>
      <c r="M271" s="25" t="n"/>
      <c r="N271" s="26" t="n"/>
      <c r="O271" s="25" t="n"/>
      <c r="P271" s="25" t="n"/>
      <c r="Q271" s="26" t="n"/>
      <c r="R271" s="25">
        <f>IF(AND($A271="",$B271=""),"",IF(Q271="Complete","Onboarded",IF(OR(M271="Member",M271="Ambassador"),"Sponsored",IF(K271&lt;&gt;"","Follow-Up",IF(I271&lt;&gt;"","Presented",IF(F271&lt;&gt;"","Contacted","New Lead"))))))</f>
        <v/>
      </c>
      <c r="S271" s="25" t="n"/>
      <c r="T271" s="25">
        <f>IF(MAX(F271,I271,K271)=0,"",TODAY()-MAX(F271,I271,K271))</f>
        <v/>
      </c>
      <c r="U271" s="25" t="n"/>
      <c r="V271" s="25" t="n"/>
      <c r="W271" s="25">
        <f>IF(AND($A271="",$B271=""),"",IF(M271="Ambassador","1 - Ambassador",IF(M271="Member","2 - Member",IF(J271="Completed","3 - Presented",IF(H271&lt;&gt;"","4 - Sent",IF(F271&lt;&gt;"","5 - Contacted","6 - No Activity"))))))</f>
        <v/>
      </c>
      <c r="X271" s="25">
        <f>IF(AND($A271="",$B271=""),9999999+(ROW()-4),VALUE(LEFT($W271,1))*10000+(ROW()-4))</f>
        <v/>
      </c>
    </row>
    <row r="272" ht="15" customHeight="1" s="20">
      <c r="A272" s="25" t="n"/>
      <c r="B272" s="25" t="n"/>
      <c r="C272" s="25" t="n"/>
      <c r="D272" s="25" t="n"/>
      <c r="E272" s="25" t="n"/>
      <c r="F272" s="26" t="n"/>
      <c r="G272" s="25" t="n"/>
      <c r="H272" s="25" t="n"/>
      <c r="I272" s="26" t="n"/>
      <c r="J272" s="25" t="n"/>
      <c r="K272" s="26" t="n"/>
      <c r="L272" s="25" t="n"/>
      <c r="M272" s="25" t="n"/>
      <c r="N272" s="26" t="n"/>
      <c r="O272" s="25" t="n"/>
      <c r="P272" s="25" t="n"/>
      <c r="Q272" s="26" t="n"/>
      <c r="R272" s="25">
        <f>IF(AND($A272="",$B272=""),"",IF(Q272="Complete","Onboarded",IF(OR(M272="Member",M272="Ambassador"),"Sponsored",IF(K272&lt;&gt;"","Follow-Up",IF(I272&lt;&gt;"","Presented",IF(F272&lt;&gt;"","Contacted","New Lead"))))))</f>
        <v/>
      </c>
      <c r="S272" s="25" t="n"/>
      <c r="T272" s="25">
        <f>IF(MAX(F272,I272,K272)=0,"",TODAY()-MAX(F272,I272,K272))</f>
        <v/>
      </c>
      <c r="U272" s="25" t="n"/>
      <c r="V272" s="25" t="n"/>
      <c r="W272" s="25">
        <f>IF(AND($A272="",$B272=""),"",IF(M272="Ambassador","1 - Ambassador",IF(M272="Member","2 - Member",IF(J272="Completed","3 - Presented",IF(H272&lt;&gt;"","4 - Sent",IF(F272&lt;&gt;"","5 - Contacted","6 - No Activity"))))))</f>
        <v/>
      </c>
      <c r="X272" s="25">
        <f>IF(AND($A272="",$B272=""),9999999+(ROW()-4),VALUE(LEFT($W272,1))*10000+(ROW()-4))</f>
        <v/>
      </c>
    </row>
    <row r="273" ht="15" customHeight="1" s="20">
      <c r="A273" s="25" t="n"/>
      <c r="B273" s="25" t="n"/>
      <c r="C273" s="25" t="n"/>
      <c r="D273" s="25" t="n"/>
      <c r="E273" s="25" t="n"/>
      <c r="F273" s="26" t="n"/>
      <c r="G273" s="25" t="n"/>
      <c r="H273" s="25" t="n"/>
      <c r="I273" s="26" t="n"/>
      <c r="J273" s="25" t="n"/>
      <c r="K273" s="26" t="n"/>
      <c r="L273" s="25" t="n"/>
      <c r="M273" s="25" t="n"/>
      <c r="N273" s="26" t="n"/>
      <c r="O273" s="25" t="n"/>
      <c r="P273" s="25" t="n"/>
      <c r="Q273" s="26" t="n"/>
      <c r="R273" s="25">
        <f>IF(AND($A273="",$B273=""),"",IF(Q273="Complete","Onboarded",IF(OR(M273="Member",M273="Ambassador"),"Sponsored",IF(K273&lt;&gt;"","Follow-Up",IF(I273&lt;&gt;"","Presented",IF(F273&lt;&gt;"","Contacted","New Lead"))))))</f>
        <v/>
      </c>
      <c r="S273" s="25" t="n"/>
      <c r="T273" s="25">
        <f>IF(MAX(F273,I273,K273)=0,"",TODAY()-MAX(F273,I273,K273))</f>
        <v/>
      </c>
      <c r="U273" s="25" t="n"/>
      <c r="V273" s="25" t="n"/>
      <c r="W273" s="25">
        <f>IF(AND($A273="",$B273=""),"",IF(M273="Ambassador","1 - Ambassador",IF(M273="Member","2 - Member",IF(J273="Completed","3 - Presented",IF(H273&lt;&gt;"","4 - Sent",IF(F273&lt;&gt;"","5 - Contacted","6 - No Activity"))))))</f>
        <v/>
      </c>
      <c r="X273" s="25">
        <f>IF(AND($A273="",$B273=""),9999999+(ROW()-4),VALUE(LEFT($W273,1))*10000+(ROW()-4))</f>
        <v/>
      </c>
    </row>
    <row r="274" ht="15" customHeight="1" s="20">
      <c r="A274" s="25" t="n"/>
      <c r="B274" s="25" t="n"/>
      <c r="C274" s="25" t="n"/>
      <c r="D274" s="25" t="n"/>
      <c r="E274" s="25" t="n"/>
      <c r="F274" s="26" t="n"/>
      <c r="G274" s="25" t="n"/>
      <c r="H274" s="25" t="n"/>
      <c r="I274" s="26" t="n"/>
      <c r="J274" s="25" t="n"/>
      <c r="K274" s="26" t="n"/>
      <c r="L274" s="25" t="n"/>
      <c r="M274" s="25" t="n"/>
      <c r="N274" s="26" t="n"/>
      <c r="O274" s="25" t="n"/>
      <c r="P274" s="25" t="n"/>
      <c r="Q274" s="26" t="n"/>
      <c r="R274" s="25">
        <f>IF(AND($A274="",$B274=""),"",IF(Q274="Complete","Onboarded",IF(OR(M274="Member",M274="Ambassador"),"Sponsored",IF(K274&lt;&gt;"","Follow-Up",IF(I274&lt;&gt;"","Presented",IF(F274&lt;&gt;"","Contacted","New Lead"))))))</f>
        <v/>
      </c>
      <c r="S274" s="25" t="n"/>
      <c r="T274" s="25">
        <f>IF(MAX(F274,I274,K274)=0,"",TODAY()-MAX(F274,I274,K274))</f>
        <v/>
      </c>
      <c r="U274" s="25" t="n"/>
      <c r="V274" s="25" t="n"/>
      <c r="W274" s="25">
        <f>IF(AND($A274="",$B274=""),"",IF(M274="Ambassador","1 - Ambassador",IF(M274="Member","2 - Member",IF(J274="Completed","3 - Presented",IF(H274&lt;&gt;"","4 - Sent",IF(F274&lt;&gt;"","5 - Contacted","6 - No Activity"))))))</f>
        <v/>
      </c>
      <c r="X274" s="25">
        <f>IF(AND($A274="",$B274=""),9999999+(ROW()-4),VALUE(LEFT($W274,1))*10000+(ROW()-4))</f>
        <v/>
      </c>
    </row>
    <row r="275" ht="15" customHeight="1" s="20">
      <c r="A275" s="25" t="n"/>
      <c r="B275" s="25" t="n"/>
      <c r="C275" s="25" t="n"/>
      <c r="D275" s="25" t="n"/>
      <c r="E275" s="25" t="n"/>
      <c r="F275" s="26" t="n"/>
      <c r="G275" s="25" t="n"/>
      <c r="H275" s="25" t="n"/>
      <c r="I275" s="26" t="n"/>
      <c r="J275" s="25" t="n"/>
      <c r="K275" s="26" t="n"/>
      <c r="L275" s="25" t="n"/>
      <c r="M275" s="25" t="n"/>
      <c r="N275" s="26" t="n"/>
      <c r="O275" s="25" t="n"/>
      <c r="P275" s="25" t="n"/>
      <c r="Q275" s="26" t="n"/>
      <c r="R275" s="25">
        <f>IF(AND($A275="",$B275=""),"",IF(Q275="Complete","Onboarded",IF(OR(M275="Member",M275="Ambassador"),"Sponsored",IF(K275&lt;&gt;"","Follow-Up",IF(I275&lt;&gt;"","Presented",IF(F275&lt;&gt;"","Contacted","New Lead"))))))</f>
        <v/>
      </c>
      <c r="S275" s="25" t="n"/>
      <c r="T275" s="25">
        <f>IF(MAX(F275,I275,K275)=0,"",TODAY()-MAX(F275,I275,K275))</f>
        <v/>
      </c>
      <c r="U275" s="25" t="n"/>
      <c r="V275" s="25" t="n"/>
      <c r="W275" s="25">
        <f>IF(AND($A275="",$B275=""),"",IF(M275="Ambassador","1 - Ambassador",IF(M275="Member","2 - Member",IF(J275="Completed","3 - Presented",IF(H275&lt;&gt;"","4 - Sent",IF(F275&lt;&gt;"","5 - Contacted","6 - No Activity"))))))</f>
        <v/>
      </c>
      <c r="X275" s="25">
        <f>IF(AND($A275="",$B275=""),9999999+(ROW()-4),VALUE(LEFT($W275,1))*10000+(ROW()-4))</f>
        <v/>
      </c>
    </row>
    <row r="276" ht="15" customHeight="1" s="20">
      <c r="A276" s="25" t="n"/>
      <c r="B276" s="25" t="n"/>
      <c r="C276" s="25" t="n"/>
      <c r="D276" s="25" t="n"/>
      <c r="E276" s="25" t="n"/>
      <c r="F276" s="26" t="n"/>
      <c r="G276" s="25" t="n"/>
      <c r="H276" s="25" t="n"/>
      <c r="I276" s="26" t="n"/>
      <c r="J276" s="25" t="n"/>
      <c r="K276" s="26" t="n"/>
      <c r="L276" s="25" t="n"/>
      <c r="M276" s="25" t="n"/>
      <c r="N276" s="26" t="n"/>
      <c r="O276" s="25" t="n"/>
      <c r="P276" s="25" t="n"/>
      <c r="Q276" s="26" t="n"/>
      <c r="R276" s="25">
        <f>IF(AND($A276="",$B276=""),"",IF(Q276="Complete","Onboarded",IF(OR(M276="Member",M276="Ambassador"),"Sponsored",IF(K276&lt;&gt;"","Follow-Up",IF(I276&lt;&gt;"","Presented",IF(F276&lt;&gt;"","Contacted","New Lead"))))))</f>
        <v/>
      </c>
      <c r="S276" s="25" t="n"/>
      <c r="T276" s="25">
        <f>IF(MAX(F276,I276,K276)=0,"",TODAY()-MAX(F276,I276,K276))</f>
        <v/>
      </c>
      <c r="U276" s="25" t="n"/>
      <c r="V276" s="25" t="n"/>
      <c r="W276" s="25">
        <f>IF(AND($A276="",$B276=""),"",IF(M276="Ambassador","1 - Ambassador",IF(M276="Member","2 - Member",IF(J276="Completed","3 - Presented",IF(H276&lt;&gt;"","4 - Sent",IF(F276&lt;&gt;"","5 - Contacted","6 - No Activity"))))))</f>
        <v/>
      </c>
      <c r="X276" s="25">
        <f>IF(AND($A276="",$B276=""),9999999+(ROW()-4),VALUE(LEFT($W276,1))*10000+(ROW()-4))</f>
        <v/>
      </c>
    </row>
    <row r="277" ht="15" customHeight="1" s="20">
      <c r="A277" s="25" t="n"/>
      <c r="B277" s="25" t="n"/>
      <c r="C277" s="25" t="n"/>
      <c r="D277" s="25" t="n"/>
      <c r="E277" s="25" t="n"/>
      <c r="F277" s="26" t="n"/>
      <c r="G277" s="25" t="n"/>
      <c r="H277" s="25" t="n"/>
      <c r="I277" s="26" t="n"/>
      <c r="J277" s="25" t="n"/>
      <c r="K277" s="26" t="n"/>
      <c r="L277" s="25" t="n"/>
      <c r="M277" s="25" t="n"/>
      <c r="N277" s="26" t="n"/>
      <c r="O277" s="25" t="n"/>
      <c r="P277" s="25" t="n"/>
      <c r="Q277" s="26" t="n"/>
      <c r="R277" s="25">
        <f>IF(AND($A277="",$B277=""),"",IF(Q277="Complete","Onboarded",IF(OR(M277="Member",M277="Ambassador"),"Sponsored",IF(K277&lt;&gt;"","Follow-Up",IF(I277&lt;&gt;"","Presented",IF(F277&lt;&gt;"","Contacted","New Lead"))))))</f>
        <v/>
      </c>
      <c r="S277" s="25" t="n"/>
      <c r="T277" s="25">
        <f>IF(MAX(F277,I277,K277)=0,"",TODAY()-MAX(F277,I277,K277))</f>
        <v/>
      </c>
      <c r="U277" s="25" t="n"/>
      <c r="V277" s="25" t="n"/>
      <c r="W277" s="25">
        <f>IF(AND($A277="",$B277=""),"",IF(M277="Ambassador","1 - Ambassador",IF(M277="Member","2 - Member",IF(J277="Completed","3 - Presented",IF(H277&lt;&gt;"","4 - Sent",IF(F277&lt;&gt;"","5 - Contacted","6 - No Activity"))))))</f>
        <v/>
      </c>
      <c r="X277" s="25">
        <f>IF(AND($A277="",$B277=""),9999999+(ROW()-4),VALUE(LEFT($W277,1))*10000+(ROW()-4))</f>
        <v/>
      </c>
    </row>
    <row r="278" ht="15" customHeight="1" s="20">
      <c r="A278" s="25" t="n"/>
      <c r="B278" s="25" t="n"/>
      <c r="C278" s="25" t="n"/>
      <c r="D278" s="25" t="n"/>
      <c r="E278" s="25" t="n"/>
      <c r="F278" s="26" t="n"/>
      <c r="G278" s="25" t="n"/>
      <c r="H278" s="25" t="n"/>
      <c r="I278" s="26" t="n"/>
      <c r="J278" s="25" t="n"/>
      <c r="K278" s="26" t="n"/>
      <c r="L278" s="25" t="n"/>
      <c r="M278" s="25" t="n"/>
      <c r="N278" s="26" t="n"/>
      <c r="O278" s="25" t="n"/>
      <c r="P278" s="25" t="n"/>
      <c r="Q278" s="26" t="n"/>
      <c r="R278" s="25">
        <f>IF(AND($A278="",$B278=""),"",IF(Q278="Complete","Onboarded",IF(OR(M278="Member",M278="Ambassador"),"Sponsored",IF(K278&lt;&gt;"","Follow-Up",IF(I278&lt;&gt;"","Presented",IF(F278&lt;&gt;"","Contacted","New Lead"))))))</f>
        <v/>
      </c>
      <c r="S278" s="25" t="n"/>
      <c r="T278" s="25">
        <f>IF(MAX(F278,I278,K278)=0,"",TODAY()-MAX(F278,I278,K278))</f>
        <v/>
      </c>
      <c r="U278" s="25" t="n"/>
      <c r="V278" s="25" t="n"/>
      <c r="W278" s="25">
        <f>IF(AND($A278="",$B278=""),"",IF(M278="Ambassador","1 - Ambassador",IF(M278="Member","2 - Member",IF(J278="Completed","3 - Presented",IF(H278&lt;&gt;"","4 - Sent",IF(F278&lt;&gt;"","5 - Contacted","6 - No Activity"))))))</f>
        <v/>
      </c>
      <c r="X278" s="25">
        <f>IF(AND($A278="",$B278=""),9999999+(ROW()-4),VALUE(LEFT($W278,1))*10000+(ROW()-4))</f>
        <v/>
      </c>
    </row>
    <row r="279" ht="15" customHeight="1" s="20">
      <c r="A279" s="25" t="n"/>
      <c r="B279" s="25" t="n"/>
      <c r="C279" s="25" t="n"/>
      <c r="D279" s="25" t="n"/>
      <c r="E279" s="25" t="n"/>
      <c r="F279" s="26" t="n"/>
      <c r="G279" s="25" t="n"/>
      <c r="H279" s="25" t="n"/>
      <c r="I279" s="26" t="n"/>
      <c r="J279" s="25" t="n"/>
      <c r="K279" s="26" t="n"/>
      <c r="L279" s="25" t="n"/>
      <c r="M279" s="25" t="n"/>
      <c r="N279" s="26" t="n"/>
      <c r="O279" s="25" t="n"/>
      <c r="P279" s="25" t="n"/>
      <c r="Q279" s="26" t="n"/>
      <c r="R279" s="25">
        <f>IF(AND($A279="",$B279=""),"",IF(Q279="Complete","Onboarded",IF(OR(M279="Member",M279="Ambassador"),"Sponsored",IF(K279&lt;&gt;"","Follow-Up",IF(I279&lt;&gt;"","Presented",IF(F279&lt;&gt;"","Contacted","New Lead"))))))</f>
        <v/>
      </c>
      <c r="S279" s="25" t="n"/>
      <c r="T279" s="25">
        <f>IF(MAX(F279,I279,K279)=0,"",TODAY()-MAX(F279,I279,K279))</f>
        <v/>
      </c>
      <c r="U279" s="25" t="n"/>
      <c r="V279" s="25" t="n"/>
      <c r="W279" s="25">
        <f>IF(AND($A279="",$B279=""),"",IF(M279="Ambassador","1 - Ambassador",IF(M279="Member","2 - Member",IF(J279="Completed","3 - Presented",IF(H279&lt;&gt;"","4 - Sent",IF(F279&lt;&gt;"","5 - Contacted","6 - No Activity"))))))</f>
        <v/>
      </c>
      <c r="X279" s="25">
        <f>IF(AND($A279="",$B279=""),9999999+(ROW()-4),VALUE(LEFT($W279,1))*10000+(ROW()-4))</f>
        <v/>
      </c>
    </row>
    <row r="280" ht="15" customHeight="1" s="20">
      <c r="A280" s="25" t="n"/>
      <c r="B280" s="25" t="n"/>
      <c r="C280" s="25" t="n"/>
      <c r="D280" s="25" t="n"/>
      <c r="E280" s="25" t="n"/>
      <c r="F280" s="26" t="n"/>
      <c r="G280" s="25" t="n"/>
      <c r="H280" s="25" t="n"/>
      <c r="I280" s="26" t="n"/>
      <c r="J280" s="25" t="n"/>
      <c r="K280" s="26" t="n"/>
      <c r="L280" s="25" t="n"/>
      <c r="M280" s="25" t="n"/>
      <c r="N280" s="26" t="n"/>
      <c r="O280" s="25" t="n"/>
      <c r="P280" s="25" t="n"/>
      <c r="Q280" s="26" t="n"/>
      <c r="R280" s="25">
        <f>IF(AND($A280="",$B280=""),"",IF(Q280="Complete","Onboarded",IF(OR(M280="Member",M280="Ambassador"),"Sponsored",IF(K280&lt;&gt;"","Follow-Up",IF(I280&lt;&gt;"","Presented",IF(F280&lt;&gt;"","Contacted","New Lead"))))))</f>
        <v/>
      </c>
      <c r="S280" s="25" t="n"/>
      <c r="T280" s="25">
        <f>IF(MAX(F280,I280,K280)=0,"",TODAY()-MAX(F280,I280,K280))</f>
        <v/>
      </c>
      <c r="U280" s="25" t="n"/>
      <c r="V280" s="25" t="n"/>
      <c r="W280" s="25">
        <f>IF(AND($A280="",$B280=""),"",IF(M280="Ambassador","1 - Ambassador",IF(M280="Member","2 - Member",IF(J280="Completed","3 - Presented",IF(H280&lt;&gt;"","4 - Sent",IF(F280&lt;&gt;"","5 - Contacted","6 - No Activity"))))))</f>
        <v/>
      </c>
      <c r="X280" s="25">
        <f>IF(AND($A280="",$B280=""),9999999+(ROW()-4),VALUE(LEFT($W280,1))*10000+(ROW()-4))</f>
        <v/>
      </c>
    </row>
    <row r="281" ht="15" customHeight="1" s="20">
      <c r="A281" s="25" t="n"/>
      <c r="B281" s="25" t="n"/>
      <c r="C281" s="25" t="n"/>
      <c r="D281" s="25" t="n"/>
      <c r="E281" s="25" t="n"/>
      <c r="F281" s="26" t="n"/>
      <c r="G281" s="25" t="n"/>
      <c r="H281" s="25" t="n"/>
      <c r="I281" s="26" t="n"/>
      <c r="J281" s="25" t="n"/>
      <c r="K281" s="26" t="n"/>
      <c r="L281" s="25" t="n"/>
      <c r="M281" s="25" t="n"/>
      <c r="N281" s="26" t="n"/>
      <c r="O281" s="25" t="n"/>
      <c r="P281" s="25" t="n"/>
      <c r="Q281" s="26" t="n"/>
      <c r="R281" s="25">
        <f>IF(AND($A281="",$B281=""),"",IF(Q281="Complete","Onboarded",IF(OR(M281="Member",M281="Ambassador"),"Sponsored",IF(K281&lt;&gt;"","Follow-Up",IF(I281&lt;&gt;"","Presented",IF(F281&lt;&gt;"","Contacted","New Lead"))))))</f>
        <v/>
      </c>
      <c r="S281" s="25" t="n"/>
      <c r="T281" s="25">
        <f>IF(MAX(F281,I281,K281)=0,"",TODAY()-MAX(F281,I281,K281))</f>
        <v/>
      </c>
      <c r="U281" s="25" t="n"/>
      <c r="V281" s="25" t="n"/>
      <c r="W281" s="25">
        <f>IF(AND($A281="",$B281=""),"",IF(M281="Ambassador","1 - Ambassador",IF(M281="Member","2 - Member",IF(J281="Completed","3 - Presented",IF(H281&lt;&gt;"","4 - Sent",IF(F281&lt;&gt;"","5 - Contacted","6 - No Activity"))))))</f>
        <v/>
      </c>
      <c r="X281" s="25">
        <f>IF(AND($A281="",$B281=""),9999999+(ROW()-4),VALUE(LEFT($W281,1))*10000+(ROW()-4))</f>
        <v/>
      </c>
    </row>
    <row r="282" ht="15" customHeight="1" s="20">
      <c r="A282" s="25" t="n"/>
      <c r="B282" s="25" t="n"/>
      <c r="C282" s="25" t="n"/>
      <c r="D282" s="25" t="n"/>
      <c r="E282" s="25" t="n"/>
      <c r="F282" s="26" t="n"/>
      <c r="G282" s="25" t="n"/>
      <c r="H282" s="25" t="n"/>
      <c r="I282" s="26" t="n"/>
      <c r="J282" s="25" t="n"/>
      <c r="K282" s="26" t="n"/>
      <c r="L282" s="25" t="n"/>
      <c r="M282" s="25" t="n"/>
      <c r="N282" s="26" t="n"/>
      <c r="O282" s="25" t="n"/>
      <c r="P282" s="25" t="n"/>
      <c r="Q282" s="26" t="n"/>
      <c r="R282" s="25">
        <f>IF(AND($A282="",$B282=""),"",IF(Q282="Complete","Onboarded",IF(OR(M282="Member",M282="Ambassador"),"Sponsored",IF(K282&lt;&gt;"","Follow-Up",IF(I282&lt;&gt;"","Presented",IF(F282&lt;&gt;"","Contacted","New Lead"))))))</f>
        <v/>
      </c>
      <c r="S282" s="25" t="n"/>
      <c r="T282" s="25">
        <f>IF(MAX(F282,I282,K282)=0,"",TODAY()-MAX(F282,I282,K282))</f>
        <v/>
      </c>
      <c r="U282" s="25" t="n"/>
      <c r="V282" s="25" t="n"/>
      <c r="W282" s="25">
        <f>IF(AND($A282="",$B282=""),"",IF(M282="Ambassador","1 - Ambassador",IF(M282="Member","2 - Member",IF(J282="Completed","3 - Presented",IF(H282&lt;&gt;"","4 - Sent",IF(F282&lt;&gt;"","5 - Contacted","6 - No Activity"))))))</f>
        <v/>
      </c>
      <c r="X282" s="25">
        <f>IF(AND($A282="",$B282=""),9999999+(ROW()-4),VALUE(LEFT($W282,1))*10000+(ROW()-4))</f>
        <v/>
      </c>
    </row>
    <row r="283" ht="15" customHeight="1" s="20">
      <c r="A283" s="25" t="n"/>
      <c r="B283" s="25" t="n"/>
      <c r="C283" s="25" t="n"/>
      <c r="D283" s="25" t="n"/>
      <c r="E283" s="25" t="n"/>
      <c r="F283" s="26" t="n"/>
      <c r="G283" s="25" t="n"/>
      <c r="H283" s="25" t="n"/>
      <c r="I283" s="26" t="n"/>
      <c r="J283" s="25" t="n"/>
      <c r="K283" s="26" t="n"/>
      <c r="L283" s="25" t="n"/>
      <c r="M283" s="25" t="n"/>
      <c r="N283" s="26" t="n"/>
      <c r="O283" s="25" t="n"/>
      <c r="P283" s="25" t="n"/>
      <c r="Q283" s="26" t="n"/>
      <c r="R283" s="25">
        <f>IF(AND($A283="",$B283=""),"",IF(Q283="Complete","Onboarded",IF(OR(M283="Member",M283="Ambassador"),"Sponsored",IF(K283&lt;&gt;"","Follow-Up",IF(I283&lt;&gt;"","Presented",IF(F283&lt;&gt;"","Contacted","New Lead"))))))</f>
        <v/>
      </c>
      <c r="S283" s="25" t="n"/>
      <c r="T283" s="25">
        <f>IF(MAX(F283,I283,K283)=0,"",TODAY()-MAX(F283,I283,K283))</f>
        <v/>
      </c>
      <c r="U283" s="25" t="n"/>
      <c r="V283" s="25" t="n"/>
      <c r="W283" s="25">
        <f>IF(AND($A283="",$B283=""),"",IF(M283="Ambassador","1 - Ambassador",IF(M283="Member","2 - Member",IF(J283="Completed","3 - Presented",IF(H283&lt;&gt;"","4 - Sent",IF(F283&lt;&gt;"","5 - Contacted","6 - No Activity"))))))</f>
        <v/>
      </c>
      <c r="X283" s="25">
        <f>IF(AND($A283="",$B283=""),9999999+(ROW()-4),VALUE(LEFT($W283,1))*10000+(ROW()-4))</f>
        <v/>
      </c>
    </row>
    <row r="284" ht="15" customHeight="1" s="20">
      <c r="A284" s="25" t="n"/>
      <c r="B284" s="25" t="n"/>
      <c r="C284" s="25" t="n"/>
      <c r="D284" s="25" t="n"/>
      <c r="E284" s="25" t="n"/>
      <c r="F284" s="26" t="n"/>
      <c r="G284" s="25" t="n"/>
      <c r="H284" s="25" t="n"/>
      <c r="I284" s="26" t="n"/>
      <c r="J284" s="25" t="n"/>
      <c r="K284" s="26" t="n"/>
      <c r="L284" s="25" t="n"/>
      <c r="M284" s="25" t="n"/>
      <c r="N284" s="26" t="n"/>
      <c r="O284" s="25" t="n"/>
      <c r="P284" s="25" t="n"/>
      <c r="Q284" s="26" t="n"/>
      <c r="R284" s="25">
        <f>IF(AND($A284="",$B284=""),"",IF(Q284="Complete","Onboarded",IF(OR(M284="Member",M284="Ambassador"),"Sponsored",IF(K284&lt;&gt;"","Follow-Up",IF(I284&lt;&gt;"","Presented",IF(F284&lt;&gt;"","Contacted","New Lead"))))))</f>
        <v/>
      </c>
      <c r="S284" s="25" t="n"/>
      <c r="T284" s="25">
        <f>IF(MAX(F284,I284,K284)=0,"",TODAY()-MAX(F284,I284,K284))</f>
        <v/>
      </c>
      <c r="U284" s="25" t="n"/>
      <c r="V284" s="25" t="n"/>
      <c r="W284" s="25">
        <f>IF(AND($A284="",$B284=""),"",IF(M284="Ambassador","1 - Ambassador",IF(M284="Member","2 - Member",IF(J284="Completed","3 - Presented",IF(H284&lt;&gt;"","4 - Sent",IF(F284&lt;&gt;"","5 - Contacted","6 - No Activity"))))))</f>
        <v/>
      </c>
      <c r="X284" s="25">
        <f>IF(AND($A284="",$B284=""),9999999+(ROW()-4),VALUE(LEFT($W284,1))*10000+(ROW()-4))</f>
        <v/>
      </c>
    </row>
    <row r="285" ht="15" customHeight="1" s="20">
      <c r="A285" s="25" t="n"/>
      <c r="B285" s="25" t="n"/>
      <c r="C285" s="25" t="n"/>
      <c r="D285" s="25" t="n"/>
      <c r="E285" s="25" t="n"/>
      <c r="F285" s="26" t="n"/>
      <c r="G285" s="25" t="n"/>
      <c r="H285" s="25" t="n"/>
      <c r="I285" s="26" t="n"/>
      <c r="J285" s="25" t="n"/>
      <c r="K285" s="26" t="n"/>
      <c r="L285" s="25" t="n"/>
      <c r="M285" s="25" t="n"/>
      <c r="N285" s="26" t="n"/>
      <c r="O285" s="25" t="n"/>
      <c r="P285" s="25" t="n"/>
      <c r="Q285" s="26" t="n"/>
      <c r="R285" s="25">
        <f>IF(AND($A285="",$B285=""),"",IF(Q285="Complete","Onboarded",IF(OR(M285="Member",M285="Ambassador"),"Sponsored",IF(K285&lt;&gt;"","Follow-Up",IF(I285&lt;&gt;"","Presented",IF(F285&lt;&gt;"","Contacted","New Lead"))))))</f>
        <v/>
      </c>
      <c r="S285" s="25" t="n"/>
      <c r="T285" s="25">
        <f>IF(MAX(F285,I285,K285)=0,"",TODAY()-MAX(F285,I285,K285))</f>
        <v/>
      </c>
      <c r="U285" s="25" t="n"/>
      <c r="V285" s="25" t="n"/>
      <c r="W285" s="25">
        <f>IF(AND($A285="",$B285=""),"",IF(M285="Ambassador","1 - Ambassador",IF(M285="Member","2 - Member",IF(J285="Completed","3 - Presented",IF(H285&lt;&gt;"","4 - Sent",IF(F285&lt;&gt;"","5 - Contacted","6 - No Activity"))))))</f>
        <v/>
      </c>
      <c r="X285" s="25">
        <f>IF(AND($A285="",$B285=""),9999999+(ROW()-4),VALUE(LEFT($W285,1))*10000+(ROW()-4))</f>
        <v/>
      </c>
    </row>
    <row r="286" ht="15" customHeight="1" s="20">
      <c r="A286" s="25" t="n"/>
      <c r="B286" s="25" t="n"/>
      <c r="C286" s="25" t="n"/>
      <c r="D286" s="25" t="n"/>
      <c r="E286" s="25" t="n"/>
      <c r="F286" s="26" t="n"/>
      <c r="G286" s="25" t="n"/>
      <c r="H286" s="25" t="n"/>
      <c r="I286" s="26" t="n"/>
      <c r="J286" s="25" t="n"/>
      <c r="K286" s="26" t="n"/>
      <c r="L286" s="25" t="n"/>
      <c r="M286" s="25" t="n"/>
      <c r="N286" s="26" t="n"/>
      <c r="O286" s="25" t="n"/>
      <c r="P286" s="25" t="n"/>
      <c r="Q286" s="26" t="n"/>
      <c r="R286" s="25">
        <f>IF(AND($A286="",$B286=""),"",IF(Q286="Complete","Onboarded",IF(OR(M286="Member",M286="Ambassador"),"Sponsored",IF(K286&lt;&gt;"","Follow-Up",IF(I286&lt;&gt;"","Presented",IF(F286&lt;&gt;"","Contacted","New Lead"))))))</f>
        <v/>
      </c>
      <c r="S286" s="25" t="n"/>
      <c r="T286" s="25">
        <f>IF(MAX(F286,I286,K286)=0,"",TODAY()-MAX(F286,I286,K286))</f>
        <v/>
      </c>
      <c r="U286" s="25" t="n"/>
      <c r="V286" s="25" t="n"/>
      <c r="W286" s="25">
        <f>IF(AND($A286="",$B286=""),"",IF(M286="Ambassador","1 - Ambassador",IF(M286="Member","2 - Member",IF(J286="Completed","3 - Presented",IF(H286&lt;&gt;"","4 - Sent",IF(F286&lt;&gt;"","5 - Contacted","6 - No Activity"))))))</f>
        <v/>
      </c>
      <c r="X286" s="25">
        <f>IF(AND($A286="",$B286=""),9999999+(ROW()-4),VALUE(LEFT($W286,1))*10000+(ROW()-4))</f>
        <v/>
      </c>
    </row>
    <row r="287" ht="15" customHeight="1" s="20">
      <c r="A287" s="25" t="n"/>
      <c r="B287" s="25" t="n"/>
      <c r="C287" s="25" t="n"/>
      <c r="D287" s="25" t="n"/>
      <c r="E287" s="25" t="n"/>
      <c r="F287" s="26" t="n"/>
      <c r="G287" s="25" t="n"/>
      <c r="H287" s="25" t="n"/>
      <c r="I287" s="26" t="n"/>
      <c r="J287" s="25" t="n"/>
      <c r="K287" s="26" t="n"/>
      <c r="L287" s="25" t="n"/>
      <c r="M287" s="25" t="n"/>
      <c r="N287" s="26" t="n"/>
      <c r="O287" s="25" t="n"/>
      <c r="P287" s="25" t="n"/>
      <c r="Q287" s="26" t="n"/>
      <c r="R287" s="25">
        <f>IF(AND($A287="",$B287=""),"",IF(Q287="Complete","Onboarded",IF(OR(M287="Member",M287="Ambassador"),"Sponsored",IF(K287&lt;&gt;"","Follow-Up",IF(I287&lt;&gt;"","Presented",IF(F287&lt;&gt;"","Contacted","New Lead"))))))</f>
        <v/>
      </c>
      <c r="S287" s="25" t="n"/>
      <c r="T287" s="25">
        <f>IF(MAX(F287,I287,K287)=0,"",TODAY()-MAX(F287,I287,K287))</f>
        <v/>
      </c>
      <c r="U287" s="25" t="n"/>
      <c r="V287" s="25" t="n"/>
      <c r="W287" s="25">
        <f>IF(AND($A287="",$B287=""),"",IF(M287="Ambassador","1 - Ambassador",IF(M287="Member","2 - Member",IF(J287="Completed","3 - Presented",IF(H287&lt;&gt;"","4 - Sent",IF(F287&lt;&gt;"","5 - Contacted","6 - No Activity"))))))</f>
        <v/>
      </c>
      <c r="X287" s="25">
        <f>IF(AND($A287="",$B287=""),9999999+(ROW()-4),VALUE(LEFT($W287,1))*10000+(ROW()-4))</f>
        <v/>
      </c>
    </row>
    <row r="288" ht="15" customHeight="1" s="20">
      <c r="A288" s="25" t="n"/>
      <c r="B288" s="25" t="n"/>
      <c r="C288" s="25" t="n"/>
      <c r="D288" s="25" t="n"/>
      <c r="E288" s="25" t="n"/>
      <c r="F288" s="26" t="n"/>
      <c r="G288" s="25" t="n"/>
      <c r="H288" s="25" t="n"/>
      <c r="I288" s="26" t="n"/>
      <c r="J288" s="25" t="n"/>
      <c r="K288" s="26" t="n"/>
      <c r="L288" s="25" t="n"/>
      <c r="M288" s="25" t="n"/>
      <c r="N288" s="26" t="n"/>
      <c r="O288" s="25" t="n"/>
      <c r="P288" s="25" t="n"/>
      <c r="Q288" s="26" t="n"/>
      <c r="R288" s="25">
        <f>IF(AND($A288="",$B288=""),"",IF(Q288="Complete","Onboarded",IF(OR(M288="Member",M288="Ambassador"),"Sponsored",IF(K288&lt;&gt;"","Follow-Up",IF(I288&lt;&gt;"","Presented",IF(F288&lt;&gt;"","Contacted","New Lead"))))))</f>
        <v/>
      </c>
      <c r="S288" s="25" t="n"/>
      <c r="T288" s="25">
        <f>IF(MAX(F288,I288,K288)=0,"",TODAY()-MAX(F288,I288,K288))</f>
        <v/>
      </c>
      <c r="U288" s="25" t="n"/>
      <c r="V288" s="25" t="n"/>
      <c r="W288" s="25">
        <f>IF(AND($A288="",$B288=""),"",IF(M288="Ambassador","1 - Ambassador",IF(M288="Member","2 - Member",IF(J288="Completed","3 - Presented",IF(H288&lt;&gt;"","4 - Sent",IF(F288&lt;&gt;"","5 - Contacted","6 - No Activity"))))))</f>
        <v/>
      </c>
      <c r="X288" s="25">
        <f>IF(AND($A288="",$B288=""),9999999+(ROW()-4),VALUE(LEFT($W288,1))*10000+(ROW()-4))</f>
        <v/>
      </c>
    </row>
    <row r="289" ht="15" customHeight="1" s="20">
      <c r="A289" s="25" t="n"/>
      <c r="B289" s="25" t="n"/>
      <c r="C289" s="25" t="n"/>
      <c r="D289" s="25" t="n"/>
      <c r="E289" s="25" t="n"/>
      <c r="F289" s="26" t="n"/>
      <c r="G289" s="25" t="n"/>
      <c r="H289" s="25" t="n"/>
      <c r="I289" s="26" t="n"/>
      <c r="J289" s="25" t="n"/>
      <c r="K289" s="26" t="n"/>
      <c r="L289" s="25" t="n"/>
      <c r="M289" s="25" t="n"/>
      <c r="N289" s="26" t="n"/>
      <c r="O289" s="25" t="n"/>
      <c r="P289" s="25" t="n"/>
      <c r="Q289" s="26" t="n"/>
      <c r="R289" s="25">
        <f>IF(AND($A289="",$B289=""),"",IF(Q289="Complete","Onboarded",IF(OR(M289="Member",M289="Ambassador"),"Sponsored",IF(K289&lt;&gt;"","Follow-Up",IF(I289&lt;&gt;"","Presented",IF(F289&lt;&gt;"","Contacted","New Lead"))))))</f>
        <v/>
      </c>
      <c r="S289" s="25" t="n"/>
      <c r="T289" s="25">
        <f>IF(MAX(F289,I289,K289)=0,"",TODAY()-MAX(F289,I289,K289))</f>
        <v/>
      </c>
      <c r="U289" s="25" t="n"/>
      <c r="V289" s="25" t="n"/>
      <c r="W289" s="25">
        <f>IF(AND($A289="",$B289=""),"",IF(M289="Ambassador","1 - Ambassador",IF(M289="Member","2 - Member",IF(J289="Completed","3 - Presented",IF(H289&lt;&gt;"","4 - Sent",IF(F289&lt;&gt;"","5 - Contacted","6 - No Activity"))))))</f>
        <v/>
      </c>
      <c r="X289" s="25">
        <f>IF(AND($A289="",$B289=""),9999999+(ROW()-4),VALUE(LEFT($W289,1))*10000+(ROW()-4))</f>
        <v/>
      </c>
    </row>
    <row r="290" ht="15" customHeight="1" s="20">
      <c r="A290" s="25" t="n"/>
      <c r="B290" s="25" t="n"/>
      <c r="C290" s="25" t="n"/>
      <c r="D290" s="25" t="n"/>
      <c r="E290" s="25" t="n"/>
      <c r="F290" s="26" t="n"/>
      <c r="G290" s="25" t="n"/>
      <c r="H290" s="25" t="n"/>
      <c r="I290" s="26" t="n"/>
      <c r="J290" s="25" t="n"/>
      <c r="K290" s="26" t="n"/>
      <c r="L290" s="25" t="n"/>
      <c r="M290" s="25" t="n"/>
      <c r="N290" s="26" t="n"/>
      <c r="O290" s="25" t="n"/>
      <c r="P290" s="25" t="n"/>
      <c r="Q290" s="26" t="n"/>
      <c r="R290" s="25">
        <f>IF(AND($A290="",$B290=""),"",IF(Q290="Complete","Onboarded",IF(OR(M290="Member",M290="Ambassador"),"Sponsored",IF(K290&lt;&gt;"","Follow-Up",IF(I290&lt;&gt;"","Presented",IF(F290&lt;&gt;"","Contacted","New Lead"))))))</f>
        <v/>
      </c>
      <c r="S290" s="25" t="n"/>
      <c r="T290" s="25">
        <f>IF(MAX(F290,I290,K290)=0,"",TODAY()-MAX(F290,I290,K290))</f>
        <v/>
      </c>
      <c r="U290" s="25" t="n"/>
      <c r="V290" s="25" t="n"/>
      <c r="W290" s="25">
        <f>IF(AND($A290="",$B290=""),"",IF(M290="Ambassador","1 - Ambassador",IF(M290="Member","2 - Member",IF(J290="Completed","3 - Presented",IF(H290&lt;&gt;"","4 - Sent",IF(F290&lt;&gt;"","5 - Contacted","6 - No Activity"))))))</f>
        <v/>
      </c>
      <c r="X290" s="25">
        <f>IF(AND($A290="",$B290=""),9999999+(ROW()-4),VALUE(LEFT($W290,1))*10000+(ROW()-4))</f>
        <v/>
      </c>
    </row>
    <row r="291" ht="15" customHeight="1" s="20">
      <c r="A291" s="25" t="n"/>
      <c r="B291" s="25" t="n"/>
      <c r="C291" s="25" t="n"/>
      <c r="D291" s="25" t="n"/>
      <c r="E291" s="25" t="n"/>
      <c r="F291" s="26" t="n"/>
      <c r="G291" s="25" t="n"/>
      <c r="H291" s="25" t="n"/>
      <c r="I291" s="26" t="n"/>
      <c r="J291" s="25" t="n"/>
      <c r="K291" s="26" t="n"/>
      <c r="L291" s="25" t="n"/>
      <c r="M291" s="25" t="n"/>
      <c r="N291" s="26" t="n"/>
      <c r="O291" s="25" t="n"/>
      <c r="P291" s="25" t="n"/>
      <c r="Q291" s="26" t="n"/>
      <c r="R291" s="25">
        <f>IF(AND($A291="",$B291=""),"",IF(Q291="Complete","Onboarded",IF(OR(M291="Member",M291="Ambassador"),"Sponsored",IF(K291&lt;&gt;"","Follow-Up",IF(I291&lt;&gt;"","Presented",IF(F291&lt;&gt;"","Contacted","New Lead"))))))</f>
        <v/>
      </c>
      <c r="S291" s="25" t="n"/>
      <c r="T291" s="25">
        <f>IF(MAX(F291,I291,K291)=0,"",TODAY()-MAX(F291,I291,K291))</f>
        <v/>
      </c>
      <c r="U291" s="25" t="n"/>
      <c r="V291" s="25" t="n"/>
      <c r="W291" s="25">
        <f>IF(AND($A291="",$B291=""),"",IF(M291="Ambassador","1 - Ambassador",IF(M291="Member","2 - Member",IF(J291="Completed","3 - Presented",IF(H291&lt;&gt;"","4 - Sent",IF(F291&lt;&gt;"","5 - Contacted","6 - No Activity"))))))</f>
        <v/>
      </c>
      <c r="X291" s="25">
        <f>IF(AND($A291="",$B291=""),9999999+(ROW()-4),VALUE(LEFT($W291,1))*10000+(ROW()-4))</f>
        <v/>
      </c>
    </row>
    <row r="292" ht="15" customHeight="1" s="20">
      <c r="A292" s="25" t="n"/>
      <c r="B292" s="25" t="n"/>
      <c r="C292" s="25" t="n"/>
      <c r="D292" s="25" t="n"/>
      <c r="E292" s="25" t="n"/>
      <c r="F292" s="26" t="n"/>
      <c r="G292" s="25" t="n"/>
      <c r="H292" s="25" t="n"/>
      <c r="I292" s="26" t="n"/>
      <c r="J292" s="25" t="n"/>
      <c r="K292" s="26" t="n"/>
      <c r="L292" s="25" t="n"/>
      <c r="M292" s="25" t="n"/>
      <c r="N292" s="26" t="n"/>
      <c r="O292" s="25" t="n"/>
      <c r="P292" s="25" t="n"/>
      <c r="Q292" s="26" t="n"/>
      <c r="R292" s="25">
        <f>IF(AND($A292="",$B292=""),"",IF(Q292="Complete","Onboarded",IF(OR(M292="Member",M292="Ambassador"),"Sponsored",IF(K292&lt;&gt;"","Follow-Up",IF(I292&lt;&gt;"","Presented",IF(F292&lt;&gt;"","Contacted","New Lead"))))))</f>
        <v/>
      </c>
      <c r="S292" s="25" t="n"/>
      <c r="T292" s="25">
        <f>IF(MAX(F292,I292,K292)=0,"",TODAY()-MAX(F292,I292,K292))</f>
        <v/>
      </c>
      <c r="U292" s="25" t="n"/>
      <c r="V292" s="25" t="n"/>
      <c r="W292" s="25">
        <f>IF(AND($A292="",$B292=""),"",IF(M292="Ambassador","1 - Ambassador",IF(M292="Member","2 - Member",IF(J292="Completed","3 - Presented",IF(H292&lt;&gt;"","4 - Sent",IF(F292&lt;&gt;"","5 - Contacted","6 - No Activity"))))))</f>
        <v/>
      </c>
      <c r="X292" s="25">
        <f>IF(AND($A292="",$B292=""),9999999+(ROW()-4),VALUE(LEFT($W292,1))*10000+(ROW()-4))</f>
        <v/>
      </c>
    </row>
    <row r="293" ht="15" customHeight="1" s="20">
      <c r="A293" s="25" t="n"/>
      <c r="B293" s="25" t="n"/>
      <c r="C293" s="25" t="n"/>
      <c r="D293" s="25" t="n"/>
      <c r="E293" s="25" t="n"/>
      <c r="F293" s="26" t="n"/>
      <c r="G293" s="25" t="n"/>
      <c r="H293" s="25" t="n"/>
      <c r="I293" s="26" t="n"/>
      <c r="J293" s="25" t="n"/>
      <c r="K293" s="26" t="n"/>
      <c r="L293" s="25" t="n"/>
      <c r="M293" s="25" t="n"/>
      <c r="N293" s="26" t="n"/>
      <c r="O293" s="25" t="n"/>
      <c r="P293" s="25" t="n"/>
      <c r="Q293" s="26" t="n"/>
      <c r="R293" s="25">
        <f>IF(AND($A293="",$B293=""),"",IF(Q293="Complete","Onboarded",IF(OR(M293="Member",M293="Ambassador"),"Sponsored",IF(K293&lt;&gt;"","Follow-Up",IF(I293&lt;&gt;"","Presented",IF(F293&lt;&gt;"","Contacted","New Lead"))))))</f>
        <v/>
      </c>
      <c r="S293" s="25" t="n"/>
      <c r="T293" s="25">
        <f>IF(MAX(F293,I293,K293)=0,"",TODAY()-MAX(F293,I293,K293))</f>
        <v/>
      </c>
      <c r="U293" s="25" t="n"/>
      <c r="V293" s="25" t="n"/>
      <c r="W293" s="25">
        <f>IF(AND($A293="",$B293=""),"",IF(M293="Ambassador","1 - Ambassador",IF(M293="Member","2 - Member",IF(J293="Completed","3 - Presented",IF(H293&lt;&gt;"","4 - Sent",IF(F293&lt;&gt;"","5 - Contacted","6 - No Activity"))))))</f>
        <v/>
      </c>
      <c r="X293" s="25">
        <f>IF(AND($A293="",$B293=""),9999999+(ROW()-4),VALUE(LEFT($W293,1))*10000+(ROW()-4))</f>
        <v/>
      </c>
    </row>
    <row r="294" ht="15" customHeight="1" s="20">
      <c r="A294" s="25" t="n"/>
      <c r="B294" s="25" t="n"/>
      <c r="C294" s="25" t="n"/>
      <c r="D294" s="25" t="n"/>
      <c r="E294" s="25" t="n"/>
      <c r="F294" s="26" t="n"/>
      <c r="G294" s="25" t="n"/>
      <c r="H294" s="25" t="n"/>
      <c r="I294" s="26" t="n"/>
      <c r="J294" s="25" t="n"/>
      <c r="K294" s="26" t="n"/>
      <c r="L294" s="25" t="n"/>
      <c r="M294" s="25" t="n"/>
      <c r="N294" s="26" t="n"/>
      <c r="O294" s="25" t="n"/>
      <c r="P294" s="25" t="n"/>
      <c r="Q294" s="26" t="n"/>
      <c r="R294" s="25">
        <f>IF(AND($A294="",$B294=""),"",IF(Q294="Complete","Onboarded",IF(OR(M294="Member",M294="Ambassador"),"Sponsored",IF(K294&lt;&gt;"","Follow-Up",IF(I294&lt;&gt;"","Presented",IF(F294&lt;&gt;"","Contacted","New Lead"))))))</f>
        <v/>
      </c>
      <c r="S294" s="25" t="n"/>
      <c r="T294" s="25">
        <f>IF(MAX(F294,I294,K294)=0,"",TODAY()-MAX(F294,I294,K294))</f>
        <v/>
      </c>
      <c r="U294" s="25" t="n"/>
      <c r="V294" s="25" t="n"/>
      <c r="W294" s="25">
        <f>IF(AND($A294="",$B294=""),"",IF(M294="Ambassador","1 - Ambassador",IF(M294="Member","2 - Member",IF(J294="Completed","3 - Presented",IF(H294&lt;&gt;"","4 - Sent",IF(F294&lt;&gt;"","5 - Contacted","6 - No Activity"))))))</f>
        <v/>
      </c>
      <c r="X294" s="25">
        <f>IF(AND($A294="",$B294=""),9999999+(ROW()-4),VALUE(LEFT($W294,1))*10000+(ROW()-4))</f>
        <v/>
      </c>
    </row>
    <row r="295" ht="15" customHeight="1" s="20">
      <c r="A295" s="25" t="n"/>
      <c r="B295" s="25" t="n"/>
      <c r="C295" s="25" t="n"/>
      <c r="D295" s="25" t="n"/>
      <c r="E295" s="25" t="n"/>
      <c r="F295" s="26" t="n"/>
      <c r="G295" s="25" t="n"/>
      <c r="H295" s="25" t="n"/>
      <c r="I295" s="26" t="n"/>
      <c r="J295" s="25" t="n"/>
      <c r="K295" s="26" t="n"/>
      <c r="L295" s="25" t="n"/>
      <c r="M295" s="25" t="n"/>
      <c r="N295" s="26" t="n"/>
      <c r="O295" s="25" t="n"/>
      <c r="P295" s="25" t="n"/>
      <c r="Q295" s="26" t="n"/>
      <c r="R295" s="25">
        <f>IF(AND($A295="",$B295=""),"",IF(Q295="Complete","Onboarded",IF(OR(M295="Member",M295="Ambassador"),"Sponsored",IF(K295&lt;&gt;"","Follow-Up",IF(I295&lt;&gt;"","Presented",IF(F295&lt;&gt;"","Contacted","New Lead"))))))</f>
        <v/>
      </c>
      <c r="S295" s="25" t="n"/>
      <c r="T295" s="25">
        <f>IF(MAX(F295,I295,K295)=0,"",TODAY()-MAX(F295,I295,K295))</f>
        <v/>
      </c>
      <c r="U295" s="25" t="n"/>
      <c r="V295" s="25" t="n"/>
      <c r="W295" s="25">
        <f>IF(AND($A295="",$B295=""),"",IF(M295="Ambassador","1 - Ambassador",IF(M295="Member","2 - Member",IF(J295="Completed","3 - Presented",IF(H295&lt;&gt;"","4 - Sent",IF(F295&lt;&gt;"","5 - Contacted","6 - No Activity"))))))</f>
        <v/>
      </c>
      <c r="X295" s="25">
        <f>IF(AND($A295="",$B295=""),9999999+(ROW()-4),VALUE(LEFT($W295,1))*10000+(ROW()-4))</f>
        <v/>
      </c>
    </row>
    <row r="296" ht="15" customHeight="1" s="20">
      <c r="A296" s="25" t="n"/>
      <c r="B296" s="25" t="n"/>
      <c r="C296" s="25" t="n"/>
      <c r="D296" s="25" t="n"/>
      <c r="E296" s="25" t="n"/>
      <c r="F296" s="26" t="n"/>
      <c r="G296" s="25" t="n"/>
      <c r="H296" s="25" t="n"/>
      <c r="I296" s="26" t="n"/>
      <c r="J296" s="25" t="n"/>
      <c r="K296" s="26" t="n"/>
      <c r="L296" s="25" t="n"/>
      <c r="M296" s="25" t="n"/>
      <c r="N296" s="26" t="n"/>
      <c r="O296" s="25" t="n"/>
      <c r="P296" s="25" t="n"/>
      <c r="Q296" s="26" t="n"/>
      <c r="R296" s="25">
        <f>IF(AND($A296="",$B296=""),"",IF(Q296="Complete","Onboarded",IF(OR(M296="Member",M296="Ambassador"),"Sponsored",IF(K296&lt;&gt;"","Follow-Up",IF(I296&lt;&gt;"","Presented",IF(F296&lt;&gt;"","Contacted","New Lead"))))))</f>
        <v/>
      </c>
      <c r="S296" s="25" t="n"/>
      <c r="T296" s="25">
        <f>IF(MAX(F296,I296,K296)=0,"",TODAY()-MAX(F296,I296,K296))</f>
        <v/>
      </c>
      <c r="U296" s="25" t="n"/>
      <c r="V296" s="25" t="n"/>
      <c r="W296" s="25">
        <f>IF(AND($A296="",$B296=""),"",IF(M296="Ambassador","1 - Ambassador",IF(M296="Member","2 - Member",IF(J296="Completed","3 - Presented",IF(H296&lt;&gt;"","4 - Sent",IF(F296&lt;&gt;"","5 - Contacted","6 - No Activity"))))))</f>
        <v/>
      </c>
      <c r="X296" s="25">
        <f>IF(AND($A296="",$B296=""),9999999+(ROW()-4),VALUE(LEFT($W296,1))*10000+(ROW()-4))</f>
        <v/>
      </c>
    </row>
    <row r="297" ht="15" customHeight="1" s="20">
      <c r="A297" s="25" t="n"/>
      <c r="B297" s="25" t="n"/>
      <c r="C297" s="25" t="n"/>
      <c r="D297" s="25" t="n"/>
      <c r="E297" s="25" t="n"/>
      <c r="F297" s="26" t="n"/>
      <c r="G297" s="25" t="n"/>
      <c r="H297" s="25" t="n"/>
      <c r="I297" s="26" t="n"/>
      <c r="J297" s="25" t="n"/>
      <c r="K297" s="26" t="n"/>
      <c r="L297" s="25" t="n"/>
      <c r="M297" s="25" t="n"/>
      <c r="N297" s="26" t="n"/>
      <c r="O297" s="25" t="n"/>
      <c r="P297" s="25" t="n"/>
      <c r="Q297" s="26" t="n"/>
      <c r="R297" s="25">
        <f>IF(AND($A297="",$B297=""),"",IF(Q297="Complete","Onboarded",IF(OR(M297="Member",M297="Ambassador"),"Sponsored",IF(K297&lt;&gt;"","Follow-Up",IF(I297&lt;&gt;"","Presented",IF(F297&lt;&gt;"","Contacted","New Lead"))))))</f>
        <v/>
      </c>
      <c r="S297" s="25" t="n"/>
      <c r="T297" s="25">
        <f>IF(MAX(F297,I297,K297)=0,"",TODAY()-MAX(F297,I297,K297))</f>
        <v/>
      </c>
      <c r="U297" s="25" t="n"/>
      <c r="V297" s="25" t="n"/>
      <c r="W297" s="25">
        <f>IF(AND($A297="",$B297=""),"",IF(M297="Ambassador","1 - Ambassador",IF(M297="Member","2 - Member",IF(J297="Completed","3 - Presented",IF(H297&lt;&gt;"","4 - Sent",IF(F297&lt;&gt;"","5 - Contacted","6 - No Activity"))))))</f>
        <v/>
      </c>
      <c r="X297" s="25">
        <f>IF(AND($A297="",$B297=""),9999999+(ROW()-4),VALUE(LEFT($W297,1))*10000+(ROW()-4))</f>
        <v/>
      </c>
    </row>
    <row r="298" ht="15" customHeight="1" s="20">
      <c r="A298" s="25" t="n"/>
      <c r="B298" s="25" t="n"/>
      <c r="C298" s="25" t="n"/>
      <c r="D298" s="25" t="n"/>
      <c r="E298" s="25" t="n"/>
      <c r="F298" s="26" t="n"/>
      <c r="G298" s="25" t="n"/>
      <c r="H298" s="25" t="n"/>
      <c r="I298" s="26" t="n"/>
      <c r="J298" s="25" t="n"/>
      <c r="K298" s="26" t="n"/>
      <c r="L298" s="25" t="n"/>
      <c r="M298" s="25" t="n"/>
      <c r="N298" s="26" t="n"/>
      <c r="O298" s="25" t="n"/>
      <c r="P298" s="25" t="n"/>
      <c r="Q298" s="26" t="n"/>
      <c r="R298" s="25">
        <f>IF(AND($A298="",$B298=""),"",IF(Q298="Complete","Onboarded",IF(OR(M298="Member",M298="Ambassador"),"Sponsored",IF(K298&lt;&gt;"","Follow-Up",IF(I298&lt;&gt;"","Presented",IF(F298&lt;&gt;"","Contacted","New Lead"))))))</f>
        <v/>
      </c>
      <c r="S298" s="25" t="n"/>
      <c r="T298" s="25">
        <f>IF(MAX(F298,I298,K298)=0,"",TODAY()-MAX(F298,I298,K298))</f>
        <v/>
      </c>
      <c r="U298" s="25" t="n"/>
      <c r="V298" s="25" t="n"/>
      <c r="W298" s="25">
        <f>IF(AND($A298="",$B298=""),"",IF(M298="Ambassador","1 - Ambassador",IF(M298="Member","2 - Member",IF(J298="Completed","3 - Presented",IF(H298&lt;&gt;"","4 - Sent",IF(F298&lt;&gt;"","5 - Contacted","6 - No Activity"))))))</f>
        <v/>
      </c>
      <c r="X298" s="25">
        <f>IF(AND($A298="",$B298=""),9999999+(ROW()-4),VALUE(LEFT($W298,1))*10000+(ROW()-4))</f>
        <v/>
      </c>
    </row>
    <row r="299" ht="15" customHeight="1" s="20">
      <c r="A299" s="25" t="n"/>
      <c r="B299" s="25" t="n"/>
      <c r="C299" s="25" t="n"/>
      <c r="D299" s="25" t="n"/>
      <c r="E299" s="25" t="n"/>
      <c r="F299" s="26" t="n"/>
      <c r="G299" s="25" t="n"/>
      <c r="H299" s="25" t="n"/>
      <c r="I299" s="26" t="n"/>
      <c r="J299" s="25" t="n"/>
      <c r="K299" s="26" t="n"/>
      <c r="L299" s="25" t="n"/>
      <c r="M299" s="25" t="n"/>
      <c r="N299" s="26" t="n"/>
      <c r="O299" s="25" t="n"/>
      <c r="P299" s="25" t="n"/>
      <c r="Q299" s="26" t="n"/>
      <c r="R299" s="25">
        <f>IF(AND($A299="",$B299=""),"",IF(Q299="Complete","Onboarded",IF(OR(M299="Member",M299="Ambassador"),"Sponsored",IF(K299&lt;&gt;"","Follow-Up",IF(I299&lt;&gt;"","Presented",IF(F299&lt;&gt;"","Contacted","New Lead"))))))</f>
        <v/>
      </c>
      <c r="S299" s="25" t="n"/>
      <c r="T299" s="25">
        <f>IF(MAX(F299,I299,K299)=0,"",TODAY()-MAX(F299,I299,K299))</f>
        <v/>
      </c>
      <c r="U299" s="25" t="n"/>
      <c r="V299" s="25" t="n"/>
      <c r="W299" s="25">
        <f>IF(AND($A299="",$B299=""),"",IF(M299="Ambassador","1 - Ambassador",IF(M299="Member","2 - Member",IF(J299="Completed","3 - Presented",IF(H299&lt;&gt;"","4 - Sent",IF(F299&lt;&gt;"","5 - Contacted","6 - No Activity"))))))</f>
        <v/>
      </c>
      <c r="X299" s="25">
        <f>IF(AND($A299="",$B299=""),9999999+(ROW()-4),VALUE(LEFT($W299,1))*10000+(ROW()-4))</f>
        <v/>
      </c>
    </row>
    <row r="300" ht="15" customHeight="1" s="20">
      <c r="A300" s="25" t="n"/>
      <c r="B300" s="25" t="n"/>
      <c r="C300" s="25" t="n"/>
      <c r="D300" s="25" t="n"/>
      <c r="E300" s="25" t="n"/>
      <c r="F300" s="26" t="n"/>
      <c r="G300" s="25" t="n"/>
      <c r="H300" s="25" t="n"/>
      <c r="I300" s="26" t="n"/>
      <c r="J300" s="25" t="n"/>
      <c r="K300" s="26" t="n"/>
      <c r="L300" s="25" t="n"/>
      <c r="M300" s="25" t="n"/>
      <c r="N300" s="26" t="n"/>
      <c r="O300" s="25" t="n"/>
      <c r="P300" s="25" t="n"/>
      <c r="Q300" s="26" t="n"/>
      <c r="R300" s="25">
        <f>IF(AND($A300="",$B300=""),"",IF(Q300="Complete","Onboarded",IF(OR(M300="Member",M300="Ambassador"),"Sponsored",IF(K300&lt;&gt;"","Follow-Up",IF(I300&lt;&gt;"","Presented",IF(F300&lt;&gt;"","Contacted","New Lead"))))))</f>
        <v/>
      </c>
      <c r="S300" s="25" t="n"/>
      <c r="T300" s="25">
        <f>IF(MAX(F300,I300,K300)=0,"",TODAY()-MAX(F300,I300,K300))</f>
        <v/>
      </c>
      <c r="U300" s="25" t="n"/>
      <c r="V300" s="25" t="n"/>
      <c r="W300" s="25">
        <f>IF(AND($A300="",$B300=""),"",IF(M300="Ambassador","1 - Ambassador",IF(M300="Member","2 - Member",IF(J300="Completed","3 - Presented",IF(H300&lt;&gt;"","4 - Sent",IF(F300&lt;&gt;"","5 - Contacted","6 - No Activity"))))))</f>
        <v/>
      </c>
      <c r="X300" s="25">
        <f>IF(AND($A300="",$B300=""),9999999+(ROW()-4),VALUE(LEFT($W300,1))*10000+(ROW()-4))</f>
        <v/>
      </c>
    </row>
    <row r="301" ht="15" customHeight="1" s="20">
      <c r="A301" s="25" t="n"/>
      <c r="B301" s="25" t="n"/>
      <c r="C301" s="25" t="n"/>
      <c r="D301" s="25" t="n"/>
      <c r="E301" s="25" t="n"/>
      <c r="F301" s="26" t="n"/>
      <c r="G301" s="25" t="n"/>
      <c r="H301" s="25" t="n"/>
      <c r="I301" s="26" t="n"/>
      <c r="J301" s="25" t="n"/>
      <c r="K301" s="26" t="n"/>
      <c r="L301" s="25" t="n"/>
      <c r="M301" s="25" t="n"/>
      <c r="N301" s="26" t="n"/>
      <c r="O301" s="25" t="n"/>
      <c r="P301" s="25" t="n"/>
      <c r="Q301" s="26" t="n"/>
      <c r="R301" s="25">
        <f>IF(AND($A301="",$B301=""),"",IF(Q301="Complete","Onboarded",IF(OR(M301="Member",M301="Ambassador"),"Sponsored",IF(K301&lt;&gt;"","Follow-Up",IF(I301&lt;&gt;"","Presented",IF(F301&lt;&gt;"","Contacted","New Lead"))))))</f>
        <v/>
      </c>
      <c r="S301" s="25" t="n"/>
      <c r="T301" s="25">
        <f>IF(MAX(F301,I301,K301)=0,"",TODAY()-MAX(F301,I301,K301))</f>
        <v/>
      </c>
      <c r="U301" s="25" t="n"/>
      <c r="V301" s="25" t="n"/>
      <c r="W301" s="25">
        <f>IF(AND($A301="",$B301=""),"",IF(M301="Ambassador","1 - Ambassador",IF(M301="Member","2 - Member",IF(J301="Completed","3 - Presented",IF(H301&lt;&gt;"","4 - Sent",IF(F301&lt;&gt;"","5 - Contacted","6 - No Activity"))))))</f>
        <v/>
      </c>
      <c r="X301" s="25">
        <f>IF(AND($A301="",$B301=""),9999999+(ROW()-4),VALUE(LEFT($W301,1))*10000+(ROW()-4))</f>
        <v/>
      </c>
    </row>
    <row r="302" ht="15" customHeight="1" s="20">
      <c r="A302" s="25" t="n"/>
      <c r="B302" s="25" t="n"/>
      <c r="C302" s="25" t="n"/>
      <c r="D302" s="25" t="n"/>
      <c r="E302" s="25" t="n"/>
      <c r="F302" s="26" t="n"/>
      <c r="G302" s="25" t="n"/>
      <c r="H302" s="25" t="n"/>
      <c r="I302" s="26" t="n"/>
      <c r="J302" s="25" t="n"/>
      <c r="K302" s="26" t="n"/>
      <c r="L302" s="25" t="n"/>
      <c r="M302" s="25" t="n"/>
      <c r="N302" s="26" t="n"/>
      <c r="O302" s="25" t="n"/>
      <c r="P302" s="25" t="n"/>
      <c r="Q302" s="26" t="n"/>
      <c r="R302" s="25">
        <f>IF(AND($A302="",$B302=""),"",IF(Q302="Complete","Onboarded",IF(OR(M302="Member",M302="Ambassador"),"Sponsored",IF(K302&lt;&gt;"","Follow-Up",IF(I302&lt;&gt;"","Presented",IF(F302&lt;&gt;"","Contacted","New Lead"))))))</f>
        <v/>
      </c>
      <c r="S302" s="25" t="n"/>
      <c r="T302" s="25">
        <f>IF(MAX(F302,I302,K302)=0,"",TODAY()-MAX(F302,I302,K302))</f>
        <v/>
      </c>
      <c r="U302" s="25" t="n"/>
      <c r="V302" s="25" t="n"/>
      <c r="W302" s="25">
        <f>IF(AND($A302="",$B302=""),"",IF(M302="Ambassador","1 - Ambassador",IF(M302="Member","2 - Member",IF(J302="Completed","3 - Presented",IF(H302&lt;&gt;"","4 - Sent",IF(F302&lt;&gt;"","5 - Contacted","6 - No Activity"))))))</f>
        <v/>
      </c>
      <c r="X302" s="25">
        <f>IF(AND($A302="",$B302=""),9999999+(ROW()-4),VALUE(LEFT($W302,1))*10000+(ROW()-4))</f>
        <v/>
      </c>
    </row>
    <row r="303" ht="15" customHeight="1" s="20">
      <c r="A303" s="25" t="n"/>
      <c r="B303" s="25" t="n"/>
      <c r="C303" s="25" t="n"/>
      <c r="D303" s="25" t="n"/>
      <c r="E303" s="25" t="n"/>
      <c r="F303" s="26" t="n"/>
      <c r="G303" s="25" t="n"/>
      <c r="H303" s="25" t="n"/>
      <c r="I303" s="26" t="n"/>
      <c r="J303" s="25" t="n"/>
      <c r="K303" s="26" t="n"/>
      <c r="L303" s="25" t="n"/>
      <c r="M303" s="25" t="n"/>
      <c r="N303" s="26" t="n"/>
      <c r="O303" s="25" t="n"/>
      <c r="P303" s="25" t="n"/>
      <c r="Q303" s="26" t="n"/>
      <c r="R303" s="25">
        <f>IF(AND($A303="",$B303=""),"",IF(Q303="Complete","Onboarded",IF(OR(M303="Member",M303="Ambassador"),"Sponsored",IF(K303&lt;&gt;"","Follow-Up",IF(I303&lt;&gt;"","Presented",IF(F303&lt;&gt;"","Contacted","New Lead"))))))</f>
        <v/>
      </c>
      <c r="S303" s="25" t="n"/>
      <c r="T303" s="25">
        <f>IF(MAX(F303,I303,K303)=0,"",TODAY()-MAX(F303,I303,K303))</f>
        <v/>
      </c>
      <c r="U303" s="25" t="n"/>
      <c r="V303" s="25" t="n"/>
      <c r="W303" s="25">
        <f>IF(AND($A303="",$B303=""),"",IF(M303="Ambassador","1 - Ambassador",IF(M303="Member","2 - Member",IF(J303="Completed","3 - Presented",IF(H303&lt;&gt;"","4 - Sent",IF(F303&lt;&gt;"","5 - Contacted","6 - No Activity"))))))</f>
        <v/>
      </c>
      <c r="X303" s="25">
        <f>IF(AND($A303="",$B303=""),9999999+(ROW()-4),VALUE(LEFT($W303,1))*10000+(ROW()-4))</f>
        <v/>
      </c>
    </row>
    <row r="304" ht="15" customHeight="1" s="20">
      <c r="A304" s="25" t="n"/>
      <c r="B304" s="25" t="n"/>
      <c r="C304" s="25" t="n"/>
      <c r="D304" s="25" t="n"/>
      <c r="E304" s="25" t="n"/>
      <c r="F304" s="26" t="n"/>
      <c r="G304" s="25" t="n"/>
      <c r="H304" s="25" t="n"/>
      <c r="I304" s="26" t="n"/>
      <c r="J304" s="25" t="n"/>
      <c r="K304" s="26" t="n"/>
      <c r="L304" s="25" t="n"/>
      <c r="M304" s="25" t="n"/>
      <c r="N304" s="26" t="n"/>
      <c r="O304" s="25" t="n"/>
      <c r="P304" s="25" t="n"/>
      <c r="Q304" s="26" t="n"/>
      <c r="R304" s="25">
        <f>IF(AND($A304="",$B304=""),"",IF(Q304="Complete","Onboarded",IF(OR(M304="Member",M304="Ambassador"),"Sponsored",IF(K304&lt;&gt;"","Follow-Up",IF(I304&lt;&gt;"","Presented",IF(F304&lt;&gt;"","Contacted","New Lead"))))))</f>
        <v/>
      </c>
      <c r="S304" s="25" t="n"/>
      <c r="T304" s="25">
        <f>IF(MAX(F304,I304,K304)=0,"",TODAY()-MAX(F304,I304,K304))</f>
        <v/>
      </c>
      <c r="U304" s="25" t="n"/>
      <c r="V304" s="25" t="n"/>
      <c r="W304" s="25">
        <f>IF(AND($A304="",$B304=""),"",IF(M304="Ambassador","1 - Ambassador",IF(M304="Member","2 - Member",IF(J304="Completed","3 - Presented",IF(H304&lt;&gt;"","4 - Sent",IF(F304&lt;&gt;"","5 - Contacted","6 - No Activity"))))))</f>
        <v/>
      </c>
      <c r="X304" s="25">
        <f>IF(AND($A304="",$B304=""),9999999+(ROW()-4),VALUE(LEFT($W304,1))*10000+(ROW()-4))</f>
        <v/>
      </c>
    </row>
    <row r="305" ht="15" customHeight="1" s="20">
      <c r="A305" s="25" t="n"/>
      <c r="B305" s="25" t="n"/>
      <c r="C305" s="25" t="n"/>
      <c r="D305" s="25" t="n"/>
      <c r="E305" s="25" t="n"/>
      <c r="F305" s="26" t="n"/>
      <c r="G305" s="25" t="n"/>
      <c r="H305" s="25" t="n"/>
      <c r="I305" s="26" t="n"/>
      <c r="J305" s="25" t="n"/>
      <c r="K305" s="26" t="n"/>
      <c r="L305" s="25" t="n"/>
      <c r="M305" s="25" t="n"/>
      <c r="N305" s="26" t="n"/>
      <c r="O305" s="25" t="n"/>
      <c r="P305" s="25" t="n"/>
      <c r="Q305" s="26" t="n"/>
      <c r="R305" s="25">
        <f>IF(AND($A305="",$B305=""),"",IF(Q305="Complete","Onboarded",IF(OR(M305="Member",M305="Ambassador"),"Sponsored",IF(K305&lt;&gt;"","Follow-Up",IF(I305&lt;&gt;"","Presented",IF(F305&lt;&gt;"","Contacted","New Lead"))))))</f>
        <v/>
      </c>
      <c r="S305" s="25" t="n"/>
      <c r="T305" s="25">
        <f>IF(MAX(F305,I305,K305)=0,"",TODAY()-MAX(F305,I305,K305))</f>
        <v/>
      </c>
      <c r="U305" s="25" t="n"/>
      <c r="V305" s="25" t="n"/>
      <c r="W305" s="25">
        <f>IF(AND($A305="",$B305=""),"",IF(M305="Ambassador","1 - Ambassador",IF(M305="Member","2 - Member",IF(J305="Completed","3 - Presented",IF(H305&lt;&gt;"","4 - Sent",IF(F305&lt;&gt;"","5 - Contacted","6 - No Activity"))))))</f>
        <v/>
      </c>
      <c r="X305" s="25">
        <f>IF(AND($A305="",$B305=""),9999999+(ROW()-4),VALUE(LEFT($W305,1))*10000+(ROW()-4))</f>
        <v/>
      </c>
    </row>
    <row r="306" ht="15" customHeight="1" s="20">
      <c r="A306" s="25" t="n"/>
      <c r="B306" s="25" t="n"/>
      <c r="C306" s="25" t="n"/>
      <c r="D306" s="25" t="n"/>
      <c r="E306" s="25" t="n"/>
      <c r="F306" s="26" t="n"/>
      <c r="G306" s="25" t="n"/>
      <c r="H306" s="25" t="n"/>
      <c r="I306" s="26" t="n"/>
      <c r="J306" s="25" t="n"/>
      <c r="K306" s="26" t="n"/>
      <c r="L306" s="25" t="n"/>
      <c r="M306" s="25" t="n"/>
      <c r="N306" s="26" t="n"/>
      <c r="O306" s="25" t="n"/>
      <c r="P306" s="25" t="n"/>
      <c r="Q306" s="26" t="n"/>
      <c r="R306" s="25">
        <f>IF(AND($A306="",$B306=""),"",IF(Q306="Complete","Onboarded",IF(OR(M306="Member",M306="Ambassador"),"Sponsored",IF(K306&lt;&gt;"","Follow-Up",IF(I306&lt;&gt;"","Presented",IF(F306&lt;&gt;"","Contacted","New Lead"))))))</f>
        <v/>
      </c>
      <c r="S306" s="25" t="n"/>
      <c r="T306" s="25">
        <f>IF(MAX(F306,I306,K306)=0,"",TODAY()-MAX(F306,I306,K306))</f>
        <v/>
      </c>
      <c r="U306" s="25" t="n"/>
      <c r="V306" s="25" t="n"/>
      <c r="W306" s="25">
        <f>IF(AND($A306="",$B306=""),"",IF(M306="Ambassador","1 - Ambassador",IF(M306="Member","2 - Member",IF(J306="Completed","3 - Presented",IF(H306&lt;&gt;"","4 - Sent",IF(F306&lt;&gt;"","5 - Contacted","6 - No Activity"))))))</f>
        <v/>
      </c>
      <c r="X306" s="25">
        <f>IF(AND($A306="",$B306=""),9999999+(ROW()-4),VALUE(LEFT($W306,1))*10000+(ROW()-4))</f>
        <v/>
      </c>
    </row>
    <row r="307" ht="15" customHeight="1" s="20">
      <c r="A307" s="25" t="n"/>
      <c r="B307" s="25" t="n"/>
      <c r="C307" s="25" t="n"/>
      <c r="D307" s="25" t="n"/>
      <c r="E307" s="25" t="n"/>
      <c r="F307" s="26" t="n"/>
      <c r="G307" s="25" t="n"/>
      <c r="H307" s="25" t="n"/>
      <c r="I307" s="26" t="n"/>
      <c r="J307" s="25" t="n"/>
      <c r="K307" s="26" t="n"/>
      <c r="L307" s="25" t="n"/>
      <c r="M307" s="25" t="n"/>
      <c r="N307" s="26" t="n"/>
      <c r="O307" s="25" t="n"/>
      <c r="P307" s="25" t="n"/>
      <c r="Q307" s="26" t="n"/>
      <c r="R307" s="25">
        <f>IF(AND($A307="",$B307=""),"",IF(Q307="Complete","Onboarded",IF(OR(M307="Member",M307="Ambassador"),"Sponsored",IF(K307&lt;&gt;"","Follow-Up",IF(I307&lt;&gt;"","Presented",IF(F307&lt;&gt;"","Contacted","New Lead"))))))</f>
        <v/>
      </c>
      <c r="S307" s="25" t="n"/>
      <c r="T307" s="25">
        <f>IF(MAX(F307,I307,K307)=0,"",TODAY()-MAX(F307,I307,K307))</f>
        <v/>
      </c>
      <c r="U307" s="25" t="n"/>
      <c r="V307" s="25" t="n"/>
      <c r="W307" s="25">
        <f>IF(AND($A307="",$B307=""),"",IF(M307="Ambassador","1 - Ambassador",IF(M307="Member","2 - Member",IF(J307="Completed","3 - Presented",IF(H307&lt;&gt;"","4 - Sent",IF(F307&lt;&gt;"","5 - Contacted","6 - No Activity"))))))</f>
        <v/>
      </c>
      <c r="X307" s="25">
        <f>IF(AND($A307="",$B307=""),9999999+(ROW()-4),VALUE(LEFT($W307,1))*10000+(ROW()-4))</f>
        <v/>
      </c>
    </row>
    <row r="308" ht="15" customHeight="1" s="20">
      <c r="A308" s="25" t="n"/>
      <c r="B308" s="25" t="n"/>
      <c r="C308" s="25" t="n"/>
      <c r="D308" s="25" t="n"/>
      <c r="E308" s="25" t="n"/>
      <c r="F308" s="26" t="n"/>
      <c r="G308" s="25" t="n"/>
      <c r="H308" s="25" t="n"/>
      <c r="I308" s="26" t="n"/>
      <c r="J308" s="25" t="n"/>
      <c r="K308" s="26" t="n"/>
      <c r="L308" s="25" t="n"/>
      <c r="M308" s="25" t="n"/>
      <c r="N308" s="26" t="n"/>
      <c r="O308" s="25" t="n"/>
      <c r="P308" s="25" t="n"/>
      <c r="Q308" s="26" t="n"/>
      <c r="R308" s="25">
        <f>IF(AND($A308="",$B308=""),"",IF(Q308="Complete","Onboarded",IF(OR(M308="Member",M308="Ambassador"),"Sponsored",IF(K308&lt;&gt;"","Follow-Up",IF(I308&lt;&gt;"","Presented",IF(F308&lt;&gt;"","Contacted","New Lead"))))))</f>
        <v/>
      </c>
      <c r="S308" s="25" t="n"/>
      <c r="T308" s="25">
        <f>IF(MAX(F308,I308,K308)=0,"",TODAY()-MAX(F308,I308,K308))</f>
        <v/>
      </c>
      <c r="U308" s="25" t="n"/>
      <c r="V308" s="25" t="n"/>
      <c r="W308" s="25">
        <f>IF(AND($A308="",$B308=""),"",IF(M308="Ambassador","1 - Ambassador",IF(M308="Member","2 - Member",IF(J308="Completed","3 - Presented",IF(H308&lt;&gt;"","4 - Sent",IF(F308&lt;&gt;"","5 - Contacted","6 - No Activity"))))))</f>
        <v/>
      </c>
      <c r="X308" s="25">
        <f>IF(AND($A308="",$B308=""),9999999+(ROW()-4),VALUE(LEFT($W308,1))*10000+(ROW()-4))</f>
        <v/>
      </c>
    </row>
    <row r="309" ht="15" customHeight="1" s="20">
      <c r="A309" s="25" t="n"/>
      <c r="B309" s="25" t="n"/>
      <c r="C309" s="25" t="n"/>
      <c r="D309" s="25" t="n"/>
      <c r="E309" s="25" t="n"/>
      <c r="F309" s="26" t="n"/>
      <c r="G309" s="25" t="n"/>
      <c r="H309" s="25" t="n"/>
      <c r="I309" s="26" t="n"/>
      <c r="J309" s="25" t="n"/>
      <c r="K309" s="26" t="n"/>
      <c r="L309" s="25" t="n"/>
      <c r="M309" s="25" t="n"/>
      <c r="N309" s="26" t="n"/>
      <c r="O309" s="25" t="n"/>
      <c r="P309" s="25" t="n"/>
      <c r="Q309" s="26" t="n"/>
      <c r="R309" s="25">
        <f>IF(AND($A309="",$B309=""),"",IF(Q309="Complete","Onboarded",IF(OR(M309="Member",M309="Ambassador"),"Sponsored",IF(K309&lt;&gt;"","Follow-Up",IF(I309&lt;&gt;"","Presented",IF(F309&lt;&gt;"","Contacted","New Lead"))))))</f>
        <v/>
      </c>
      <c r="S309" s="25" t="n"/>
      <c r="T309" s="25">
        <f>IF(MAX(F309,I309,K309)=0,"",TODAY()-MAX(F309,I309,K309))</f>
        <v/>
      </c>
      <c r="U309" s="25" t="n"/>
      <c r="V309" s="25" t="n"/>
      <c r="W309" s="25">
        <f>IF(AND($A309="",$B309=""),"",IF(M309="Ambassador","1 - Ambassador",IF(M309="Member","2 - Member",IF(J309="Completed","3 - Presented",IF(H309&lt;&gt;"","4 - Sent",IF(F309&lt;&gt;"","5 - Contacted","6 - No Activity"))))))</f>
        <v/>
      </c>
      <c r="X309" s="25">
        <f>IF(AND($A309="",$B309=""),9999999+(ROW()-4),VALUE(LEFT($W309,1))*10000+(ROW()-4))</f>
        <v/>
      </c>
    </row>
    <row r="310" ht="15" customHeight="1" s="20">
      <c r="A310" s="25" t="n"/>
      <c r="B310" s="25" t="n"/>
      <c r="C310" s="25" t="n"/>
      <c r="D310" s="25" t="n"/>
      <c r="E310" s="25" t="n"/>
      <c r="F310" s="26" t="n"/>
      <c r="G310" s="25" t="n"/>
      <c r="H310" s="25" t="n"/>
      <c r="I310" s="26" t="n"/>
      <c r="J310" s="25" t="n"/>
      <c r="K310" s="26" t="n"/>
      <c r="L310" s="25" t="n"/>
      <c r="M310" s="25" t="n"/>
      <c r="N310" s="26" t="n"/>
      <c r="O310" s="25" t="n"/>
      <c r="P310" s="25" t="n"/>
      <c r="Q310" s="26" t="n"/>
      <c r="R310" s="25">
        <f>IF(AND($A310="",$B310=""),"",IF(Q310="Complete","Onboarded",IF(OR(M310="Member",M310="Ambassador"),"Sponsored",IF(K310&lt;&gt;"","Follow-Up",IF(I310&lt;&gt;"","Presented",IF(F310&lt;&gt;"","Contacted","New Lead"))))))</f>
        <v/>
      </c>
      <c r="S310" s="25" t="n"/>
      <c r="T310" s="25">
        <f>IF(MAX(F310,I310,K310)=0,"",TODAY()-MAX(F310,I310,K310))</f>
        <v/>
      </c>
      <c r="U310" s="25" t="n"/>
      <c r="V310" s="25" t="n"/>
      <c r="W310" s="25">
        <f>IF(AND($A310="",$B310=""),"",IF(M310="Ambassador","1 - Ambassador",IF(M310="Member","2 - Member",IF(J310="Completed","3 - Presented",IF(H310&lt;&gt;"","4 - Sent",IF(F310&lt;&gt;"","5 - Contacted","6 - No Activity"))))))</f>
        <v/>
      </c>
      <c r="X310" s="25">
        <f>IF(AND($A310="",$B310=""),9999999+(ROW()-4),VALUE(LEFT($W310,1))*10000+(ROW()-4))</f>
        <v/>
      </c>
    </row>
    <row r="311" ht="15" customHeight="1" s="20">
      <c r="A311" s="25" t="n"/>
      <c r="B311" s="25" t="n"/>
      <c r="C311" s="25" t="n"/>
      <c r="D311" s="25" t="n"/>
      <c r="E311" s="25" t="n"/>
      <c r="F311" s="26" t="n"/>
      <c r="G311" s="25" t="n"/>
      <c r="H311" s="25" t="n"/>
      <c r="I311" s="26" t="n"/>
      <c r="J311" s="25" t="n"/>
      <c r="K311" s="26" t="n"/>
      <c r="L311" s="25" t="n"/>
      <c r="M311" s="25" t="n"/>
      <c r="N311" s="26" t="n"/>
      <c r="O311" s="25" t="n"/>
      <c r="P311" s="25" t="n"/>
      <c r="Q311" s="26" t="n"/>
      <c r="R311" s="25">
        <f>IF(AND($A311="",$B311=""),"",IF(Q311="Complete","Onboarded",IF(OR(M311="Member",M311="Ambassador"),"Sponsored",IF(K311&lt;&gt;"","Follow-Up",IF(I311&lt;&gt;"","Presented",IF(F311&lt;&gt;"","Contacted","New Lead"))))))</f>
        <v/>
      </c>
      <c r="S311" s="25" t="n"/>
      <c r="T311" s="25">
        <f>IF(MAX(F311,I311,K311)=0,"",TODAY()-MAX(F311,I311,K311))</f>
        <v/>
      </c>
      <c r="U311" s="25" t="n"/>
      <c r="V311" s="25" t="n"/>
      <c r="W311" s="25">
        <f>IF(AND($A311="",$B311=""),"",IF(M311="Ambassador","1 - Ambassador",IF(M311="Member","2 - Member",IF(J311="Completed","3 - Presented",IF(H311&lt;&gt;"","4 - Sent",IF(F311&lt;&gt;"","5 - Contacted","6 - No Activity"))))))</f>
        <v/>
      </c>
      <c r="X311" s="25">
        <f>IF(AND($A311="",$B311=""),9999999+(ROW()-4),VALUE(LEFT($W311,1))*10000+(ROW()-4))</f>
        <v/>
      </c>
    </row>
    <row r="312" ht="15" customHeight="1" s="20">
      <c r="A312" s="25" t="n"/>
      <c r="B312" s="25" t="n"/>
      <c r="C312" s="25" t="n"/>
      <c r="D312" s="25" t="n"/>
      <c r="E312" s="25" t="n"/>
      <c r="F312" s="26" t="n"/>
      <c r="G312" s="25" t="n"/>
      <c r="H312" s="25" t="n"/>
      <c r="I312" s="26" t="n"/>
      <c r="J312" s="25" t="n"/>
      <c r="K312" s="26" t="n"/>
      <c r="L312" s="25" t="n"/>
      <c r="M312" s="25" t="n"/>
      <c r="N312" s="26" t="n"/>
      <c r="O312" s="25" t="n"/>
      <c r="P312" s="25" t="n"/>
      <c r="Q312" s="26" t="n"/>
      <c r="R312" s="25">
        <f>IF(AND($A312="",$B312=""),"",IF(Q312="Complete","Onboarded",IF(OR(M312="Member",M312="Ambassador"),"Sponsored",IF(K312&lt;&gt;"","Follow-Up",IF(I312&lt;&gt;"","Presented",IF(F312&lt;&gt;"","Contacted","New Lead"))))))</f>
        <v/>
      </c>
      <c r="S312" s="25" t="n"/>
      <c r="T312" s="25">
        <f>IF(MAX(F312,I312,K312)=0,"",TODAY()-MAX(F312,I312,K312))</f>
        <v/>
      </c>
      <c r="U312" s="25" t="n"/>
      <c r="V312" s="25" t="n"/>
      <c r="W312" s="25">
        <f>IF(AND($A312="",$B312=""),"",IF(M312="Ambassador","1 - Ambassador",IF(M312="Member","2 - Member",IF(J312="Completed","3 - Presented",IF(H312&lt;&gt;"","4 - Sent",IF(F312&lt;&gt;"","5 - Contacted","6 - No Activity"))))))</f>
        <v/>
      </c>
      <c r="X312" s="25">
        <f>IF(AND($A312="",$B312=""),9999999+(ROW()-4),VALUE(LEFT($W312,1))*10000+(ROW()-4))</f>
        <v/>
      </c>
    </row>
    <row r="313" ht="15" customHeight="1" s="20">
      <c r="A313" s="25" t="n"/>
      <c r="B313" s="25" t="n"/>
      <c r="C313" s="25" t="n"/>
      <c r="D313" s="25" t="n"/>
      <c r="E313" s="25" t="n"/>
      <c r="F313" s="26" t="n"/>
      <c r="G313" s="25" t="n"/>
      <c r="H313" s="25" t="n"/>
      <c r="I313" s="26" t="n"/>
      <c r="J313" s="25" t="n"/>
      <c r="K313" s="26" t="n"/>
      <c r="L313" s="25" t="n"/>
      <c r="M313" s="25" t="n"/>
      <c r="N313" s="26" t="n"/>
      <c r="O313" s="25" t="n"/>
      <c r="P313" s="25" t="n"/>
      <c r="Q313" s="26" t="n"/>
      <c r="R313" s="25">
        <f>IF(AND($A313="",$B313=""),"",IF(Q313="Complete","Onboarded",IF(OR(M313="Member",M313="Ambassador"),"Sponsored",IF(K313&lt;&gt;"","Follow-Up",IF(I313&lt;&gt;"","Presented",IF(F313&lt;&gt;"","Contacted","New Lead"))))))</f>
        <v/>
      </c>
      <c r="S313" s="25" t="n"/>
      <c r="T313" s="25">
        <f>IF(MAX(F313,I313,K313)=0,"",TODAY()-MAX(F313,I313,K313))</f>
        <v/>
      </c>
      <c r="U313" s="25" t="n"/>
      <c r="V313" s="25" t="n"/>
      <c r="W313" s="25">
        <f>IF(AND($A313="",$B313=""),"",IF(M313="Ambassador","1 - Ambassador",IF(M313="Member","2 - Member",IF(J313="Completed","3 - Presented",IF(H313&lt;&gt;"","4 - Sent",IF(F313&lt;&gt;"","5 - Contacted","6 - No Activity"))))))</f>
        <v/>
      </c>
      <c r="X313" s="25">
        <f>IF(AND($A313="",$B313=""),9999999+(ROW()-4),VALUE(LEFT($W313,1))*10000+(ROW()-4))</f>
        <v/>
      </c>
    </row>
    <row r="314" ht="15" customHeight="1" s="20">
      <c r="A314" s="25" t="n"/>
      <c r="B314" s="25" t="n"/>
      <c r="C314" s="25" t="n"/>
      <c r="D314" s="25" t="n"/>
      <c r="E314" s="25" t="n"/>
      <c r="F314" s="26" t="n"/>
      <c r="G314" s="25" t="n"/>
      <c r="H314" s="25" t="n"/>
      <c r="I314" s="26" t="n"/>
      <c r="J314" s="25" t="n"/>
      <c r="K314" s="26" t="n"/>
      <c r="L314" s="25" t="n"/>
      <c r="M314" s="25" t="n"/>
      <c r="N314" s="26" t="n"/>
      <c r="O314" s="25" t="n"/>
      <c r="P314" s="25" t="n"/>
      <c r="Q314" s="26" t="n"/>
      <c r="R314" s="25">
        <f>IF(AND($A314="",$B314=""),"",IF(Q314="Complete","Onboarded",IF(OR(M314="Member",M314="Ambassador"),"Sponsored",IF(K314&lt;&gt;"","Follow-Up",IF(I314&lt;&gt;"","Presented",IF(F314&lt;&gt;"","Contacted","New Lead"))))))</f>
        <v/>
      </c>
      <c r="S314" s="25" t="n"/>
      <c r="T314" s="25">
        <f>IF(MAX(F314,I314,K314)=0,"",TODAY()-MAX(F314,I314,K314))</f>
        <v/>
      </c>
      <c r="U314" s="25" t="n"/>
      <c r="V314" s="25" t="n"/>
      <c r="W314" s="25">
        <f>IF(AND($A314="",$B314=""),"",IF(M314="Ambassador","1 - Ambassador",IF(M314="Member","2 - Member",IF(J314="Completed","3 - Presented",IF(H314&lt;&gt;"","4 - Sent",IF(F314&lt;&gt;"","5 - Contacted","6 - No Activity"))))))</f>
        <v/>
      </c>
      <c r="X314" s="25">
        <f>IF(AND($A314="",$B314=""),9999999+(ROW()-4),VALUE(LEFT($W314,1))*10000+(ROW()-4))</f>
        <v/>
      </c>
    </row>
    <row r="315" ht="15" customHeight="1" s="20">
      <c r="A315" s="25" t="n"/>
      <c r="B315" s="25" t="n"/>
      <c r="C315" s="25" t="n"/>
      <c r="D315" s="25" t="n"/>
      <c r="E315" s="25" t="n"/>
      <c r="F315" s="26" t="n"/>
      <c r="G315" s="25" t="n"/>
      <c r="H315" s="25" t="n"/>
      <c r="I315" s="26" t="n"/>
      <c r="J315" s="25" t="n"/>
      <c r="K315" s="26" t="n"/>
      <c r="L315" s="25" t="n"/>
      <c r="M315" s="25" t="n"/>
      <c r="N315" s="26" t="n"/>
      <c r="O315" s="25" t="n"/>
      <c r="P315" s="25" t="n"/>
      <c r="Q315" s="26" t="n"/>
      <c r="R315" s="25">
        <f>IF(AND($A315="",$B315=""),"",IF(Q315="Complete","Onboarded",IF(OR(M315="Member",M315="Ambassador"),"Sponsored",IF(K315&lt;&gt;"","Follow-Up",IF(I315&lt;&gt;"","Presented",IF(F315&lt;&gt;"","Contacted","New Lead"))))))</f>
        <v/>
      </c>
      <c r="S315" s="25" t="n"/>
      <c r="T315" s="25">
        <f>IF(MAX(F315,I315,K315)=0,"",TODAY()-MAX(F315,I315,K315))</f>
        <v/>
      </c>
      <c r="U315" s="25" t="n"/>
      <c r="V315" s="25" t="n"/>
      <c r="W315" s="25">
        <f>IF(AND($A315="",$B315=""),"",IF(M315="Ambassador","1 - Ambassador",IF(M315="Member","2 - Member",IF(J315="Completed","3 - Presented",IF(H315&lt;&gt;"","4 - Sent",IF(F315&lt;&gt;"","5 - Contacted","6 - No Activity"))))))</f>
        <v/>
      </c>
      <c r="X315" s="25">
        <f>IF(AND($A315="",$B315=""),9999999+(ROW()-4),VALUE(LEFT($W315,1))*10000+(ROW()-4))</f>
        <v/>
      </c>
    </row>
    <row r="316" ht="15" customHeight="1" s="20">
      <c r="A316" s="25" t="n"/>
      <c r="B316" s="25" t="n"/>
      <c r="C316" s="25" t="n"/>
      <c r="D316" s="25" t="n"/>
      <c r="E316" s="25" t="n"/>
      <c r="F316" s="26" t="n"/>
      <c r="G316" s="25" t="n"/>
      <c r="H316" s="25" t="n"/>
      <c r="I316" s="26" t="n"/>
      <c r="J316" s="25" t="n"/>
      <c r="K316" s="26" t="n"/>
      <c r="L316" s="25" t="n"/>
      <c r="M316" s="25" t="n"/>
      <c r="N316" s="26" t="n"/>
      <c r="O316" s="25" t="n"/>
      <c r="P316" s="25" t="n"/>
      <c r="Q316" s="26" t="n"/>
      <c r="R316" s="25">
        <f>IF(AND($A316="",$B316=""),"",IF(Q316="Complete","Onboarded",IF(OR(M316="Member",M316="Ambassador"),"Sponsored",IF(K316&lt;&gt;"","Follow-Up",IF(I316&lt;&gt;"","Presented",IF(F316&lt;&gt;"","Contacted","New Lead"))))))</f>
        <v/>
      </c>
      <c r="S316" s="25" t="n"/>
      <c r="T316" s="25">
        <f>IF(MAX(F316,I316,K316)=0,"",TODAY()-MAX(F316,I316,K316))</f>
        <v/>
      </c>
      <c r="U316" s="25" t="n"/>
      <c r="V316" s="25" t="n"/>
      <c r="W316" s="25">
        <f>IF(AND($A316="",$B316=""),"",IF(M316="Ambassador","1 - Ambassador",IF(M316="Member","2 - Member",IF(J316="Completed","3 - Presented",IF(H316&lt;&gt;"","4 - Sent",IF(F316&lt;&gt;"","5 - Contacted","6 - No Activity"))))))</f>
        <v/>
      </c>
      <c r="X316" s="25">
        <f>IF(AND($A316="",$B316=""),9999999+(ROW()-4),VALUE(LEFT($W316,1))*10000+(ROW()-4))</f>
        <v/>
      </c>
    </row>
    <row r="317" ht="15" customHeight="1" s="20">
      <c r="A317" s="25" t="n"/>
      <c r="B317" s="25" t="n"/>
      <c r="C317" s="25" t="n"/>
      <c r="D317" s="25" t="n"/>
      <c r="E317" s="25" t="n"/>
      <c r="F317" s="26" t="n"/>
      <c r="G317" s="25" t="n"/>
      <c r="H317" s="25" t="n"/>
      <c r="I317" s="26" t="n"/>
      <c r="J317" s="25" t="n"/>
      <c r="K317" s="26" t="n"/>
      <c r="L317" s="25" t="n"/>
      <c r="M317" s="25" t="n"/>
      <c r="N317" s="26" t="n"/>
      <c r="O317" s="25" t="n"/>
      <c r="P317" s="25" t="n"/>
      <c r="Q317" s="26" t="n"/>
      <c r="R317" s="25">
        <f>IF(AND($A317="",$B317=""),"",IF(Q317="Complete","Onboarded",IF(OR(M317="Member",M317="Ambassador"),"Sponsored",IF(K317&lt;&gt;"","Follow-Up",IF(I317&lt;&gt;"","Presented",IF(F317&lt;&gt;"","Contacted","New Lead"))))))</f>
        <v/>
      </c>
      <c r="S317" s="25" t="n"/>
      <c r="T317" s="25">
        <f>IF(MAX(F317,I317,K317)=0,"",TODAY()-MAX(F317,I317,K317))</f>
        <v/>
      </c>
      <c r="U317" s="25" t="n"/>
      <c r="V317" s="25" t="n"/>
      <c r="W317" s="25">
        <f>IF(AND($A317="",$B317=""),"",IF(M317="Ambassador","1 - Ambassador",IF(M317="Member","2 - Member",IF(J317="Completed","3 - Presented",IF(H317&lt;&gt;"","4 - Sent",IF(F317&lt;&gt;"","5 - Contacted","6 - No Activity"))))))</f>
        <v/>
      </c>
      <c r="X317" s="25">
        <f>IF(AND($A317="",$B317=""),9999999+(ROW()-4),VALUE(LEFT($W317,1))*10000+(ROW()-4))</f>
        <v/>
      </c>
    </row>
    <row r="318" ht="15" customHeight="1" s="20">
      <c r="A318" s="25" t="n"/>
      <c r="B318" s="25" t="n"/>
      <c r="C318" s="25" t="n"/>
      <c r="D318" s="25" t="n"/>
      <c r="E318" s="25" t="n"/>
      <c r="F318" s="26" t="n"/>
      <c r="G318" s="25" t="n"/>
      <c r="H318" s="25" t="n"/>
      <c r="I318" s="26" t="n"/>
      <c r="J318" s="25" t="n"/>
      <c r="K318" s="26" t="n"/>
      <c r="L318" s="25" t="n"/>
      <c r="M318" s="25" t="n"/>
      <c r="N318" s="26" t="n"/>
      <c r="O318" s="25" t="n"/>
      <c r="P318" s="25" t="n"/>
      <c r="Q318" s="26" t="n"/>
      <c r="R318" s="25">
        <f>IF(AND($A318="",$B318=""),"",IF(Q318="Complete","Onboarded",IF(OR(M318="Member",M318="Ambassador"),"Sponsored",IF(K318&lt;&gt;"","Follow-Up",IF(I318&lt;&gt;"","Presented",IF(F318&lt;&gt;"","Contacted","New Lead"))))))</f>
        <v/>
      </c>
      <c r="S318" s="25" t="n"/>
      <c r="T318" s="25">
        <f>IF(MAX(F318,I318,K318)=0,"",TODAY()-MAX(F318,I318,K318))</f>
        <v/>
      </c>
      <c r="U318" s="25" t="n"/>
      <c r="V318" s="25" t="n"/>
      <c r="W318" s="25">
        <f>IF(AND($A318="",$B318=""),"",IF(M318="Ambassador","1 - Ambassador",IF(M318="Member","2 - Member",IF(J318="Completed","3 - Presented",IF(H318&lt;&gt;"","4 - Sent",IF(F318&lt;&gt;"","5 - Contacted","6 - No Activity"))))))</f>
        <v/>
      </c>
      <c r="X318" s="25">
        <f>IF(AND($A318="",$B318=""),9999999+(ROW()-4),VALUE(LEFT($W318,1))*10000+(ROW()-4))</f>
        <v/>
      </c>
    </row>
    <row r="319" ht="15" customHeight="1" s="20">
      <c r="A319" s="25" t="n"/>
      <c r="B319" s="25" t="n"/>
      <c r="C319" s="25" t="n"/>
      <c r="D319" s="25" t="n"/>
      <c r="E319" s="25" t="n"/>
      <c r="F319" s="26" t="n"/>
      <c r="G319" s="25" t="n"/>
      <c r="H319" s="25" t="n"/>
      <c r="I319" s="26" t="n"/>
      <c r="J319" s="25" t="n"/>
      <c r="K319" s="26" t="n"/>
      <c r="L319" s="25" t="n"/>
      <c r="M319" s="25" t="n"/>
      <c r="N319" s="26" t="n"/>
      <c r="O319" s="25" t="n"/>
      <c r="P319" s="25" t="n"/>
      <c r="Q319" s="26" t="n"/>
      <c r="R319" s="25">
        <f>IF(AND($A319="",$B319=""),"",IF(Q319="Complete","Onboarded",IF(OR(M319="Member",M319="Ambassador"),"Sponsored",IF(K319&lt;&gt;"","Follow-Up",IF(I319&lt;&gt;"","Presented",IF(F319&lt;&gt;"","Contacted","New Lead"))))))</f>
        <v/>
      </c>
      <c r="S319" s="25" t="n"/>
      <c r="T319" s="25">
        <f>IF(MAX(F319,I319,K319)=0,"",TODAY()-MAX(F319,I319,K319))</f>
        <v/>
      </c>
      <c r="U319" s="25" t="n"/>
      <c r="V319" s="25" t="n"/>
      <c r="W319" s="25">
        <f>IF(AND($A319="",$B319=""),"",IF(M319="Ambassador","1 - Ambassador",IF(M319="Member","2 - Member",IF(J319="Completed","3 - Presented",IF(H319&lt;&gt;"","4 - Sent",IF(F319&lt;&gt;"","5 - Contacted","6 - No Activity"))))))</f>
        <v/>
      </c>
      <c r="X319" s="25">
        <f>IF(AND($A319="",$B319=""),9999999+(ROW()-4),VALUE(LEFT($W319,1))*10000+(ROW()-4))</f>
        <v/>
      </c>
    </row>
    <row r="320" ht="15" customHeight="1" s="20">
      <c r="A320" s="25" t="n"/>
      <c r="B320" s="25" t="n"/>
      <c r="C320" s="25" t="n"/>
      <c r="D320" s="25" t="n"/>
      <c r="E320" s="25" t="n"/>
      <c r="F320" s="26" t="n"/>
      <c r="G320" s="25" t="n"/>
      <c r="H320" s="25" t="n"/>
      <c r="I320" s="26" t="n"/>
      <c r="J320" s="25" t="n"/>
      <c r="K320" s="26" t="n"/>
      <c r="L320" s="25" t="n"/>
      <c r="M320" s="25" t="n"/>
      <c r="N320" s="26" t="n"/>
      <c r="O320" s="25" t="n"/>
      <c r="P320" s="25" t="n"/>
      <c r="Q320" s="26" t="n"/>
      <c r="R320" s="25">
        <f>IF(AND($A320="",$B320=""),"",IF(Q320="Complete","Onboarded",IF(OR(M320="Member",M320="Ambassador"),"Sponsored",IF(K320&lt;&gt;"","Follow-Up",IF(I320&lt;&gt;"","Presented",IF(F320&lt;&gt;"","Contacted","New Lead"))))))</f>
        <v/>
      </c>
      <c r="S320" s="25" t="n"/>
      <c r="T320" s="25">
        <f>IF(MAX(F320,I320,K320)=0,"",TODAY()-MAX(F320,I320,K320))</f>
        <v/>
      </c>
      <c r="U320" s="25" t="n"/>
      <c r="V320" s="25" t="n"/>
      <c r="W320" s="25">
        <f>IF(AND($A320="",$B320=""),"",IF(M320="Ambassador","1 - Ambassador",IF(M320="Member","2 - Member",IF(J320="Completed","3 - Presented",IF(H320&lt;&gt;"","4 - Sent",IF(F320&lt;&gt;"","5 - Contacted","6 - No Activity"))))))</f>
        <v/>
      </c>
      <c r="X320" s="25">
        <f>IF(AND($A320="",$B320=""),9999999+(ROW()-4),VALUE(LEFT($W320,1))*10000+(ROW()-4))</f>
        <v/>
      </c>
    </row>
    <row r="321" ht="15" customHeight="1" s="20">
      <c r="A321" s="25" t="n"/>
      <c r="B321" s="25" t="n"/>
      <c r="C321" s="25" t="n"/>
      <c r="D321" s="25" t="n"/>
      <c r="E321" s="25" t="n"/>
      <c r="F321" s="26" t="n"/>
      <c r="G321" s="25" t="n"/>
      <c r="H321" s="25" t="n"/>
      <c r="I321" s="26" t="n"/>
      <c r="J321" s="25" t="n"/>
      <c r="K321" s="26" t="n"/>
      <c r="L321" s="25" t="n"/>
      <c r="M321" s="25" t="n"/>
      <c r="N321" s="26" t="n"/>
      <c r="O321" s="25" t="n"/>
      <c r="P321" s="25" t="n"/>
      <c r="Q321" s="26" t="n"/>
      <c r="R321" s="25">
        <f>IF(AND($A321="",$B321=""),"",IF(Q321="Complete","Onboarded",IF(OR(M321="Member",M321="Ambassador"),"Sponsored",IF(K321&lt;&gt;"","Follow-Up",IF(I321&lt;&gt;"","Presented",IF(F321&lt;&gt;"","Contacted","New Lead"))))))</f>
        <v/>
      </c>
      <c r="S321" s="25" t="n"/>
      <c r="T321" s="25">
        <f>IF(MAX(F321,I321,K321)=0,"",TODAY()-MAX(F321,I321,K321))</f>
        <v/>
      </c>
      <c r="U321" s="25" t="n"/>
      <c r="V321" s="25" t="n"/>
      <c r="W321" s="25">
        <f>IF(AND($A321="",$B321=""),"",IF(M321="Ambassador","1 - Ambassador",IF(M321="Member","2 - Member",IF(J321="Completed","3 - Presented",IF(H321&lt;&gt;"","4 - Sent",IF(F321&lt;&gt;"","5 - Contacted","6 - No Activity"))))))</f>
        <v/>
      </c>
      <c r="X321" s="25">
        <f>IF(AND($A321="",$B321=""),9999999+(ROW()-4),VALUE(LEFT($W321,1))*10000+(ROW()-4))</f>
        <v/>
      </c>
    </row>
    <row r="322" ht="15" customHeight="1" s="20">
      <c r="A322" s="25" t="n"/>
      <c r="B322" s="25" t="n"/>
      <c r="C322" s="25" t="n"/>
      <c r="D322" s="25" t="n"/>
      <c r="E322" s="25" t="n"/>
      <c r="F322" s="26" t="n"/>
      <c r="G322" s="25" t="n"/>
      <c r="H322" s="25" t="n"/>
      <c r="I322" s="26" t="n"/>
      <c r="J322" s="25" t="n"/>
      <c r="K322" s="26" t="n"/>
      <c r="L322" s="25" t="n"/>
      <c r="M322" s="25" t="n"/>
      <c r="N322" s="26" t="n"/>
      <c r="O322" s="25" t="n"/>
      <c r="P322" s="25" t="n"/>
      <c r="Q322" s="26" t="n"/>
      <c r="R322" s="25">
        <f>IF(AND($A322="",$B322=""),"",IF(Q322="Complete","Onboarded",IF(OR(M322="Member",M322="Ambassador"),"Sponsored",IF(K322&lt;&gt;"","Follow-Up",IF(I322&lt;&gt;"","Presented",IF(F322&lt;&gt;"","Contacted","New Lead"))))))</f>
        <v/>
      </c>
      <c r="S322" s="25" t="n"/>
      <c r="T322" s="25">
        <f>IF(MAX(F322,I322,K322)=0,"",TODAY()-MAX(F322,I322,K322))</f>
        <v/>
      </c>
      <c r="U322" s="25" t="n"/>
      <c r="V322" s="25" t="n"/>
      <c r="W322" s="25">
        <f>IF(AND($A322="",$B322=""),"",IF(M322="Ambassador","1 - Ambassador",IF(M322="Member","2 - Member",IF(J322="Completed","3 - Presented",IF(H322&lt;&gt;"","4 - Sent",IF(F322&lt;&gt;"","5 - Contacted","6 - No Activity"))))))</f>
        <v/>
      </c>
      <c r="X322" s="25">
        <f>IF(AND($A322="",$B322=""),9999999+(ROW()-4),VALUE(LEFT($W322,1))*10000+(ROW()-4))</f>
        <v/>
      </c>
    </row>
    <row r="323" ht="15" customHeight="1" s="20">
      <c r="A323" s="25" t="n"/>
      <c r="B323" s="25" t="n"/>
      <c r="C323" s="25" t="n"/>
      <c r="D323" s="25" t="n"/>
      <c r="E323" s="25" t="n"/>
      <c r="F323" s="26" t="n"/>
      <c r="G323" s="25" t="n"/>
      <c r="H323" s="25" t="n"/>
      <c r="I323" s="26" t="n"/>
      <c r="J323" s="25" t="n"/>
      <c r="K323" s="26" t="n"/>
      <c r="L323" s="25" t="n"/>
      <c r="M323" s="25" t="n"/>
      <c r="N323" s="26" t="n"/>
      <c r="O323" s="25" t="n"/>
      <c r="P323" s="25" t="n"/>
      <c r="Q323" s="26" t="n"/>
      <c r="R323" s="25">
        <f>IF(AND($A323="",$B323=""),"",IF(Q323="Complete","Onboarded",IF(OR(M323="Member",M323="Ambassador"),"Sponsored",IF(K323&lt;&gt;"","Follow-Up",IF(I323&lt;&gt;"","Presented",IF(F323&lt;&gt;"","Contacted","New Lead"))))))</f>
        <v/>
      </c>
      <c r="S323" s="25" t="n"/>
      <c r="T323" s="25">
        <f>IF(MAX(F323,I323,K323)=0,"",TODAY()-MAX(F323,I323,K323))</f>
        <v/>
      </c>
      <c r="U323" s="25" t="n"/>
      <c r="V323" s="25" t="n"/>
      <c r="W323" s="25">
        <f>IF(AND($A323="",$B323=""),"",IF(M323="Ambassador","1 - Ambassador",IF(M323="Member","2 - Member",IF(J323="Completed","3 - Presented",IF(H323&lt;&gt;"","4 - Sent",IF(F323&lt;&gt;"","5 - Contacted","6 - No Activity"))))))</f>
        <v/>
      </c>
      <c r="X323" s="25">
        <f>IF(AND($A323="",$B323=""),9999999+(ROW()-4),VALUE(LEFT($W323,1))*10000+(ROW()-4))</f>
        <v/>
      </c>
    </row>
    <row r="324" ht="15" customHeight="1" s="20">
      <c r="A324" s="25" t="n"/>
      <c r="B324" s="25" t="n"/>
      <c r="C324" s="25" t="n"/>
      <c r="D324" s="25" t="n"/>
      <c r="E324" s="25" t="n"/>
      <c r="F324" s="26" t="n"/>
      <c r="G324" s="25" t="n"/>
      <c r="H324" s="25" t="n"/>
      <c r="I324" s="26" t="n"/>
      <c r="J324" s="25" t="n"/>
      <c r="K324" s="26" t="n"/>
      <c r="L324" s="25" t="n"/>
      <c r="M324" s="25" t="n"/>
      <c r="N324" s="26" t="n"/>
      <c r="O324" s="25" t="n"/>
      <c r="P324" s="25" t="n"/>
      <c r="Q324" s="26" t="n"/>
      <c r="R324" s="25">
        <f>IF(AND($A324="",$B324=""),"",IF(Q324="Complete","Onboarded",IF(OR(M324="Member",M324="Ambassador"),"Sponsored",IF(K324&lt;&gt;"","Follow-Up",IF(I324&lt;&gt;"","Presented",IF(F324&lt;&gt;"","Contacted","New Lead"))))))</f>
        <v/>
      </c>
      <c r="S324" s="25" t="n"/>
      <c r="T324" s="25">
        <f>IF(MAX(F324,I324,K324)=0,"",TODAY()-MAX(F324,I324,K324))</f>
        <v/>
      </c>
      <c r="U324" s="25" t="n"/>
      <c r="V324" s="25" t="n"/>
      <c r="W324" s="25">
        <f>IF(AND($A324="",$B324=""),"",IF(M324="Ambassador","1 - Ambassador",IF(M324="Member","2 - Member",IF(J324="Completed","3 - Presented",IF(H324&lt;&gt;"","4 - Sent",IF(F324&lt;&gt;"","5 - Contacted","6 - No Activity"))))))</f>
        <v/>
      </c>
      <c r="X324" s="25">
        <f>IF(AND($A324="",$B324=""),9999999+(ROW()-4),VALUE(LEFT($W324,1))*10000+(ROW()-4))</f>
        <v/>
      </c>
    </row>
    <row r="325" ht="15" customHeight="1" s="20">
      <c r="A325" s="25" t="n"/>
      <c r="B325" s="25" t="n"/>
      <c r="C325" s="25" t="n"/>
      <c r="D325" s="25" t="n"/>
      <c r="E325" s="25" t="n"/>
      <c r="F325" s="26" t="n"/>
      <c r="G325" s="25" t="n"/>
      <c r="H325" s="25" t="n"/>
      <c r="I325" s="26" t="n"/>
      <c r="J325" s="25" t="n"/>
      <c r="K325" s="26" t="n"/>
      <c r="L325" s="25" t="n"/>
      <c r="M325" s="25" t="n"/>
      <c r="N325" s="26" t="n"/>
      <c r="O325" s="25" t="n"/>
      <c r="P325" s="25" t="n"/>
      <c r="Q325" s="26" t="n"/>
      <c r="R325" s="25">
        <f>IF(AND($A325="",$B325=""),"",IF(Q325="Complete","Onboarded",IF(OR(M325="Member",M325="Ambassador"),"Sponsored",IF(K325&lt;&gt;"","Follow-Up",IF(I325&lt;&gt;"","Presented",IF(F325&lt;&gt;"","Contacted","New Lead"))))))</f>
        <v/>
      </c>
      <c r="S325" s="25" t="n"/>
      <c r="T325" s="25">
        <f>IF(MAX(F325,I325,K325)=0,"",TODAY()-MAX(F325,I325,K325))</f>
        <v/>
      </c>
      <c r="U325" s="25" t="n"/>
      <c r="V325" s="25" t="n"/>
      <c r="W325" s="25">
        <f>IF(AND($A325="",$B325=""),"",IF(M325="Ambassador","1 - Ambassador",IF(M325="Member","2 - Member",IF(J325="Completed","3 - Presented",IF(H325&lt;&gt;"","4 - Sent",IF(F325&lt;&gt;"","5 - Contacted","6 - No Activity"))))))</f>
        <v/>
      </c>
      <c r="X325" s="25">
        <f>IF(AND($A325="",$B325=""),9999999+(ROW()-4),VALUE(LEFT($W325,1))*10000+(ROW()-4))</f>
        <v/>
      </c>
    </row>
    <row r="326" ht="15" customHeight="1" s="20">
      <c r="A326" s="25" t="n"/>
      <c r="B326" s="25" t="n"/>
      <c r="C326" s="25" t="n"/>
      <c r="D326" s="25" t="n"/>
      <c r="E326" s="25" t="n"/>
      <c r="F326" s="26" t="n"/>
      <c r="G326" s="25" t="n"/>
      <c r="H326" s="25" t="n"/>
      <c r="I326" s="26" t="n"/>
      <c r="J326" s="25" t="n"/>
      <c r="K326" s="26" t="n"/>
      <c r="L326" s="25" t="n"/>
      <c r="M326" s="25" t="n"/>
      <c r="N326" s="26" t="n"/>
      <c r="O326" s="25" t="n"/>
      <c r="P326" s="25" t="n"/>
      <c r="Q326" s="26" t="n"/>
      <c r="R326" s="25">
        <f>IF(AND($A326="",$B326=""),"",IF(Q326="Complete","Onboarded",IF(OR(M326="Member",M326="Ambassador"),"Sponsored",IF(K326&lt;&gt;"","Follow-Up",IF(I326&lt;&gt;"","Presented",IF(F326&lt;&gt;"","Contacted","New Lead"))))))</f>
        <v/>
      </c>
      <c r="S326" s="25" t="n"/>
      <c r="T326" s="25">
        <f>IF(MAX(F326,I326,K326)=0,"",TODAY()-MAX(F326,I326,K326))</f>
        <v/>
      </c>
      <c r="U326" s="25" t="n"/>
      <c r="V326" s="25" t="n"/>
      <c r="W326" s="25">
        <f>IF(AND($A326="",$B326=""),"",IF(M326="Ambassador","1 - Ambassador",IF(M326="Member","2 - Member",IF(J326="Completed","3 - Presented",IF(H326&lt;&gt;"","4 - Sent",IF(F326&lt;&gt;"","5 - Contacted","6 - No Activity"))))))</f>
        <v/>
      </c>
      <c r="X326" s="25">
        <f>IF(AND($A326="",$B326=""),9999999+(ROW()-4),VALUE(LEFT($W326,1))*10000+(ROW()-4))</f>
        <v/>
      </c>
    </row>
    <row r="327" ht="15" customHeight="1" s="20">
      <c r="A327" s="25" t="n"/>
      <c r="B327" s="25" t="n"/>
      <c r="C327" s="25" t="n"/>
      <c r="D327" s="25" t="n"/>
      <c r="E327" s="25" t="n"/>
      <c r="F327" s="26" t="n"/>
      <c r="G327" s="25" t="n"/>
      <c r="H327" s="25" t="n"/>
      <c r="I327" s="26" t="n"/>
      <c r="J327" s="25" t="n"/>
      <c r="K327" s="26" t="n"/>
      <c r="L327" s="25" t="n"/>
      <c r="M327" s="25" t="n"/>
      <c r="N327" s="26" t="n"/>
      <c r="O327" s="25" t="n"/>
      <c r="P327" s="25" t="n"/>
      <c r="Q327" s="26" t="n"/>
      <c r="R327" s="25">
        <f>IF(AND($A327="",$B327=""),"",IF(Q327="Complete","Onboarded",IF(OR(M327="Member",M327="Ambassador"),"Sponsored",IF(K327&lt;&gt;"","Follow-Up",IF(I327&lt;&gt;"","Presented",IF(F327&lt;&gt;"","Contacted","New Lead"))))))</f>
        <v/>
      </c>
      <c r="S327" s="25" t="n"/>
      <c r="T327" s="25">
        <f>IF(MAX(F327,I327,K327)=0,"",TODAY()-MAX(F327,I327,K327))</f>
        <v/>
      </c>
      <c r="U327" s="25" t="n"/>
      <c r="V327" s="25" t="n"/>
      <c r="W327" s="25">
        <f>IF(AND($A327="",$B327=""),"",IF(M327="Ambassador","1 - Ambassador",IF(M327="Member","2 - Member",IF(J327="Completed","3 - Presented",IF(H327&lt;&gt;"","4 - Sent",IF(F327&lt;&gt;"","5 - Contacted","6 - No Activity"))))))</f>
        <v/>
      </c>
      <c r="X327" s="25">
        <f>IF(AND($A327="",$B327=""),9999999+(ROW()-4),VALUE(LEFT($W327,1))*10000+(ROW()-4))</f>
        <v/>
      </c>
    </row>
    <row r="328" ht="15" customHeight="1" s="20">
      <c r="A328" s="25" t="n"/>
      <c r="B328" s="25" t="n"/>
      <c r="C328" s="25" t="n"/>
      <c r="D328" s="25" t="n"/>
      <c r="E328" s="25" t="n"/>
      <c r="F328" s="26" t="n"/>
      <c r="G328" s="25" t="n"/>
      <c r="H328" s="25" t="n"/>
      <c r="I328" s="26" t="n"/>
      <c r="J328" s="25" t="n"/>
      <c r="K328" s="26" t="n"/>
      <c r="L328" s="25" t="n"/>
      <c r="M328" s="25" t="n"/>
      <c r="N328" s="26" t="n"/>
      <c r="O328" s="25" t="n"/>
      <c r="P328" s="25" t="n"/>
      <c r="Q328" s="26" t="n"/>
      <c r="R328" s="25">
        <f>IF(AND($A328="",$B328=""),"",IF(Q328="Complete","Onboarded",IF(OR(M328="Member",M328="Ambassador"),"Sponsored",IF(K328&lt;&gt;"","Follow-Up",IF(I328&lt;&gt;"","Presented",IF(F328&lt;&gt;"","Contacted","New Lead"))))))</f>
        <v/>
      </c>
      <c r="S328" s="25" t="n"/>
      <c r="T328" s="25">
        <f>IF(MAX(F328,I328,K328)=0,"",TODAY()-MAX(F328,I328,K328))</f>
        <v/>
      </c>
      <c r="U328" s="25" t="n"/>
      <c r="V328" s="25" t="n"/>
      <c r="W328" s="25">
        <f>IF(AND($A328="",$B328=""),"",IF(M328="Ambassador","1 - Ambassador",IF(M328="Member","2 - Member",IF(J328="Completed","3 - Presented",IF(H328&lt;&gt;"","4 - Sent",IF(F328&lt;&gt;"","5 - Contacted","6 - No Activity"))))))</f>
        <v/>
      </c>
      <c r="X328" s="25">
        <f>IF(AND($A328="",$B328=""),9999999+(ROW()-4),VALUE(LEFT($W328,1))*10000+(ROW()-4))</f>
        <v/>
      </c>
    </row>
    <row r="329" ht="15" customHeight="1" s="20">
      <c r="A329" s="25" t="n"/>
      <c r="B329" s="25" t="n"/>
      <c r="C329" s="25" t="n"/>
      <c r="D329" s="25" t="n"/>
      <c r="E329" s="25" t="n"/>
      <c r="F329" s="26" t="n"/>
      <c r="G329" s="25" t="n"/>
      <c r="H329" s="25" t="n"/>
      <c r="I329" s="26" t="n"/>
      <c r="J329" s="25" t="n"/>
      <c r="K329" s="26" t="n"/>
      <c r="L329" s="25" t="n"/>
      <c r="M329" s="25" t="n"/>
      <c r="N329" s="26" t="n"/>
      <c r="O329" s="25" t="n"/>
      <c r="P329" s="25" t="n"/>
      <c r="Q329" s="26" t="n"/>
      <c r="R329" s="25">
        <f>IF(AND($A329="",$B329=""),"",IF(Q329="Complete","Onboarded",IF(OR(M329="Member",M329="Ambassador"),"Sponsored",IF(K329&lt;&gt;"","Follow-Up",IF(I329&lt;&gt;"","Presented",IF(F329&lt;&gt;"","Contacted","New Lead"))))))</f>
        <v/>
      </c>
      <c r="S329" s="25" t="n"/>
      <c r="T329" s="25">
        <f>IF(MAX(F329,I329,K329)=0,"",TODAY()-MAX(F329,I329,K329))</f>
        <v/>
      </c>
      <c r="U329" s="25" t="n"/>
      <c r="V329" s="25" t="n"/>
      <c r="W329" s="25">
        <f>IF(AND($A329="",$B329=""),"",IF(M329="Ambassador","1 - Ambassador",IF(M329="Member","2 - Member",IF(J329="Completed","3 - Presented",IF(H329&lt;&gt;"","4 - Sent",IF(F329&lt;&gt;"","5 - Contacted","6 - No Activity"))))))</f>
        <v/>
      </c>
      <c r="X329" s="25">
        <f>IF(AND($A329="",$B329=""),9999999+(ROW()-4),VALUE(LEFT($W329,1))*10000+(ROW()-4))</f>
        <v/>
      </c>
    </row>
    <row r="330" ht="15" customHeight="1" s="20">
      <c r="A330" s="25" t="n"/>
      <c r="B330" s="25" t="n"/>
      <c r="C330" s="25" t="n"/>
      <c r="D330" s="25" t="n"/>
      <c r="E330" s="25" t="n"/>
      <c r="F330" s="26" t="n"/>
      <c r="G330" s="25" t="n"/>
      <c r="H330" s="25" t="n"/>
      <c r="I330" s="26" t="n"/>
      <c r="J330" s="25" t="n"/>
      <c r="K330" s="26" t="n"/>
      <c r="L330" s="25" t="n"/>
      <c r="M330" s="25" t="n"/>
      <c r="N330" s="26" t="n"/>
      <c r="O330" s="25" t="n"/>
      <c r="P330" s="25" t="n"/>
      <c r="Q330" s="26" t="n"/>
      <c r="R330" s="25">
        <f>IF(AND($A330="",$B330=""),"",IF(Q330="Complete","Onboarded",IF(OR(M330="Member",M330="Ambassador"),"Sponsored",IF(K330&lt;&gt;"","Follow-Up",IF(I330&lt;&gt;"","Presented",IF(F330&lt;&gt;"","Contacted","New Lead"))))))</f>
        <v/>
      </c>
      <c r="S330" s="25" t="n"/>
      <c r="T330" s="25">
        <f>IF(MAX(F330,I330,K330)=0,"",TODAY()-MAX(F330,I330,K330))</f>
        <v/>
      </c>
      <c r="U330" s="25" t="n"/>
      <c r="V330" s="25" t="n"/>
      <c r="W330" s="25">
        <f>IF(AND($A330="",$B330=""),"",IF(M330="Ambassador","1 - Ambassador",IF(M330="Member","2 - Member",IF(J330="Completed","3 - Presented",IF(H330&lt;&gt;"","4 - Sent",IF(F330&lt;&gt;"","5 - Contacted","6 - No Activity"))))))</f>
        <v/>
      </c>
      <c r="X330" s="25">
        <f>IF(AND($A330="",$B330=""),9999999+(ROW()-4),VALUE(LEFT($W330,1))*10000+(ROW()-4))</f>
        <v/>
      </c>
    </row>
    <row r="331" ht="15" customHeight="1" s="20">
      <c r="A331" s="25" t="n"/>
      <c r="B331" s="25" t="n"/>
      <c r="C331" s="25" t="n"/>
      <c r="D331" s="25" t="n"/>
      <c r="E331" s="25" t="n"/>
      <c r="F331" s="26" t="n"/>
      <c r="G331" s="25" t="n"/>
      <c r="H331" s="25" t="n"/>
      <c r="I331" s="26" t="n"/>
      <c r="J331" s="25" t="n"/>
      <c r="K331" s="26" t="n"/>
      <c r="L331" s="25" t="n"/>
      <c r="M331" s="25" t="n"/>
      <c r="N331" s="26" t="n"/>
      <c r="O331" s="25" t="n"/>
      <c r="P331" s="25" t="n"/>
      <c r="Q331" s="26" t="n"/>
      <c r="R331" s="25">
        <f>IF(AND($A331="",$B331=""),"",IF(Q331="Complete","Onboarded",IF(OR(M331="Member",M331="Ambassador"),"Sponsored",IF(K331&lt;&gt;"","Follow-Up",IF(I331&lt;&gt;"","Presented",IF(F331&lt;&gt;"","Contacted","New Lead"))))))</f>
        <v/>
      </c>
      <c r="S331" s="25" t="n"/>
      <c r="T331" s="25">
        <f>IF(MAX(F331,I331,K331)=0,"",TODAY()-MAX(F331,I331,K331))</f>
        <v/>
      </c>
      <c r="U331" s="25" t="n"/>
      <c r="V331" s="25" t="n"/>
      <c r="W331" s="25">
        <f>IF(AND($A331="",$B331=""),"",IF(M331="Ambassador","1 - Ambassador",IF(M331="Member","2 - Member",IF(J331="Completed","3 - Presented",IF(H331&lt;&gt;"","4 - Sent",IF(F331&lt;&gt;"","5 - Contacted","6 - No Activity"))))))</f>
        <v/>
      </c>
      <c r="X331" s="25">
        <f>IF(AND($A331="",$B331=""),9999999+(ROW()-4),VALUE(LEFT($W331,1))*10000+(ROW()-4))</f>
        <v/>
      </c>
    </row>
    <row r="332" ht="15" customHeight="1" s="20">
      <c r="A332" s="25" t="n"/>
      <c r="B332" s="25" t="n"/>
      <c r="C332" s="25" t="n"/>
      <c r="D332" s="25" t="n"/>
      <c r="E332" s="25" t="n"/>
      <c r="F332" s="26" t="n"/>
      <c r="G332" s="25" t="n"/>
      <c r="H332" s="25" t="n"/>
      <c r="I332" s="26" t="n"/>
      <c r="J332" s="25" t="n"/>
      <c r="K332" s="26" t="n"/>
      <c r="L332" s="25" t="n"/>
      <c r="M332" s="25" t="n"/>
      <c r="N332" s="26" t="n"/>
      <c r="O332" s="25" t="n"/>
      <c r="P332" s="25" t="n"/>
      <c r="Q332" s="26" t="n"/>
      <c r="R332" s="25">
        <f>IF(AND($A332="",$B332=""),"",IF(Q332="Complete","Onboarded",IF(OR(M332="Member",M332="Ambassador"),"Sponsored",IF(K332&lt;&gt;"","Follow-Up",IF(I332&lt;&gt;"","Presented",IF(F332&lt;&gt;"","Contacted","New Lead"))))))</f>
        <v/>
      </c>
      <c r="S332" s="25" t="n"/>
      <c r="T332" s="25">
        <f>IF(MAX(F332,I332,K332)=0,"",TODAY()-MAX(F332,I332,K332))</f>
        <v/>
      </c>
      <c r="U332" s="25" t="n"/>
      <c r="V332" s="25" t="n"/>
      <c r="W332" s="25">
        <f>IF(AND($A332="",$B332=""),"",IF(M332="Ambassador","1 - Ambassador",IF(M332="Member","2 - Member",IF(J332="Completed","3 - Presented",IF(H332&lt;&gt;"","4 - Sent",IF(F332&lt;&gt;"","5 - Contacted","6 - No Activity"))))))</f>
        <v/>
      </c>
      <c r="X332" s="25">
        <f>IF(AND($A332="",$B332=""),9999999+(ROW()-4),VALUE(LEFT($W332,1))*10000+(ROW()-4))</f>
        <v/>
      </c>
    </row>
    <row r="333" ht="15" customHeight="1" s="20">
      <c r="A333" s="25" t="n"/>
      <c r="B333" s="25" t="n"/>
      <c r="C333" s="25" t="n"/>
      <c r="D333" s="25" t="n"/>
      <c r="E333" s="25" t="n"/>
      <c r="F333" s="26" t="n"/>
      <c r="G333" s="25" t="n"/>
      <c r="H333" s="25" t="n"/>
      <c r="I333" s="26" t="n"/>
      <c r="J333" s="25" t="n"/>
      <c r="K333" s="26" t="n"/>
      <c r="L333" s="25" t="n"/>
      <c r="M333" s="25" t="n"/>
      <c r="N333" s="26" t="n"/>
      <c r="O333" s="25" t="n"/>
      <c r="P333" s="25" t="n"/>
      <c r="Q333" s="26" t="n"/>
      <c r="R333" s="25">
        <f>IF(AND($A333="",$B333=""),"",IF(Q333="Complete","Onboarded",IF(OR(M333="Member",M333="Ambassador"),"Sponsored",IF(K333&lt;&gt;"","Follow-Up",IF(I333&lt;&gt;"","Presented",IF(F333&lt;&gt;"","Contacted","New Lead"))))))</f>
        <v/>
      </c>
      <c r="S333" s="25" t="n"/>
      <c r="T333" s="25">
        <f>IF(MAX(F333,I333,K333)=0,"",TODAY()-MAX(F333,I333,K333))</f>
        <v/>
      </c>
      <c r="U333" s="25" t="n"/>
      <c r="V333" s="25" t="n"/>
      <c r="W333" s="25">
        <f>IF(AND($A333="",$B333=""),"",IF(M333="Ambassador","1 - Ambassador",IF(M333="Member","2 - Member",IF(J333="Completed","3 - Presented",IF(H333&lt;&gt;"","4 - Sent",IF(F333&lt;&gt;"","5 - Contacted","6 - No Activity"))))))</f>
        <v/>
      </c>
      <c r="X333" s="25">
        <f>IF(AND($A333="",$B333=""),9999999+(ROW()-4),VALUE(LEFT($W333,1))*10000+(ROW()-4))</f>
        <v/>
      </c>
    </row>
    <row r="334" ht="15" customHeight="1" s="20">
      <c r="A334" s="25" t="n"/>
      <c r="B334" s="25" t="n"/>
      <c r="C334" s="25" t="n"/>
      <c r="D334" s="25" t="n"/>
      <c r="E334" s="25" t="n"/>
      <c r="F334" s="26" t="n"/>
      <c r="G334" s="25" t="n"/>
      <c r="H334" s="25" t="n"/>
      <c r="I334" s="26" t="n"/>
      <c r="J334" s="25" t="n"/>
      <c r="K334" s="26" t="n"/>
      <c r="L334" s="25" t="n"/>
      <c r="M334" s="25" t="n"/>
      <c r="N334" s="26" t="n"/>
      <c r="O334" s="25" t="n"/>
      <c r="P334" s="25" t="n"/>
      <c r="Q334" s="26" t="n"/>
      <c r="R334" s="25">
        <f>IF(AND($A334="",$B334=""),"",IF(Q334="Complete","Onboarded",IF(OR(M334="Member",M334="Ambassador"),"Sponsored",IF(K334&lt;&gt;"","Follow-Up",IF(I334&lt;&gt;"","Presented",IF(F334&lt;&gt;"","Contacted","New Lead"))))))</f>
        <v/>
      </c>
      <c r="S334" s="25" t="n"/>
      <c r="T334" s="25">
        <f>IF(MAX(F334,I334,K334)=0,"",TODAY()-MAX(F334,I334,K334))</f>
        <v/>
      </c>
      <c r="U334" s="25" t="n"/>
      <c r="V334" s="25" t="n"/>
      <c r="W334" s="25">
        <f>IF(AND($A334="",$B334=""),"",IF(M334="Ambassador","1 - Ambassador",IF(M334="Member","2 - Member",IF(J334="Completed","3 - Presented",IF(H334&lt;&gt;"","4 - Sent",IF(F334&lt;&gt;"","5 - Contacted","6 - No Activity"))))))</f>
        <v/>
      </c>
      <c r="X334" s="25">
        <f>IF(AND($A334="",$B334=""),9999999+(ROW()-4),VALUE(LEFT($W334,1))*10000+(ROW()-4))</f>
        <v/>
      </c>
    </row>
    <row r="335" ht="15" customHeight="1" s="20">
      <c r="A335" s="25" t="n"/>
      <c r="B335" s="25" t="n"/>
      <c r="C335" s="25" t="n"/>
      <c r="D335" s="25" t="n"/>
      <c r="E335" s="25" t="n"/>
      <c r="F335" s="26" t="n"/>
      <c r="G335" s="25" t="n"/>
      <c r="H335" s="25" t="n"/>
      <c r="I335" s="26" t="n"/>
      <c r="J335" s="25" t="n"/>
      <c r="K335" s="26" t="n"/>
      <c r="L335" s="25" t="n"/>
      <c r="M335" s="25" t="n"/>
      <c r="N335" s="26" t="n"/>
      <c r="O335" s="25" t="n"/>
      <c r="P335" s="25" t="n"/>
      <c r="Q335" s="26" t="n"/>
      <c r="R335" s="25">
        <f>IF(AND($A335="",$B335=""),"",IF(Q335="Complete","Onboarded",IF(OR(M335="Member",M335="Ambassador"),"Sponsored",IF(K335&lt;&gt;"","Follow-Up",IF(I335&lt;&gt;"","Presented",IF(F335&lt;&gt;"","Contacted","New Lead"))))))</f>
        <v/>
      </c>
      <c r="S335" s="25" t="n"/>
      <c r="T335" s="25">
        <f>IF(MAX(F335,I335,K335)=0,"",TODAY()-MAX(F335,I335,K335))</f>
        <v/>
      </c>
      <c r="U335" s="25" t="n"/>
      <c r="V335" s="25" t="n"/>
      <c r="W335" s="25">
        <f>IF(AND($A335="",$B335=""),"",IF(M335="Ambassador","1 - Ambassador",IF(M335="Member","2 - Member",IF(J335="Completed","3 - Presented",IF(H335&lt;&gt;"","4 - Sent",IF(F335&lt;&gt;"","5 - Contacted","6 - No Activity"))))))</f>
        <v/>
      </c>
      <c r="X335" s="25">
        <f>IF(AND($A335="",$B335=""),9999999+(ROW()-4),VALUE(LEFT($W335,1))*10000+(ROW()-4))</f>
        <v/>
      </c>
    </row>
    <row r="336" ht="15" customHeight="1" s="20">
      <c r="A336" s="25" t="n"/>
      <c r="B336" s="25" t="n"/>
      <c r="C336" s="25" t="n"/>
      <c r="D336" s="25" t="n"/>
      <c r="E336" s="25" t="n"/>
      <c r="F336" s="26" t="n"/>
      <c r="G336" s="25" t="n"/>
      <c r="H336" s="25" t="n"/>
      <c r="I336" s="26" t="n"/>
      <c r="J336" s="25" t="n"/>
      <c r="K336" s="26" t="n"/>
      <c r="L336" s="25" t="n"/>
      <c r="M336" s="25" t="n"/>
      <c r="N336" s="26" t="n"/>
      <c r="O336" s="25" t="n"/>
      <c r="P336" s="25" t="n"/>
      <c r="Q336" s="26" t="n"/>
      <c r="R336" s="25">
        <f>IF(AND($A336="",$B336=""),"",IF(Q336="Complete","Onboarded",IF(OR(M336="Member",M336="Ambassador"),"Sponsored",IF(K336&lt;&gt;"","Follow-Up",IF(I336&lt;&gt;"","Presented",IF(F336&lt;&gt;"","Contacted","New Lead"))))))</f>
        <v/>
      </c>
      <c r="S336" s="25" t="n"/>
      <c r="T336" s="25">
        <f>IF(MAX(F336,I336,K336)=0,"",TODAY()-MAX(F336,I336,K336))</f>
        <v/>
      </c>
      <c r="U336" s="25" t="n"/>
      <c r="V336" s="25" t="n"/>
      <c r="W336" s="25">
        <f>IF(AND($A336="",$B336=""),"",IF(M336="Ambassador","1 - Ambassador",IF(M336="Member","2 - Member",IF(J336="Completed","3 - Presented",IF(H336&lt;&gt;"","4 - Sent",IF(F336&lt;&gt;"","5 - Contacted","6 - No Activity"))))))</f>
        <v/>
      </c>
      <c r="X336" s="25">
        <f>IF(AND($A336="",$B336=""),9999999+(ROW()-4),VALUE(LEFT($W336,1))*10000+(ROW()-4))</f>
        <v/>
      </c>
    </row>
    <row r="337" ht="15" customHeight="1" s="20">
      <c r="A337" s="25" t="n"/>
      <c r="B337" s="25" t="n"/>
      <c r="C337" s="25" t="n"/>
      <c r="D337" s="25" t="n"/>
      <c r="E337" s="25" t="n"/>
      <c r="F337" s="26" t="n"/>
      <c r="G337" s="25" t="n"/>
      <c r="H337" s="25" t="n"/>
      <c r="I337" s="26" t="n"/>
      <c r="J337" s="25" t="n"/>
      <c r="K337" s="26" t="n"/>
      <c r="L337" s="25" t="n"/>
      <c r="M337" s="25" t="n"/>
      <c r="N337" s="26" t="n"/>
      <c r="O337" s="25" t="n"/>
      <c r="P337" s="25" t="n"/>
      <c r="Q337" s="26" t="n"/>
      <c r="R337" s="25">
        <f>IF(AND($A337="",$B337=""),"",IF(Q337="Complete","Onboarded",IF(OR(M337="Member",M337="Ambassador"),"Sponsored",IF(K337&lt;&gt;"","Follow-Up",IF(I337&lt;&gt;"","Presented",IF(F337&lt;&gt;"","Contacted","New Lead"))))))</f>
        <v/>
      </c>
      <c r="S337" s="25" t="n"/>
      <c r="T337" s="25">
        <f>IF(MAX(F337,I337,K337)=0,"",TODAY()-MAX(F337,I337,K337))</f>
        <v/>
      </c>
      <c r="U337" s="25" t="n"/>
      <c r="V337" s="25" t="n"/>
      <c r="W337" s="25">
        <f>IF(AND($A337="",$B337=""),"",IF(M337="Ambassador","1 - Ambassador",IF(M337="Member","2 - Member",IF(J337="Completed","3 - Presented",IF(H337&lt;&gt;"","4 - Sent",IF(F337&lt;&gt;"","5 - Contacted","6 - No Activity"))))))</f>
        <v/>
      </c>
      <c r="X337" s="25">
        <f>IF(AND($A337="",$B337=""),9999999+(ROW()-4),VALUE(LEFT($W337,1))*10000+(ROW()-4))</f>
        <v/>
      </c>
    </row>
    <row r="338" ht="15" customHeight="1" s="20">
      <c r="A338" s="25" t="n"/>
      <c r="B338" s="25" t="n"/>
      <c r="C338" s="25" t="n"/>
      <c r="D338" s="25" t="n"/>
      <c r="E338" s="25" t="n"/>
      <c r="F338" s="26" t="n"/>
      <c r="G338" s="25" t="n"/>
      <c r="H338" s="25" t="n"/>
      <c r="I338" s="26" t="n"/>
      <c r="J338" s="25" t="n"/>
      <c r="K338" s="26" t="n"/>
      <c r="L338" s="25" t="n"/>
      <c r="M338" s="25" t="n"/>
      <c r="N338" s="26" t="n"/>
      <c r="O338" s="25" t="n"/>
      <c r="P338" s="25" t="n"/>
      <c r="Q338" s="26" t="n"/>
      <c r="R338" s="25">
        <f>IF(AND($A338="",$B338=""),"",IF(Q338="Complete","Onboarded",IF(OR(M338="Member",M338="Ambassador"),"Sponsored",IF(K338&lt;&gt;"","Follow-Up",IF(I338&lt;&gt;"","Presented",IF(F338&lt;&gt;"","Contacted","New Lead"))))))</f>
        <v/>
      </c>
      <c r="S338" s="25" t="n"/>
      <c r="T338" s="25">
        <f>IF(MAX(F338,I338,K338)=0,"",TODAY()-MAX(F338,I338,K338))</f>
        <v/>
      </c>
      <c r="U338" s="25" t="n"/>
      <c r="V338" s="25" t="n"/>
      <c r="W338" s="25">
        <f>IF(AND($A338="",$B338=""),"",IF(M338="Ambassador","1 - Ambassador",IF(M338="Member","2 - Member",IF(J338="Completed","3 - Presented",IF(H338&lt;&gt;"","4 - Sent",IF(F338&lt;&gt;"","5 - Contacted","6 - No Activity"))))))</f>
        <v/>
      </c>
      <c r="X338" s="25">
        <f>IF(AND($A338="",$B338=""),9999999+(ROW()-4),VALUE(LEFT($W338,1))*10000+(ROW()-4))</f>
        <v/>
      </c>
    </row>
    <row r="339" ht="15" customHeight="1" s="20">
      <c r="A339" s="25" t="n"/>
      <c r="B339" s="25" t="n"/>
      <c r="C339" s="25" t="n"/>
      <c r="D339" s="25" t="n"/>
      <c r="E339" s="25" t="n"/>
      <c r="F339" s="26" t="n"/>
      <c r="G339" s="25" t="n"/>
      <c r="H339" s="25" t="n"/>
      <c r="I339" s="26" t="n"/>
      <c r="J339" s="25" t="n"/>
      <c r="K339" s="26" t="n"/>
      <c r="L339" s="25" t="n"/>
      <c r="M339" s="25" t="n"/>
      <c r="N339" s="26" t="n"/>
      <c r="O339" s="25" t="n"/>
      <c r="P339" s="25" t="n"/>
      <c r="Q339" s="26" t="n"/>
      <c r="R339" s="25">
        <f>IF(AND($A339="",$B339=""),"",IF(Q339="Complete","Onboarded",IF(OR(M339="Member",M339="Ambassador"),"Sponsored",IF(K339&lt;&gt;"","Follow-Up",IF(I339&lt;&gt;"","Presented",IF(F339&lt;&gt;"","Contacted","New Lead"))))))</f>
        <v/>
      </c>
      <c r="S339" s="25" t="n"/>
      <c r="T339" s="25">
        <f>IF(MAX(F339,I339,K339)=0,"",TODAY()-MAX(F339,I339,K339))</f>
        <v/>
      </c>
      <c r="U339" s="25" t="n"/>
      <c r="V339" s="25" t="n"/>
      <c r="W339" s="25">
        <f>IF(AND($A339="",$B339=""),"",IF(M339="Ambassador","1 - Ambassador",IF(M339="Member","2 - Member",IF(J339="Completed","3 - Presented",IF(H339&lt;&gt;"","4 - Sent",IF(F339&lt;&gt;"","5 - Contacted","6 - No Activity"))))))</f>
        <v/>
      </c>
      <c r="X339" s="25">
        <f>IF(AND($A339="",$B339=""),9999999+(ROW()-4),VALUE(LEFT($W339,1))*10000+(ROW()-4))</f>
        <v/>
      </c>
    </row>
    <row r="340" ht="15" customHeight="1" s="20">
      <c r="A340" s="25" t="n"/>
      <c r="B340" s="25" t="n"/>
      <c r="C340" s="25" t="n"/>
      <c r="D340" s="25" t="n"/>
      <c r="E340" s="25" t="n"/>
      <c r="F340" s="26" t="n"/>
      <c r="G340" s="25" t="n"/>
      <c r="H340" s="25" t="n"/>
      <c r="I340" s="26" t="n"/>
      <c r="J340" s="25" t="n"/>
      <c r="K340" s="26" t="n"/>
      <c r="L340" s="25" t="n"/>
      <c r="M340" s="25" t="n"/>
      <c r="N340" s="26" t="n"/>
      <c r="O340" s="25" t="n"/>
      <c r="P340" s="25" t="n"/>
      <c r="Q340" s="26" t="n"/>
      <c r="R340" s="25">
        <f>IF(AND($A340="",$B340=""),"",IF(Q340="Complete","Onboarded",IF(OR(M340="Member",M340="Ambassador"),"Sponsored",IF(K340&lt;&gt;"","Follow-Up",IF(I340&lt;&gt;"","Presented",IF(F340&lt;&gt;"","Contacted","New Lead"))))))</f>
        <v/>
      </c>
      <c r="S340" s="25" t="n"/>
      <c r="T340" s="25">
        <f>IF(MAX(F340,I340,K340)=0,"",TODAY()-MAX(F340,I340,K340))</f>
        <v/>
      </c>
      <c r="U340" s="25" t="n"/>
      <c r="V340" s="25" t="n"/>
      <c r="W340" s="25">
        <f>IF(AND($A340="",$B340=""),"",IF(M340="Ambassador","1 - Ambassador",IF(M340="Member","2 - Member",IF(J340="Completed","3 - Presented",IF(H340&lt;&gt;"","4 - Sent",IF(F340&lt;&gt;"","5 - Contacted","6 - No Activity"))))))</f>
        <v/>
      </c>
      <c r="X340" s="25">
        <f>IF(AND($A340="",$B340=""),9999999+(ROW()-4),VALUE(LEFT($W340,1))*10000+(ROW()-4))</f>
        <v/>
      </c>
    </row>
    <row r="341" ht="15" customHeight="1" s="20">
      <c r="A341" s="25" t="n"/>
      <c r="B341" s="25" t="n"/>
      <c r="C341" s="25" t="n"/>
      <c r="D341" s="25" t="n"/>
      <c r="E341" s="25" t="n"/>
      <c r="F341" s="26" t="n"/>
      <c r="G341" s="25" t="n"/>
      <c r="H341" s="25" t="n"/>
      <c r="I341" s="26" t="n"/>
      <c r="J341" s="25" t="n"/>
      <c r="K341" s="26" t="n"/>
      <c r="L341" s="25" t="n"/>
      <c r="M341" s="25" t="n"/>
      <c r="N341" s="26" t="n"/>
      <c r="O341" s="25" t="n"/>
      <c r="P341" s="25" t="n"/>
      <c r="Q341" s="26" t="n"/>
      <c r="R341" s="25">
        <f>IF(AND($A341="",$B341=""),"",IF(Q341="Complete","Onboarded",IF(OR(M341="Member",M341="Ambassador"),"Sponsored",IF(K341&lt;&gt;"","Follow-Up",IF(I341&lt;&gt;"","Presented",IF(F341&lt;&gt;"","Contacted","New Lead"))))))</f>
        <v/>
      </c>
      <c r="S341" s="25" t="n"/>
      <c r="T341" s="25">
        <f>IF(MAX(F341,I341,K341)=0,"",TODAY()-MAX(F341,I341,K341))</f>
        <v/>
      </c>
      <c r="U341" s="25" t="n"/>
      <c r="V341" s="25" t="n"/>
      <c r="W341" s="25">
        <f>IF(AND($A341="",$B341=""),"",IF(M341="Ambassador","1 - Ambassador",IF(M341="Member","2 - Member",IF(J341="Completed","3 - Presented",IF(H341&lt;&gt;"","4 - Sent",IF(F341&lt;&gt;"","5 - Contacted","6 - No Activity"))))))</f>
        <v/>
      </c>
      <c r="X341" s="25">
        <f>IF(AND($A341="",$B341=""),9999999+(ROW()-4),VALUE(LEFT($W341,1))*10000+(ROW()-4))</f>
        <v/>
      </c>
    </row>
    <row r="342" ht="15" customHeight="1" s="20">
      <c r="A342" s="25" t="n"/>
      <c r="B342" s="25" t="n"/>
      <c r="C342" s="25" t="n"/>
      <c r="D342" s="25" t="n"/>
      <c r="E342" s="25" t="n"/>
      <c r="F342" s="26" t="n"/>
      <c r="G342" s="25" t="n"/>
      <c r="H342" s="25" t="n"/>
      <c r="I342" s="26" t="n"/>
      <c r="J342" s="25" t="n"/>
      <c r="K342" s="26" t="n"/>
      <c r="L342" s="25" t="n"/>
      <c r="M342" s="25" t="n"/>
      <c r="N342" s="26" t="n"/>
      <c r="O342" s="25" t="n"/>
      <c r="P342" s="25" t="n"/>
      <c r="Q342" s="26" t="n"/>
      <c r="R342" s="25">
        <f>IF(AND($A342="",$B342=""),"",IF(Q342="Complete","Onboarded",IF(OR(M342="Member",M342="Ambassador"),"Sponsored",IF(K342&lt;&gt;"","Follow-Up",IF(I342&lt;&gt;"","Presented",IF(F342&lt;&gt;"","Contacted","New Lead"))))))</f>
        <v/>
      </c>
      <c r="S342" s="25" t="n"/>
      <c r="T342" s="25">
        <f>IF(MAX(F342,I342,K342)=0,"",TODAY()-MAX(F342,I342,K342))</f>
        <v/>
      </c>
      <c r="U342" s="25" t="n"/>
      <c r="V342" s="25" t="n"/>
      <c r="W342" s="25">
        <f>IF(AND($A342="",$B342=""),"",IF(M342="Ambassador","1 - Ambassador",IF(M342="Member","2 - Member",IF(J342="Completed","3 - Presented",IF(H342&lt;&gt;"","4 - Sent",IF(F342&lt;&gt;"","5 - Contacted","6 - No Activity"))))))</f>
        <v/>
      </c>
      <c r="X342" s="25">
        <f>IF(AND($A342="",$B342=""),9999999+(ROW()-4),VALUE(LEFT($W342,1))*10000+(ROW()-4))</f>
        <v/>
      </c>
    </row>
    <row r="343" ht="15" customHeight="1" s="20">
      <c r="A343" s="25" t="n"/>
      <c r="B343" s="25" t="n"/>
      <c r="C343" s="25" t="n"/>
      <c r="D343" s="25" t="n"/>
      <c r="E343" s="25" t="n"/>
      <c r="F343" s="26" t="n"/>
      <c r="G343" s="25" t="n"/>
      <c r="H343" s="25" t="n"/>
      <c r="I343" s="26" t="n"/>
      <c r="J343" s="25" t="n"/>
      <c r="K343" s="26" t="n"/>
      <c r="L343" s="25" t="n"/>
      <c r="M343" s="25" t="n"/>
      <c r="N343" s="26" t="n"/>
      <c r="O343" s="25" t="n"/>
      <c r="P343" s="25" t="n"/>
      <c r="Q343" s="26" t="n"/>
      <c r="R343" s="25">
        <f>IF(AND($A343="",$B343=""),"",IF(Q343="Complete","Onboarded",IF(OR(M343="Member",M343="Ambassador"),"Sponsored",IF(K343&lt;&gt;"","Follow-Up",IF(I343&lt;&gt;"","Presented",IF(F343&lt;&gt;"","Contacted","New Lead"))))))</f>
        <v/>
      </c>
      <c r="S343" s="25" t="n"/>
      <c r="T343" s="25">
        <f>IF(MAX(F343,I343,K343)=0,"",TODAY()-MAX(F343,I343,K343))</f>
        <v/>
      </c>
      <c r="U343" s="25" t="n"/>
      <c r="V343" s="25" t="n"/>
      <c r="W343" s="25">
        <f>IF(AND($A343="",$B343=""),"",IF(M343="Ambassador","1 - Ambassador",IF(M343="Member","2 - Member",IF(J343="Completed","3 - Presented",IF(H343&lt;&gt;"","4 - Sent",IF(F343&lt;&gt;"","5 - Contacted","6 - No Activity"))))))</f>
        <v/>
      </c>
      <c r="X343" s="25">
        <f>IF(AND($A343="",$B343=""),9999999+(ROW()-4),VALUE(LEFT($W343,1))*10000+(ROW()-4))</f>
        <v/>
      </c>
    </row>
    <row r="344" ht="15" customHeight="1" s="20">
      <c r="A344" s="25" t="n"/>
      <c r="B344" s="25" t="n"/>
      <c r="C344" s="25" t="n"/>
      <c r="D344" s="25" t="n"/>
      <c r="E344" s="25" t="n"/>
      <c r="F344" s="26" t="n"/>
      <c r="G344" s="25" t="n"/>
      <c r="H344" s="25" t="n"/>
      <c r="I344" s="26" t="n"/>
      <c r="J344" s="25" t="n"/>
      <c r="K344" s="26" t="n"/>
      <c r="L344" s="25" t="n"/>
      <c r="M344" s="25" t="n"/>
      <c r="N344" s="26" t="n"/>
      <c r="O344" s="25" t="n"/>
      <c r="P344" s="25" t="n"/>
      <c r="Q344" s="26" t="n"/>
      <c r="R344" s="25">
        <f>IF(AND($A344="",$B344=""),"",IF(Q344="Complete","Onboarded",IF(OR(M344="Member",M344="Ambassador"),"Sponsored",IF(K344&lt;&gt;"","Follow-Up",IF(I344&lt;&gt;"","Presented",IF(F344&lt;&gt;"","Contacted","New Lead"))))))</f>
        <v/>
      </c>
      <c r="S344" s="25" t="n"/>
      <c r="T344" s="25">
        <f>IF(MAX(F344,I344,K344)=0,"",TODAY()-MAX(F344,I344,K344))</f>
        <v/>
      </c>
      <c r="U344" s="25" t="n"/>
      <c r="V344" s="25" t="n"/>
      <c r="W344" s="25">
        <f>IF(AND($A344="",$B344=""),"",IF(M344="Ambassador","1 - Ambassador",IF(M344="Member","2 - Member",IF(J344="Completed","3 - Presented",IF(H344&lt;&gt;"","4 - Sent",IF(F344&lt;&gt;"","5 - Contacted","6 - No Activity"))))))</f>
        <v/>
      </c>
      <c r="X344" s="25">
        <f>IF(AND($A344="",$B344=""),9999999+(ROW()-4),VALUE(LEFT($W344,1))*10000+(ROW()-4))</f>
        <v/>
      </c>
    </row>
    <row r="345" ht="15" customHeight="1" s="20">
      <c r="A345" s="25" t="n"/>
      <c r="B345" s="25" t="n"/>
      <c r="C345" s="25" t="n"/>
      <c r="D345" s="25" t="n"/>
      <c r="E345" s="25" t="n"/>
      <c r="F345" s="26" t="n"/>
      <c r="G345" s="25" t="n"/>
      <c r="H345" s="25" t="n"/>
      <c r="I345" s="26" t="n"/>
      <c r="J345" s="25" t="n"/>
      <c r="K345" s="26" t="n"/>
      <c r="L345" s="25" t="n"/>
      <c r="M345" s="25" t="n"/>
      <c r="N345" s="26" t="n"/>
      <c r="O345" s="25" t="n"/>
      <c r="P345" s="25" t="n"/>
      <c r="Q345" s="26" t="n"/>
      <c r="R345" s="25">
        <f>IF(AND($A345="",$B345=""),"",IF(Q345="Complete","Onboarded",IF(OR(M345="Member",M345="Ambassador"),"Sponsored",IF(K345&lt;&gt;"","Follow-Up",IF(I345&lt;&gt;"","Presented",IF(F345&lt;&gt;"","Contacted","New Lead"))))))</f>
        <v/>
      </c>
      <c r="S345" s="25" t="n"/>
      <c r="T345" s="25">
        <f>IF(MAX(F345,I345,K345)=0,"",TODAY()-MAX(F345,I345,K345))</f>
        <v/>
      </c>
      <c r="U345" s="25" t="n"/>
      <c r="V345" s="25" t="n"/>
      <c r="W345" s="25">
        <f>IF(AND($A345="",$B345=""),"",IF(M345="Ambassador","1 - Ambassador",IF(M345="Member","2 - Member",IF(J345="Completed","3 - Presented",IF(H345&lt;&gt;"","4 - Sent",IF(F345&lt;&gt;"","5 - Contacted","6 - No Activity"))))))</f>
        <v/>
      </c>
      <c r="X345" s="25">
        <f>IF(AND($A345="",$B345=""),9999999+(ROW()-4),VALUE(LEFT($W345,1))*10000+(ROW()-4))</f>
        <v/>
      </c>
    </row>
    <row r="346" ht="15" customHeight="1" s="20">
      <c r="A346" s="25" t="n"/>
      <c r="B346" s="25" t="n"/>
      <c r="C346" s="25" t="n"/>
      <c r="D346" s="25" t="n"/>
      <c r="E346" s="25" t="n"/>
      <c r="F346" s="26" t="n"/>
      <c r="G346" s="25" t="n"/>
      <c r="H346" s="25" t="n"/>
      <c r="I346" s="26" t="n"/>
      <c r="J346" s="25" t="n"/>
      <c r="K346" s="26" t="n"/>
      <c r="L346" s="25" t="n"/>
      <c r="M346" s="25" t="n"/>
      <c r="N346" s="26" t="n"/>
      <c r="O346" s="25" t="n"/>
      <c r="P346" s="25" t="n"/>
      <c r="Q346" s="26" t="n"/>
      <c r="R346" s="25">
        <f>IF(AND($A346="",$B346=""),"",IF(Q346="Complete","Onboarded",IF(OR(M346="Member",M346="Ambassador"),"Sponsored",IF(K346&lt;&gt;"","Follow-Up",IF(I346&lt;&gt;"","Presented",IF(F346&lt;&gt;"","Contacted","New Lead"))))))</f>
        <v/>
      </c>
      <c r="S346" s="25" t="n"/>
      <c r="T346" s="25">
        <f>IF(MAX(F346,I346,K346)=0,"",TODAY()-MAX(F346,I346,K346))</f>
        <v/>
      </c>
      <c r="U346" s="25" t="n"/>
      <c r="V346" s="25" t="n"/>
      <c r="W346" s="25">
        <f>IF(AND($A346="",$B346=""),"",IF(M346="Ambassador","1 - Ambassador",IF(M346="Member","2 - Member",IF(J346="Completed","3 - Presented",IF(H346&lt;&gt;"","4 - Sent",IF(F346&lt;&gt;"","5 - Contacted","6 - No Activity"))))))</f>
        <v/>
      </c>
      <c r="X346" s="25">
        <f>IF(AND($A346="",$B346=""),9999999+(ROW()-4),VALUE(LEFT($W346,1))*10000+(ROW()-4))</f>
        <v/>
      </c>
    </row>
    <row r="347" ht="15" customHeight="1" s="20">
      <c r="A347" s="25" t="n"/>
      <c r="B347" s="25" t="n"/>
      <c r="C347" s="25" t="n"/>
      <c r="D347" s="25" t="n"/>
      <c r="E347" s="25" t="n"/>
      <c r="F347" s="26" t="n"/>
      <c r="G347" s="25" t="n"/>
      <c r="H347" s="25" t="n"/>
      <c r="I347" s="26" t="n"/>
      <c r="J347" s="25" t="n"/>
      <c r="K347" s="26" t="n"/>
      <c r="L347" s="25" t="n"/>
      <c r="M347" s="25" t="n"/>
      <c r="N347" s="26" t="n"/>
      <c r="O347" s="25" t="n"/>
      <c r="P347" s="25" t="n"/>
      <c r="Q347" s="26" t="n"/>
      <c r="R347" s="25">
        <f>IF(AND($A347="",$B347=""),"",IF(Q347="Complete","Onboarded",IF(OR(M347="Member",M347="Ambassador"),"Sponsored",IF(K347&lt;&gt;"","Follow-Up",IF(I347&lt;&gt;"","Presented",IF(F347&lt;&gt;"","Contacted","New Lead"))))))</f>
        <v/>
      </c>
      <c r="S347" s="25" t="n"/>
      <c r="T347" s="25">
        <f>IF(MAX(F347,I347,K347)=0,"",TODAY()-MAX(F347,I347,K347))</f>
        <v/>
      </c>
      <c r="U347" s="25" t="n"/>
      <c r="V347" s="25" t="n"/>
      <c r="W347" s="25">
        <f>IF(AND($A347="",$B347=""),"",IF(M347="Ambassador","1 - Ambassador",IF(M347="Member","2 - Member",IF(J347="Completed","3 - Presented",IF(H347&lt;&gt;"","4 - Sent",IF(F347&lt;&gt;"","5 - Contacted","6 - No Activity"))))))</f>
        <v/>
      </c>
      <c r="X347" s="25">
        <f>IF(AND($A347="",$B347=""),9999999+(ROW()-4),VALUE(LEFT($W347,1))*10000+(ROW()-4))</f>
        <v/>
      </c>
    </row>
    <row r="348" ht="15" customHeight="1" s="20">
      <c r="A348" s="25" t="n"/>
      <c r="B348" s="25" t="n"/>
      <c r="C348" s="25" t="n"/>
      <c r="D348" s="25" t="n"/>
      <c r="E348" s="25" t="n"/>
      <c r="F348" s="26" t="n"/>
      <c r="G348" s="25" t="n"/>
      <c r="H348" s="25" t="n"/>
      <c r="I348" s="26" t="n"/>
      <c r="J348" s="25" t="n"/>
      <c r="K348" s="26" t="n"/>
      <c r="L348" s="25" t="n"/>
      <c r="M348" s="25" t="n"/>
      <c r="N348" s="26" t="n"/>
      <c r="O348" s="25" t="n"/>
      <c r="P348" s="25" t="n"/>
      <c r="Q348" s="26" t="n"/>
      <c r="R348" s="25">
        <f>IF(AND($A348="",$B348=""),"",IF(Q348="Complete","Onboarded",IF(OR(M348="Member",M348="Ambassador"),"Sponsored",IF(K348&lt;&gt;"","Follow-Up",IF(I348&lt;&gt;"","Presented",IF(F348&lt;&gt;"","Contacted","New Lead"))))))</f>
        <v/>
      </c>
      <c r="S348" s="25" t="n"/>
      <c r="T348" s="25">
        <f>IF(MAX(F348,I348,K348)=0,"",TODAY()-MAX(F348,I348,K348))</f>
        <v/>
      </c>
      <c r="U348" s="25" t="n"/>
      <c r="V348" s="25" t="n"/>
      <c r="W348" s="25">
        <f>IF(AND($A348="",$B348=""),"",IF(M348="Ambassador","1 - Ambassador",IF(M348="Member","2 - Member",IF(J348="Completed","3 - Presented",IF(H348&lt;&gt;"","4 - Sent",IF(F348&lt;&gt;"","5 - Contacted","6 - No Activity"))))))</f>
        <v/>
      </c>
      <c r="X348" s="25">
        <f>IF(AND($A348="",$B348=""),9999999+(ROW()-4),VALUE(LEFT($W348,1))*10000+(ROW()-4))</f>
        <v/>
      </c>
    </row>
    <row r="349" ht="15" customHeight="1" s="20">
      <c r="A349" s="25" t="n"/>
      <c r="B349" s="25" t="n"/>
      <c r="C349" s="25" t="n"/>
      <c r="D349" s="25" t="n"/>
      <c r="E349" s="25" t="n"/>
      <c r="F349" s="26" t="n"/>
      <c r="G349" s="25" t="n"/>
      <c r="H349" s="25" t="n"/>
      <c r="I349" s="26" t="n"/>
      <c r="J349" s="25" t="n"/>
      <c r="K349" s="26" t="n"/>
      <c r="L349" s="25" t="n"/>
      <c r="M349" s="25" t="n"/>
      <c r="N349" s="26" t="n"/>
      <c r="O349" s="25" t="n"/>
      <c r="P349" s="25" t="n"/>
      <c r="Q349" s="26" t="n"/>
      <c r="R349" s="25">
        <f>IF(AND($A349="",$B349=""),"",IF(Q349="Complete","Onboarded",IF(OR(M349="Member",M349="Ambassador"),"Sponsored",IF(K349&lt;&gt;"","Follow-Up",IF(I349&lt;&gt;"","Presented",IF(F349&lt;&gt;"","Contacted","New Lead"))))))</f>
        <v/>
      </c>
      <c r="S349" s="25" t="n"/>
      <c r="T349" s="25">
        <f>IF(MAX(F349,I349,K349)=0,"",TODAY()-MAX(F349,I349,K349))</f>
        <v/>
      </c>
      <c r="U349" s="25" t="n"/>
      <c r="V349" s="25" t="n"/>
      <c r="W349" s="25">
        <f>IF(AND($A349="",$B349=""),"",IF(M349="Ambassador","1 - Ambassador",IF(M349="Member","2 - Member",IF(J349="Completed","3 - Presented",IF(H349&lt;&gt;"","4 - Sent",IF(F349&lt;&gt;"","5 - Contacted","6 - No Activity"))))))</f>
        <v/>
      </c>
      <c r="X349" s="25">
        <f>IF(AND($A349="",$B349=""),9999999+(ROW()-4),VALUE(LEFT($W349,1))*10000+(ROW()-4))</f>
        <v/>
      </c>
    </row>
    <row r="350" ht="15" customHeight="1" s="20">
      <c r="A350" s="25" t="n"/>
      <c r="B350" s="25" t="n"/>
      <c r="C350" s="25" t="n"/>
      <c r="D350" s="25" t="n"/>
      <c r="E350" s="25" t="n"/>
      <c r="F350" s="26" t="n"/>
      <c r="G350" s="25" t="n"/>
      <c r="H350" s="25" t="n"/>
      <c r="I350" s="26" t="n"/>
      <c r="J350" s="25" t="n"/>
      <c r="K350" s="26" t="n"/>
      <c r="L350" s="25" t="n"/>
      <c r="M350" s="25" t="n"/>
      <c r="N350" s="26" t="n"/>
      <c r="O350" s="25" t="n"/>
      <c r="P350" s="25" t="n"/>
      <c r="Q350" s="26" t="n"/>
      <c r="R350" s="25">
        <f>IF(AND($A350="",$B350=""),"",IF(Q350="Complete","Onboarded",IF(OR(M350="Member",M350="Ambassador"),"Sponsored",IF(K350&lt;&gt;"","Follow-Up",IF(I350&lt;&gt;"","Presented",IF(F350&lt;&gt;"","Contacted","New Lead"))))))</f>
        <v/>
      </c>
      <c r="S350" s="25" t="n"/>
      <c r="T350" s="25">
        <f>IF(MAX(F350,I350,K350)=0,"",TODAY()-MAX(F350,I350,K350))</f>
        <v/>
      </c>
      <c r="U350" s="25" t="n"/>
      <c r="V350" s="25" t="n"/>
      <c r="W350" s="25">
        <f>IF(AND($A350="",$B350=""),"",IF(M350="Ambassador","1 - Ambassador",IF(M350="Member","2 - Member",IF(J350="Completed","3 - Presented",IF(H350&lt;&gt;"","4 - Sent",IF(F350&lt;&gt;"","5 - Contacted","6 - No Activity"))))))</f>
        <v/>
      </c>
      <c r="X350" s="25">
        <f>IF(AND($A350="",$B350=""),9999999+(ROW()-4),VALUE(LEFT($W350,1))*10000+(ROW()-4))</f>
        <v/>
      </c>
    </row>
    <row r="351" ht="15" customHeight="1" s="20">
      <c r="A351" s="25" t="n"/>
      <c r="B351" s="25" t="n"/>
      <c r="C351" s="25" t="n"/>
      <c r="D351" s="25" t="n"/>
      <c r="E351" s="25" t="n"/>
      <c r="F351" s="26" t="n"/>
      <c r="G351" s="25" t="n"/>
      <c r="H351" s="25" t="n"/>
      <c r="I351" s="26" t="n"/>
      <c r="J351" s="25" t="n"/>
      <c r="K351" s="26" t="n"/>
      <c r="L351" s="25" t="n"/>
      <c r="M351" s="25" t="n"/>
      <c r="N351" s="26" t="n"/>
      <c r="O351" s="25" t="n"/>
      <c r="P351" s="25" t="n"/>
      <c r="Q351" s="26" t="n"/>
      <c r="R351" s="25">
        <f>IF(AND($A351="",$B351=""),"",IF(Q351="Complete","Onboarded",IF(OR(M351="Member",M351="Ambassador"),"Sponsored",IF(K351&lt;&gt;"","Follow-Up",IF(I351&lt;&gt;"","Presented",IF(F351&lt;&gt;"","Contacted","New Lead"))))))</f>
        <v/>
      </c>
      <c r="S351" s="25" t="n"/>
      <c r="T351" s="25">
        <f>IF(MAX(F351,I351,K351)=0,"",TODAY()-MAX(F351,I351,K351))</f>
        <v/>
      </c>
      <c r="U351" s="25" t="n"/>
      <c r="V351" s="25" t="n"/>
      <c r="W351" s="25">
        <f>IF(AND($A351="",$B351=""),"",IF(M351="Ambassador","1 - Ambassador",IF(M351="Member","2 - Member",IF(J351="Completed","3 - Presented",IF(H351&lt;&gt;"","4 - Sent",IF(F351&lt;&gt;"","5 - Contacted","6 - No Activity"))))))</f>
        <v/>
      </c>
      <c r="X351" s="25">
        <f>IF(AND($A351="",$B351=""),9999999+(ROW()-4),VALUE(LEFT($W351,1))*10000+(ROW()-4))</f>
        <v/>
      </c>
    </row>
    <row r="352" ht="15" customHeight="1" s="20">
      <c r="A352" s="25" t="n"/>
      <c r="B352" s="25" t="n"/>
      <c r="C352" s="25" t="n"/>
      <c r="D352" s="25" t="n"/>
      <c r="E352" s="25" t="n"/>
      <c r="F352" s="26" t="n"/>
      <c r="G352" s="25" t="n"/>
      <c r="H352" s="25" t="n"/>
      <c r="I352" s="26" t="n"/>
      <c r="J352" s="25" t="n"/>
      <c r="K352" s="26" t="n"/>
      <c r="L352" s="25" t="n"/>
      <c r="M352" s="25" t="n"/>
      <c r="N352" s="26" t="n"/>
      <c r="O352" s="25" t="n"/>
      <c r="P352" s="25" t="n"/>
      <c r="Q352" s="26" t="n"/>
      <c r="R352" s="25">
        <f>IF(AND($A352="",$B352=""),"",IF(Q352="Complete","Onboarded",IF(OR(M352="Member",M352="Ambassador"),"Sponsored",IF(K352&lt;&gt;"","Follow-Up",IF(I352&lt;&gt;"","Presented",IF(F352&lt;&gt;"","Contacted","New Lead"))))))</f>
        <v/>
      </c>
      <c r="S352" s="25" t="n"/>
      <c r="T352" s="25">
        <f>IF(MAX(F352,I352,K352)=0,"",TODAY()-MAX(F352,I352,K352))</f>
        <v/>
      </c>
      <c r="U352" s="25" t="n"/>
      <c r="V352" s="25" t="n"/>
      <c r="W352" s="25">
        <f>IF(AND($A352="",$B352=""),"",IF(M352="Ambassador","1 - Ambassador",IF(M352="Member","2 - Member",IF(J352="Completed","3 - Presented",IF(H352&lt;&gt;"","4 - Sent",IF(F352&lt;&gt;"","5 - Contacted","6 - No Activity"))))))</f>
        <v/>
      </c>
      <c r="X352" s="25">
        <f>IF(AND($A352="",$B352=""),9999999+(ROW()-4),VALUE(LEFT($W352,1))*10000+(ROW()-4))</f>
        <v/>
      </c>
    </row>
    <row r="353" ht="15" customHeight="1" s="20">
      <c r="A353" s="25" t="n"/>
      <c r="B353" s="25" t="n"/>
      <c r="C353" s="25" t="n"/>
      <c r="D353" s="25" t="n"/>
      <c r="E353" s="25" t="n"/>
      <c r="F353" s="26" t="n"/>
      <c r="G353" s="25" t="n"/>
      <c r="H353" s="25" t="n"/>
      <c r="I353" s="26" t="n"/>
      <c r="J353" s="25" t="n"/>
      <c r="K353" s="26" t="n"/>
      <c r="L353" s="25" t="n"/>
      <c r="M353" s="25" t="n"/>
      <c r="N353" s="26" t="n"/>
      <c r="O353" s="25" t="n"/>
      <c r="P353" s="25" t="n"/>
      <c r="Q353" s="26" t="n"/>
      <c r="R353" s="25">
        <f>IF(AND($A353="",$B353=""),"",IF(Q353="Complete","Onboarded",IF(OR(M353="Member",M353="Ambassador"),"Sponsored",IF(K353&lt;&gt;"","Follow-Up",IF(I353&lt;&gt;"","Presented",IF(F353&lt;&gt;"","Contacted","New Lead"))))))</f>
        <v/>
      </c>
      <c r="S353" s="25" t="n"/>
      <c r="T353" s="25">
        <f>IF(MAX(F353,I353,K353)=0,"",TODAY()-MAX(F353,I353,K353))</f>
        <v/>
      </c>
      <c r="U353" s="25" t="n"/>
      <c r="V353" s="25" t="n"/>
      <c r="W353" s="25">
        <f>IF(AND($A353="",$B353=""),"",IF(M353="Ambassador","1 - Ambassador",IF(M353="Member","2 - Member",IF(J353="Completed","3 - Presented",IF(H353&lt;&gt;"","4 - Sent",IF(F353&lt;&gt;"","5 - Contacted","6 - No Activity"))))))</f>
        <v/>
      </c>
      <c r="X353" s="25">
        <f>IF(AND($A353="",$B353=""),9999999+(ROW()-4),VALUE(LEFT($W353,1))*10000+(ROW()-4))</f>
        <v/>
      </c>
    </row>
    <row r="354" ht="15" customHeight="1" s="20">
      <c r="A354" s="25" t="n"/>
      <c r="B354" s="25" t="n"/>
      <c r="C354" s="25" t="n"/>
      <c r="D354" s="25" t="n"/>
      <c r="E354" s="25" t="n"/>
      <c r="F354" s="26" t="n"/>
      <c r="G354" s="25" t="n"/>
      <c r="H354" s="25" t="n"/>
      <c r="I354" s="26" t="n"/>
      <c r="J354" s="25" t="n"/>
      <c r="K354" s="26" t="n"/>
      <c r="L354" s="25" t="n"/>
      <c r="M354" s="25" t="n"/>
      <c r="N354" s="26" t="n"/>
      <c r="O354" s="25" t="n"/>
      <c r="P354" s="25" t="n"/>
      <c r="Q354" s="26" t="n"/>
      <c r="R354" s="25">
        <f>IF(AND($A354="",$B354=""),"",IF(Q354="Complete","Onboarded",IF(OR(M354="Member",M354="Ambassador"),"Sponsored",IF(K354&lt;&gt;"","Follow-Up",IF(I354&lt;&gt;"","Presented",IF(F354&lt;&gt;"","Contacted","New Lead"))))))</f>
        <v/>
      </c>
      <c r="S354" s="25" t="n"/>
      <c r="T354" s="25">
        <f>IF(MAX(F354,I354,K354)=0,"",TODAY()-MAX(F354,I354,K354))</f>
        <v/>
      </c>
      <c r="U354" s="25" t="n"/>
      <c r="V354" s="25" t="n"/>
      <c r="W354" s="25">
        <f>IF(AND($A354="",$B354=""),"",IF(M354="Ambassador","1 - Ambassador",IF(M354="Member","2 - Member",IF(J354="Completed","3 - Presented",IF(H354&lt;&gt;"","4 - Sent",IF(F354&lt;&gt;"","5 - Contacted","6 - No Activity"))))))</f>
        <v/>
      </c>
      <c r="X354" s="25">
        <f>IF(AND($A354="",$B354=""),9999999+(ROW()-4),VALUE(LEFT($W354,1))*10000+(ROW()-4))</f>
        <v/>
      </c>
    </row>
    <row r="355" ht="15" customHeight="1" s="20">
      <c r="A355" s="25" t="n"/>
      <c r="B355" s="25" t="n"/>
      <c r="C355" s="25" t="n"/>
      <c r="D355" s="25" t="n"/>
      <c r="E355" s="25" t="n"/>
      <c r="F355" s="26" t="n"/>
      <c r="G355" s="25" t="n"/>
      <c r="H355" s="25" t="n"/>
      <c r="I355" s="26" t="n"/>
      <c r="J355" s="25" t="n"/>
      <c r="K355" s="26" t="n"/>
      <c r="L355" s="25" t="n"/>
      <c r="M355" s="25" t="n"/>
      <c r="N355" s="26" t="n"/>
      <c r="O355" s="25" t="n"/>
      <c r="P355" s="25" t="n"/>
      <c r="Q355" s="26" t="n"/>
      <c r="R355" s="25">
        <f>IF(AND($A355="",$B355=""),"",IF(Q355="Complete","Onboarded",IF(OR(M355="Member",M355="Ambassador"),"Sponsored",IF(K355&lt;&gt;"","Follow-Up",IF(I355&lt;&gt;"","Presented",IF(F355&lt;&gt;"","Contacted","New Lead"))))))</f>
        <v/>
      </c>
      <c r="S355" s="25" t="n"/>
      <c r="T355" s="25">
        <f>IF(MAX(F355,I355,K355)=0,"",TODAY()-MAX(F355,I355,K355))</f>
        <v/>
      </c>
      <c r="U355" s="25" t="n"/>
      <c r="V355" s="25" t="n"/>
      <c r="W355" s="25">
        <f>IF(AND($A355="",$B355=""),"",IF(M355="Ambassador","1 - Ambassador",IF(M355="Member","2 - Member",IF(J355="Completed","3 - Presented",IF(H355&lt;&gt;"","4 - Sent",IF(F355&lt;&gt;"","5 - Contacted","6 - No Activity"))))))</f>
        <v/>
      </c>
      <c r="X355" s="25">
        <f>IF(AND($A355="",$B355=""),9999999+(ROW()-4),VALUE(LEFT($W355,1))*10000+(ROW()-4))</f>
        <v/>
      </c>
    </row>
    <row r="356" ht="15" customHeight="1" s="20">
      <c r="A356" s="25" t="n"/>
      <c r="B356" s="25" t="n"/>
      <c r="C356" s="25" t="n"/>
      <c r="D356" s="25" t="n"/>
      <c r="E356" s="25" t="n"/>
      <c r="F356" s="26" t="n"/>
      <c r="G356" s="25" t="n"/>
      <c r="H356" s="25" t="n"/>
      <c r="I356" s="26" t="n"/>
      <c r="J356" s="25" t="n"/>
      <c r="K356" s="26" t="n"/>
      <c r="L356" s="25" t="n"/>
      <c r="M356" s="25" t="n"/>
      <c r="N356" s="26" t="n"/>
      <c r="O356" s="25" t="n"/>
      <c r="P356" s="25" t="n"/>
      <c r="Q356" s="26" t="n"/>
      <c r="R356" s="25">
        <f>IF(AND($A356="",$B356=""),"",IF(Q356="Complete","Onboarded",IF(OR(M356="Member",M356="Ambassador"),"Sponsored",IF(K356&lt;&gt;"","Follow-Up",IF(I356&lt;&gt;"","Presented",IF(F356&lt;&gt;"","Contacted","New Lead"))))))</f>
        <v/>
      </c>
      <c r="S356" s="25" t="n"/>
      <c r="T356" s="25">
        <f>IF(MAX(F356,I356,K356)=0,"",TODAY()-MAX(F356,I356,K356))</f>
        <v/>
      </c>
      <c r="U356" s="25" t="n"/>
      <c r="V356" s="25" t="n"/>
      <c r="W356" s="25">
        <f>IF(AND($A356="",$B356=""),"",IF(M356="Ambassador","1 - Ambassador",IF(M356="Member","2 - Member",IF(J356="Completed","3 - Presented",IF(H356&lt;&gt;"","4 - Sent",IF(F356&lt;&gt;"","5 - Contacted","6 - No Activity"))))))</f>
        <v/>
      </c>
      <c r="X356" s="25">
        <f>IF(AND($A356="",$B356=""),9999999+(ROW()-4),VALUE(LEFT($W356,1))*10000+(ROW()-4))</f>
        <v/>
      </c>
    </row>
    <row r="357" ht="15" customHeight="1" s="20">
      <c r="A357" s="25" t="n"/>
      <c r="B357" s="25" t="n"/>
      <c r="C357" s="25" t="n"/>
      <c r="D357" s="25" t="n"/>
      <c r="E357" s="25" t="n"/>
      <c r="F357" s="26" t="n"/>
      <c r="G357" s="25" t="n"/>
      <c r="H357" s="25" t="n"/>
      <c r="I357" s="26" t="n"/>
      <c r="J357" s="25" t="n"/>
      <c r="K357" s="26" t="n"/>
      <c r="L357" s="25" t="n"/>
      <c r="M357" s="25" t="n"/>
      <c r="N357" s="26" t="n"/>
      <c r="O357" s="25" t="n"/>
      <c r="P357" s="25" t="n"/>
      <c r="Q357" s="26" t="n"/>
      <c r="R357" s="25">
        <f>IF(AND($A357="",$B357=""),"",IF(Q357="Complete","Onboarded",IF(OR(M357="Member",M357="Ambassador"),"Sponsored",IF(K357&lt;&gt;"","Follow-Up",IF(I357&lt;&gt;"","Presented",IF(F357&lt;&gt;"","Contacted","New Lead"))))))</f>
        <v/>
      </c>
      <c r="S357" s="25" t="n"/>
      <c r="T357" s="25">
        <f>IF(MAX(F357,I357,K357)=0,"",TODAY()-MAX(F357,I357,K357))</f>
        <v/>
      </c>
      <c r="U357" s="25" t="n"/>
      <c r="V357" s="25" t="n"/>
      <c r="W357" s="25">
        <f>IF(AND($A357="",$B357=""),"",IF(M357="Ambassador","1 - Ambassador",IF(M357="Member","2 - Member",IF(J357="Completed","3 - Presented",IF(H357&lt;&gt;"","4 - Sent",IF(F357&lt;&gt;"","5 - Contacted","6 - No Activity"))))))</f>
        <v/>
      </c>
      <c r="X357" s="25">
        <f>IF(AND($A357="",$B357=""),9999999+(ROW()-4),VALUE(LEFT($W357,1))*10000+(ROW()-4))</f>
        <v/>
      </c>
    </row>
    <row r="358" ht="15" customHeight="1" s="20">
      <c r="A358" s="25" t="n"/>
      <c r="B358" s="25" t="n"/>
      <c r="C358" s="25" t="n"/>
      <c r="D358" s="25" t="n"/>
      <c r="E358" s="25" t="n"/>
      <c r="F358" s="26" t="n"/>
      <c r="G358" s="25" t="n"/>
      <c r="H358" s="25" t="n"/>
      <c r="I358" s="26" t="n"/>
      <c r="J358" s="25" t="n"/>
      <c r="K358" s="26" t="n"/>
      <c r="L358" s="25" t="n"/>
      <c r="M358" s="25" t="n"/>
      <c r="N358" s="26" t="n"/>
      <c r="O358" s="25" t="n"/>
      <c r="P358" s="25" t="n"/>
      <c r="Q358" s="26" t="n"/>
      <c r="R358" s="25">
        <f>IF(AND($A358="",$B358=""),"",IF(Q358="Complete","Onboarded",IF(OR(M358="Member",M358="Ambassador"),"Sponsored",IF(K358&lt;&gt;"","Follow-Up",IF(I358&lt;&gt;"","Presented",IF(F358&lt;&gt;"","Contacted","New Lead"))))))</f>
        <v/>
      </c>
      <c r="S358" s="25" t="n"/>
      <c r="T358" s="25">
        <f>IF(MAX(F358,I358,K358)=0,"",TODAY()-MAX(F358,I358,K358))</f>
        <v/>
      </c>
      <c r="U358" s="25" t="n"/>
      <c r="V358" s="25" t="n"/>
      <c r="W358" s="25">
        <f>IF(AND($A358="",$B358=""),"",IF(M358="Ambassador","1 - Ambassador",IF(M358="Member","2 - Member",IF(J358="Completed","3 - Presented",IF(H358&lt;&gt;"","4 - Sent",IF(F358&lt;&gt;"","5 - Contacted","6 - No Activity"))))))</f>
        <v/>
      </c>
      <c r="X358" s="25">
        <f>IF(AND($A358="",$B358=""),9999999+(ROW()-4),VALUE(LEFT($W358,1))*10000+(ROW()-4))</f>
        <v/>
      </c>
    </row>
    <row r="359" ht="15" customHeight="1" s="20">
      <c r="A359" s="25" t="n"/>
      <c r="B359" s="25" t="n"/>
      <c r="C359" s="25" t="n"/>
      <c r="D359" s="25" t="n"/>
      <c r="E359" s="25" t="n"/>
      <c r="F359" s="26" t="n"/>
      <c r="G359" s="25" t="n"/>
      <c r="H359" s="25" t="n"/>
      <c r="I359" s="26" t="n"/>
      <c r="J359" s="25" t="n"/>
      <c r="K359" s="26" t="n"/>
      <c r="L359" s="25" t="n"/>
      <c r="M359" s="25" t="n"/>
      <c r="N359" s="26" t="n"/>
      <c r="O359" s="25" t="n"/>
      <c r="P359" s="25" t="n"/>
      <c r="Q359" s="26" t="n"/>
      <c r="R359" s="25">
        <f>IF(AND($A359="",$B359=""),"",IF(Q359="Complete","Onboarded",IF(OR(M359="Member",M359="Ambassador"),"Sponsored",IF(K359&lt;&gt;"","Follow-Up",IF(I359&lt;&gt;"","Presented",IF(F359&lt;&gt;"","Contacted","New Lead"))))))</f>
        <v/>
      </c>
      <c r="S359" s="25" t="n"/>
      <c r="T359" s="25">
        <f>IF(MAX(F359,I359,K359)=0,"",TODAY()-MAX(F359,I359,K359))</f>
        <v/>
      </c>
      <c r="U359" s="25" t="n"/>
      <c r="V359" s="25" t="n"/>
      <c r="W359" s="25">
        <f>IF(AND($A359="",$B359=""),"",IF(M359="Ambassador","1 - Ambassador",IF(M359="Member","2 - Member",IF(J359="Completed","3 - Presented",IF(H359&lt;&gt;"","4 - Sent",IF(F359&lt;&gt;"","5 - Contacted","6 - No Activity"))))))</f>
        <v/>
      </c>
      <c r="X359" s="25">
        <f>IF(AND($A359="",$B359=""),9999999+(ROW()-4),VALUE(LEFT($W359,1))*10000+(ROW()-4))</f>
        <v/>
      </c>
    </row>
    <row r="360" ht="15" customHeight="1" s="20">
      <c r="A360" s="25" t="n"/>
      <c r="B360" s="25" t="n"/>
      <c r="C360" s="25" t="n"/>
      <c r="D360" s="25" t="n"/>
      <c r="E360" s="25" t="n"/>
      <c r="F360" s="26" t="n"/>
      <c r="G360" s="25" t="n"/>
      <c r="H360" s="25" t="n"/>
      <c r="I360" s="26" t="n"/>
      <c r="J360" s="25" t="n"/>
      <c r="K360" s="26" t="n"/>
      <c r="L360" s="25" t="n"/>
      <c r="M360" s="25" t="n"/>
      <c r="N360" s="26" t="n"/>
      <c r="O360" s="25" t="n"/>
      <c r="P360" s="25" t="n"/>
      <c r="Q360" s="26" t="n"/>
      <c r="R360" s="25">
        <f>IF(AND($A360="",$B360=""),"",IF(Q360="Complete","Onboarded",IF(OR(M360="Member",M360="Ambassador"),"Sponsored",IF(K360&lt;&gt;"","Follow-Up",IF(I360&lt;&gt;"","Presented",IF(F360&lt;&gt;"","Contacted","New Lead"))))))</f>
        <v/>
      </c>
      <c r="S360" s="25" t="n"/>
      <c r="T360" s="25">
        <f>IF(MAX(F360,I360,K360)=0,"",TODAY()-MAX(F360,I360,K360))</f>
        <v/>
      </c>
      <c r="U360" s="25" t="n"/>
      <c r="V360" s="25" t="n"/>
      <c r="W360" s="25">
        <f>IF(AND($A360="",$B360=""),"",IF(M360="Ambassador","1 - Ambassador",IF(M360="Member","2 - Member",IF(J360="Completed","3 - Presented",IF(H360&lt;&gt;"","4 - Sent",IF(F360&lt;&gt;"","5 - Contacted","6 - No Activity"))))))</f>
        <v/>
      </c>
      <c r="X360" s="25">
        <f>IF(AND($A360="",$B360=""),9999999+(ROW()-4),VALUE(LEFT($W360,1))*10000+(ROW()-4))</f>
        <v/>
      </c>
    </row>
    <row r="361" ht="15" customHeight="1" s="20">
      <c r="A361" s="25" t="n"/>
      <c r="B361" s="25" t="n"/>
      <c r="C361" s="25" t="n"/>
      <c r="D361" s="25" t="n"/>
      <c r="E361" s="25" t="n"/>
      <c r="F361" s="26" t="n"/>
      <c r="G361" s="25" t="n"/>
      <c r="H361" s="25" t="n"/>
      <c r="I361" s="26" t="n"/>
      <c r="J361" s="25" t="n"/>
      <c r="K361" s="26" t="n"/>
      <c r="L361" s="25" t="n"/>
      <c r="M361" s="25" t="n"/>
      <c r="N361" s="26" t="n"/>
      <c r="O361" s="25" t="n"/>
      <c r="P361" s="25" t="n"/>
      <c r="Q361" s="26" t="n"/>
      <c r="R361" s="25">
        <f>IF(AND($A361="",$B361=""),"",IF(Q361="Complete","Onboarded",IF(OR(M361="Member",M361="Ambassador"),"Sponsored",IF(K361&lt;&gt;"","Follow-Up",IF(I361&lt;&gt;"","Presented",IF(F361&lt;&gt;"","Contacted","New Lead"))))))</f>
        <v/>
      </c>
      <c r="S361" s="25" t="n"/>
      <c r="T361" s="25">
        <f>IF(MAX(F361,I361,K361)=0,"",TODAY()-MAX(F361,I361,K361))</f>
        <v/>
      </c>
      <c r="U361" s="25" t="n"/>
      <c r="V361" s="25" t="n"/>
      <c r="W361" s="25">
        <f>IF(AND($A361="",$B361=""),"",IF(M361="Ambassador","1 - Ambassador",IF(M361="Member","2 - Member",IF(J361="Completed","3 - Presented",IF(H361&lt;&gt;"","4 - Sent",IF(F361&lt;&gt;"","5 - Contacted","6 - No Activity"))))))</f>
        <v/>
      </c>
      <c r="X361" s="25">
        <f>IF(AND($A361="",$B361=""),9999999+(ROW()-4),VALUE(LEFT($W361,1))*10000+(ROW()-4))</f>
        <v/>
      </c>
    </row>
    <row r="362" ht="15" customHeight="1" s="20">
      <c r="A362" s="25" t="n"/>
      <c r="B362" s="25" t="n"/>
      <c r="C362" s="25" t="n"/>
      <c r="D362" s="25" t="n"/>
      <c r="E362" s="25" t="n"/>
      <c r="F362" s="26" t="n"/>
      <c r="G362" s="25" t="n"/>
      <c r="H362" s="25" t="n"/>
      <c r="I362" s="26" t="n"/>
      <c r="J362" s="25" t="n"/>
      <c r="K362" s="26" t="n"/>
      <c r="L362" s="25" t="n"/>
      <c r="M362" s="25" t="n"/>
      <c r="N362" s="26" t="n"/>
      <c r="O362" s="25" t="n"/>
      <c r="P362" s="25" t="n"/>
      <c r="Q362" s="26" t="n"/>
      <c r="R362" s="25">
        <f>IF(AND($A362="",$B362=""),"",IF(Q362="Complete","Onboarded",IF(OR(M362="Member",M362="Ambassador"),"Sponsored",IF(K362&lt;&gt;"","Follow-Up",IF(I362&lt;&gt;"","Presented",IF(F362&lt;&gt;"","Contacted","New Lead"))))))</f>
        <v/>
      </c>
      <c r="S362" s="25" t="n"/>
      <c r="T362" s="25">
        <f>IF(MAX(F362,I362,K362)=0,"",TODAY()-MAX(F362,I362,K362))</f>
        <v/>
      </c>
      <c r="U362" s="25" t="n"/>
      <c r="V362" s="25" t="n"/>
      <c r="W362" s="25">
        <f>IF(AND($A362="",$B362=""),"",IF(M362="Ambassador","1 - Ambassador",IF(M362="Member","2 - Member",IF(J362="Completed","3 - Presented",IF(H362&lt;&gt;"","4 - Sent",IF(F362&lt;&gt;"","5 - Contacted","6 - No Activity"))))))</f>
        <v/>
      </c>
      <c r="X362" s="25">
        <f>IF(AND($A362="",$B362=""),9999999+(ROW()-4),VALUE(LEFT($W362,1))*10000+(ROW()-4))</f>
        <v/>
      </c>
    </row>
    <row r="363" ht="15" customHeight="1" s="20">
      <c r="A363" s="25" t="n"/>
      <c r="B363" s="25" t="n"/>
      <c r="C363" s="25" t="n"/>
      <c r="D363" s="25" t="n"/>
      <c r="E363" s="25" t="n"/>
      <c r="F363" s="26" t="n"/>
      <c r="G363" s="25" t="n"/>
      <c r="H363" s="25" t="n"/>
      <c r="I363" s="26" t="n"/>
      <c r="J363" s="25" t="n"/>
      <c r="K363" s="26" t="n"/>
      <c r="L363" s="25" t="n"/>
      <c r="M363" s="25" t="n"/>
      <c r="N363" s="26" t="n"/>
      <c r="O363" s="25" t="n"/>
      <c r="P363" s="25" t="n"/>
      <c r="Q363" s="26" t="n"/>
      <c r="R363" s="25">
        <f>IF(AND($A363="",$B363=""),"",IF(Q363="Complete","Onboarded",IF(OR(M363="Member",M363="Ambassador"),"Sponsored",IF(K363&lt;&gt;"","Follow-Up",IF(I363&lt;&gt;"","Presented",IF(F363&lt;&gt;"","Contacted","New Lead"))))))</f>
        <v/>
      </c>
      <c r="S363" s="25" t="n"/>
      <c r="T363" s="25">
        <f>IF(MAX(F363,I363,K363)=0,"",TODAY()-MAX(F363,I363,K363))</f>
        <v/>
      </c>
      <c r="U363" s="25" t="n"/>
      <c r="V363" s="25" t="n"/>
      <c r="W363" s="25">
        <f>IF(AND($A363="",$B363=""),"",IF(M363="Ambassador","1 - Ambassador",IF(M363="Member","2 - Member",IF(J363="Completed","3 - Presented",IF(H363&lt;&gt;"","4 - Sent",IF(F363&lt;&gt;"","5 - Contacted","6 - No Activity"))))))</f>
        <v/>
      </c>
      <c r="X363" s="25">
        <f>IF(AND($A363="",$B363=""),9999999+(ROW()-4),VALUE(LEFT($W363,1))*10000+(ROW()-4))</f>
        <v/>
      </c>
    </row>
    <row r="364" ht="15" customHeight="1" s="20">
      <c r="A364" s="25" t="n"/>
      <c r="B364" s="25" t="n"/>
      <c r="C364" s="25" t="n"/>
      <c r="D364" s="25" t="n"/>
      <c r="E364" s="25" t="n"/>
      <c r="F364" s="26" t="n"/>
      <c r="G364" s="25" t="n"/>
      <c r="H364" s="25" t="n"/>
      <c r="I364" s="26" t="n"/>
      <c r="J364" s="25" t="n"/>
      <c r="K364" s="26" t="n"/>
      <c r="L364" s="25" t="n"/>
      <c r="M364" s="25" t="n"/>
      <c r="N364" s="26" t="n"/>
      <c r="O364" s="25" t="n"/>
      <c r="P364" s="25" t="n"/>
      <c r="Q364" s="26" t="n"/>
      <c r="R364" s="25">
        <f>IF(AND($A364="",$B364=""),"",IF(Q364="Complete","Onboarded",IF(OR(M364="Member",M364="Ambassador"),"Sponsored",IF(K364&lt;&gt;"","Follow-Up",IF(I364&lt;&gt;"","Presented",IF(F364&lt;&gt;"","Contacted","New Lead"))))))</f>
        <v/>
      </c>
      <c r="S364" s="25" t="n"/>
      <c r="T364" s="25">
        <f>IF(MAX(F364,I364,K364)=0,"",TODAY()-MAX(F364,I364,K364))</f>
        <v/>
      </c>
      <c r="U364" s="25" t="n"/>
      <c r="V364" s="25" t="n"/>
      <c r="W364" s="25">
        <f>IF(AND($A364="",$B364=""),"",IF(M364="Ambassador","1 - Ambassador",IF(M364="Member","2 - Member",IF(J364="Completed","3 - Presented",IF(H364&lt;&gt;"","4 - Sent",IF(F364&lt;&gt;"","5 - Contacted","6 - No Activity"))))))</f>
        <v/>
      </c>
      <c r="X364" s="25">
        <f>IF(AND($A364="",$B364=""),9999999+(ROW()-4),VALUE(LEFT($W364,1))*10000+(ROW()-4))</f>
        <v/>
      </c>
    </row>
    <row r="365" ht="15" customHeight="1" s="20">
      <c r="A365" s="25" t="n"/>
      <c r="B365" s="25" t="n"/>
      <c r="C365" s="25" t="n"/>
      <c r="D365" s="25" t="n"/>
      <c r="E365" s="25" t="n"/>
      <c r="F365" s="26" t="n"/>
      <c r="G365" s="25" t="n"/>
      <c r="H365" s="25" t="n"/>
      <c r="I365" s="26" t="n"/>
      <c r="J365" s="25" t="n"/>
      <c r="K365" s="26" t="n"/>
      <c r="L365" s="25" t="n"/>
      <c r="M365" s="25" t="n"/>
      <c r="N365" s="26" t="n"/>
      <c r="O365" s="25" t="n"/>
      <c r="P365" s="25" t="n"/>
      <c r="Q365" s="26" t="n"/>
      <c r="R365" s="25">
        <f>IF(AND($A365="",$B365=""),"",IF(Q365="Complete","Onboarded",IF(OR(M365="Member",M365="Ambassador"),"Sponsored",IF(K365&lt;&gt;"","Follow-Up",IF(I365&lt;&gt;"","Presented",IF(F365&lt;&gt;"","Contacted","New Lead"))))))</f>
        <v/>
      </c>
      <c r="S365" s="25" t="n"/>
      <c r="T365" s="25">
        <f>IF(MAX(F365,I365,K365)=0,"",TODAY()-MAX(F365,I365,K365))</f>
        <v/>
      </c>
      <c r="U365" s="25" t="n"/>
      <c r="V365" s="25" t="n"/>
      <c r="W365" s="25">
        <f>IF(AND($A365="",$B365=""),"",IF(M365="Ambassador","1 - Ambassador",IF(M365="Member","2 - Member",IF(J365="Completed","3 - Presented",IF(H365&lt;&gt;"","4 - Sent",IF(F365&lt;&gt;"","5 - Contacted","6 - No Activity"))))))</f>
        <v/>
      </c>
      <c r="X365" s="25">
        <f>IF(AND($A365="",$B365=""),9999999+(ROW()-4),VALUE(LEFT($W365,1))*10000+(ROW()-4))</f>
        <v/>
      </c>
    </row>
    <row r="366" ht="15" customHeight="1" s="20">
      <c r="A366" s="25" t="n"/>
      <c r="B366" s="25" t="n"/>
      <c r="C366" s="25" t="n"/>
      <c r="D366" s="25" t="n"/>
      <c r="E366" s="25" t="n"/>
      <c r="F366" s="26" t="n"/>
      <c r="G366" s="25" t="n"/>
      <c r="H366" s="25" t="n"/>
      <c r="I366" s="26" t="n"/>
      <c r="J366" s="25" t="n"/>
      <c r="K366" s="26" t="n"/>
      <c r="L366" s="25" t="n"/>
      <c r="M366" s="25" t="n"/>
      <c r="N366" s="26" t="n"/>
      <c r="O366" s="25" t="n"/>
      <c r="P366" s="25" t="n"/>
      <c r="Q366" s="26" t="n"/>
      <c r="R366" s="25">
        <f>IF(AND($A366="",$B366=""),"",IF(Q366="Complete","Onboarded",IF(OR(M366="Member",M366="Ambassador"),"Sponsored",IF(K366&lt;&gt;"","Follow-Up",IF(I366&lt;&gt;"","Presented",IF(F366&lt;&gt;"","Contacted","New Lead"))))))</f>
        <v/>
      </c>
      <c r="S366" s="25" t="n"/>
      <c r="T366" s="25">
        <f>IF(MAX(F366,I366,K366)=0,"",TODAY()-MAX(F366,I366,K366))</f>
        <v/>
      </c>
      <c r="U366" s="25" t="n"/>
      <c r="V366" s="25" t="n"/>
      <c r="W366" s="25">
        <f>IF(AND($A366="",$B366=""),"",IF(M366="Ambassador","1 - Ambassador",IF(M366="Member","2 - Member",IF(J366="Completed","3 - Presented",IF(H366&lt;&gt;"","4 - Sent",IF(F366&lt;&gt;"","5 - Contacted","6 - No Activity"))))))</f>
        <v/>
      </c>
      <c r="X366" s="25">
        <f>IF(AND($A366="",$B366=""),9999999+(ROW()-4),VALUE(LEFT($W366,1))*10000+(ROW()-4))</f>
        <v/>
      </c>
    </row>
    <row r="367" ht="15" customHeight="1" s="20">
      <c r="A367" s="25" t="n"/>
      <c r="B367" s="25" t="n"/>
      <c r="C367" s="25" t="n"/>
      <c r="D367" s="25" t="n"/>
      <c r="E367" s="25" t="n"/>
      <c r="F367" s="26" t="n"/>
      <c r="G367" s="25" t="n"/>
      <c r="H367" s="25" t="n"/>
      <c r="I367" s="26" t="n"/>
      <c r="J367" s="25" t="n"/>
      <c r="K367" s="26" t="n"/>
      <c r="L367" s="25" t="n"/>
      <c r="M367" s="25" t="n"/>
      <c r="N367" s="26" t="n"/>
      <c r="O367" s="25" t="n"/>
      <c r="P367" s="25" t="n"/>
      <c r="Q367" s="26" t="n"/>
      <c r="R367" s="25">
        <f>IF(AND($A367="",$B367=""),"",IF(Q367="Complete","Onboarded",IF(OR(M367="Member",M367="Ambassador"),"Sponsored",IF(K367&lt;&gt;"","Follow-Up",IF(I367&lt;&gt;"","Presented",IF(F367&lt;&gt;"","Contacted","New Lead"))))))</f>
        <v/>
      </c>
      <c r="S367" s="25" t="n"/>
      <c r="T367" s="25">
        <f>IF(MAX(F367,I367,K367)=0,"",TODAY()-MAX(F367,I367,K367))</f>
        <v/>
      </c>
      <c r="U367" s="25" t="n"/>
      <c r="V367" s="25" t="n"/>
      <c r="W367" s="25">
        <f>IF(AND($A367="",$B367=""),"",IF(M367="Ambassador","1 - Ambassador",IF(M367="Member","2 - Member",IF(J367="Completed","3 - Presented",IF(H367&lt;&gt;"","4 - Sent",IF(F367&lt;&gt;"","5 - Contacted","6 - No Activity"))))))</f>
        <v/>
      </c>
      <c r="X367" s="25">
        <f>IF(AND($A367="",$B367=""),9999999+(ROW()-4),VALUE(LEFT($W367,1))*10000+(ROW()-4))</f>
        <v/>
      </c>
    </row>
    <row r="368" ht="15" customHeight="1" s="20">
      <c r="A368" s="25" t="n"/>
      <c r="B368" s="25" t="n"/>
      <c r="C368" s="25" t="n"/>
      <c r="D368" s="25" t="n"/>
      <c r="E368" s="25" t="n"/>
      <c r="F368" s="26" t="n"/>
      <c r="G368" s="25" t="n"/>
      <c r="H368" s="25" t="n"/>
      <c r="I368" s="26" t="n"/>
      <c r="J368" s="25" t="n"/>
      <c r="K368" s="26" t="n"/>
      <c r="L368" s="25" t="n"/>
      <c r="M368" s="25" t="n"/>
      <c r="N368" s="26" t="n"/>
      <c r="O368" s="25" t="n"/>
      <c r="P368" s="25" t="n"/>
      <c r="Q368" s="26" t="n"/>
      <c r="R368" s="25">
        <f>IF(AND($A368="",$B368=""),"",IF(Q368="Complete","Onboarded",IF(OR(M368="Member",M368="Ambassador"),"Sponsored",IF(K368&lt;&gt;"","Follow-Up",IF(I368&lt;&gt;"","Presented",IF(F368&lt;&gt;"","Contacted","New Lead"))))))</f>
        <v/>
      </c>
      <c r="S368" s="25" t="n"/>
      <c r="T368" s="25">
        <f>IF(MAX(F368,I368,K368)=0,"",TODAY()-MAX(F368,I368,K368))</f>
        <v/>
      </c>
      <c r="U368" s="25" t="n"/>
      <c r="V368" s="25" t="n"/>
      <c r="W368" s="25">
        <f>IF(AND($A368="",$B368=""),"",IF(M368="Ambassador","1 - Ambassador",IF(M368="Member","2 - Member",IF(J368="Completed","3 - Presented",IF(H368&lt;&gt;"","4 - Sent",IF(F368&lt;&gt;"","5 - Contacted","6 - No Activity"))))))</f>
        <v/>
      </c>
      <c r="X368" s="25">
        <f>IF(AND($A368="",$B368=""),9999999+(ROW()-4),VALUE(LEFT($W368,1))*10000+(ROW()-4))</f>
        <v/>
      </c>
    </row>
    <row r="369" ht="15" customHeight="1" s="20">
      <c r="A369" s="25" t="n"/>
      <c r="B369" s="25" t="n"/>
      <c r="C369" s="25" t="n"/>
      <c r="D369" s="25" t="n"/>
      <c r="E369" s="25" t="n"/>
      <c r="F369" s="26" t="n"/>
      <c r="G369" s="25" t="n"/>
      <c r="H369" s="25" t="n"/>
      <c r="I369" s="26" t="n"/>
      <c r="J369" s="25" t="n"/>
      <c r="K369" s="26" t="n"/>
      <c r="L369" s="25" t="n"/>
      <c r="M369" s="25" t="n"/>
      <c r="N369" s="26" t="n"/>
      <c r="O369" s="25" t="n"/>
      <c r="P369" s="25" t="n"/>
      <c r="Q369" s="26" t="n"/>
      <c r="R369" s="25">
        <f>IF(AND($A369="",$B369=""),"",IF(Q369="Complete","Onboarded",IF(OR(M369="Member",M369="Ambassador"),"Sponsored",IF(K369&lt;&gt;"","Follow-Up",IF(I369&lt;&gt;"","Presented",IF(F369&lt;&gt;"","Contacted","New Lead"))))))</f>
        <v/>
      </c>
      <c r="S369" s="25" t="n"/>
      <c r="T369" s="25">
        <f>IF(MAX(F369,I369,K369)=0,"",TODAY()-MAX(F369,I369,K369))</f>
        <v/>
      </c>
      <c r="U369" s="25" t="n"/>
      <c r="V369" s="25" t="n"/>
      <c r="W369" s="25">
        <f>IF(AND($A369="",$B369=""),"",IF(M369="Ambassador","1 - Ambassador",IF(M369="Member","2 - Member",IF(J369="Completed","3 - Presented",IF(H369&lt;&gt;"","4 - Sent",IF(F369&lt;&gt;"","5 - Contacted","6 - No Activity"))))))</f>
        <v/>
      </c>
      <c r="X369" s="25">
        <f>IF(AND($A369="",$B369=""),9999999+(ROW()-4),VALUE(LEFT($W369,1))*10000+(ROW()-4))</f>
        <v/>
      </c>
    </row>
    <row r="370" ht="15" customHeight="1" s="20">
      <c r="A370" s="25" t="n"/>
      <c r="B370" s="25" t="n"/>
      <c r="C370" s="25" t="n"/>
      <c r="D370" s="25" t="n"/>
      <c r="E370" s="25" t="n"/>
      <c r="F370" s="26" t="n"/>
      <c r="G370" s="25" t="n"/>
      <c r="H370" s="25" t="n"/>
      <c r="I370" s="26" t="n"/>
      <c r="J370" s="25" t="n"/>
      <c r="K370" s="26" t="n"/>
      <c r="L370" s="25" t="n"/>
      <c r="M370" s="25" t="n"/>
      <c r="N370" s="26" t="n"/>
      <c r="O370" s="25" t="n"/>
      <c r="P370" s="25" t="n"/>
      <c r="Q370" s="26" t="n"/>
      <c r="R370" s="25">
        <f>IF(AND($A370="",$B370=""),"",IF(Q370="Complete","Onboarded",IF(OR(M370="Member",M370="Ambassador"),"Sponsored",IF(K370&lt;&gt;"","Follow-Up",IF(I370&lt;&gt;"","Presented",IF(F370&lt;&gt;"","Contacted","New Lead"))))))</f>
        <v/>
      </c>
      <c r="S370" s="25" t="n"/>
      <c r="T370" s="25">
        <f>IF(MAX(F370,I370,K370)=0,"",TODAY()-MAX(F370,I370,K370))</f>
        <v/>
      </c>
      <c r="U370" s="25" t="n"/>
      <c r="V370" s="25" t="n"/>
      <c r="W370" s="25">
        <f>IF(AND($A370="",$B370=""),"",IF(M370="Ambassador","1 - Ambassador",IF(M370="Member","2 - Member",IF(J370="Completed","3 - Presented",IF(H370&lt;&gt;"","4 - Sent",IF(F370&lt;&gt;"","5 - Contacted","6 - No Activity"))))))</f>
        <v/>
      </c>
      <c r="X370" s="25">
        <f>IF(AND($A370="",$B370=""),9999999+(ROW()-4),VALUE(LEFT($W370,1))*10000+(ROW()-4))</f>
        <v/>
      </c>
    </row>
    <row r="371" ht="15" customHeight="1" s="20">
      <c r="A371" s="25" t="n"/>
      <c r="B371" s="25" t="n"/>
      <c r="C371" s="25" t="n"/>
      <c r="D371" s="25" t="n"/>
      <c r="E371" s="25" t="n"/>
      <c r="F371" s="26" t="n"/>
      <c r="G371" s="25" t="n"/>
      <c r="H371" s="25" t="n"/>
      <c r="I371" s="26" t="n"/>
      <c r="J371" s="25" t="n"/>
      <c r="K371" s="26" t="n"/>
      <c r="L371" s="25" t="n"/>
      <c r="M371" s="25" t="n"/>
      <c r="N371" s="26" t="n"/>
      <c r="O371" s="25" t="n"/>
      <c r="P371" s="25" t="n"/>
      <c r="Q371" s="26" t="n"/>
      <c r="R371" s="25">
        <f>IF(AND($A371="",$B371=""),"",IF(Q371="Complete","Onboarded",IF(OR(M371="Member",M371="Ambassador"),"Sponsored",IF(K371&lt;&gt;"","Follow-Up",IF(I371&lt;&gt;"","Presented",IF(F371&lt;&gt;"","Contacted","New Lead"))))))</f>
        <v/>
      </c>
      <c r="S371" s="25" t="n"/>
      <c r="T371" s="25">
        <f>IF(MAX(F371,I371,K371)=0,"",TODAY()-MAX(F371,I371,K371))</f>
        <v/>
      </c>
      <c r="U371" s="25" t="n"/>
      <c r="V371" s="25" t="n"/>
      <c r="W371" s="25">
        <f>IF(AND($A371="",$B371=""),"",IF(M371="Ambassador","1 - Ambassador",IF(M371="Member","2 - Member",IF(J371="Completed","3 - Presented",IF(H371&lt;&gt;"","4 - Sent",IF(F371&lt;&gt;"","5 - Contacted","6 - No Activity"))))))</f>
        <v/>
      </c>
      <c r="X371" s="25">
        <f>IF(AND($A371="",$B371=""),9999999+(ROW()-4),VALUE(LEFT($W371,1))*10000+(ROW()-4))</f>
        <v/>
      </c>
    </row>
    <row r="372" ht="15" customHeight="1" s="20">
      <c r="A372" s="25" t="n"/>
      <c r="B372" s="25" t="n"/>
      <c r="C372" s="25" t="n"/>
      <c r="D372" s="25" t="n"/>
      <c r="E372" s="25" t="n"/>
      <c r="F372" s="26" t="n"/>
      <c r="G372" s="25" t="n"/>
      <c r="H372" s="25" t="n"/>
      <c r="I372" s="26" t="n"/>
      <c r="J372" s="25" t="n"/>
      <c r="K372" s="26" t="n"/>
      <c r="L372" s="25" t="n"/>
      <c r="M372" s="25" t="n"/>
      <c r="N372" s="26" t="n"/>
      <c r="O372" s="25" t="n"/>
      <c r="P372" s="25" t="n"/>
      <c r="Q372" s="26" t="n"/>
      <c r="R372" s="25">
        <f>IF(AND($A372="",$B372=""),"",IF(Q372="Complete","Onboarded",IF(OR(M372="Member",M372="Ambassador"),"Sponsored",IF(K372&lt;&gt;"","Follow-Up",IF(I372&lt;&gt;"","Presented",IF(F372&lt;&gt;"","Contacted","New Lead"))))))</f>
        <v/>
      </c>
      <c r="S372" s="25" t="n"/>
      <c r="T372" s="25">
        <f>IF(MAX(F372,I372,K372)=0,"",TODAY()-MAX(F372,I372,K372))</f>
        <v/>
      </c>
      <c r="U372" s="25" t="n"/>
      <c r="V372" s="25" t="n"/>
      <c r="W372" s="25">
        <f>IF(AND($A372="",$B372=""),"",IF(M372="Ambassador","1 - Ambassador",IF(M372="Member","2 - Member",IF(J372="Completed","3 - Presented",IF(H372&lt;&gt;"","4 - Sent",IF(F372&lt;&gt;"","5 - Contacted","6 - No Activity"))))))</f>
        <v/>
      </c>
      <c r="X372" s="25">
        <f>IF(AND($A372="",$B372=""),9999999+(ROW()-4),VALUE(LEFT($W372,1))*10000+(ROW()-4))</f>
        <v/>
      </c>
    </row>
    <row r="373" ht="15" customHeight="1" s="20">
      <c r="A373" s="25" t="n"/>
      <c r="B373" s="25" t="n"/>
      <c r="C373" s="25" t="n"/>
      <c r="D373" s="25" t="n"/>
      <c r="E373" s="25" t="n"/>
      <c r="F373" s="26" t="n"/>
      <c r="G373" s="25" t="n"/>
      <c r="H373" s="25" t="n"/>
      <c r="I373" s="26" t="n"/>
      <c r="J373" s="25" t="n"/>
      <c r="K373" s="26" t="n"/>
      <c r="L373" s="25" t="n"/>
      <c r="M373" s="25" t="n"/>
      <c r="N373" s="26" t="n"/>
      <c r="O373" s="25" t="n"/>
      <c r="P373" s="25" t="n"/>
      <c r="Q373" s="26" t="n"/>
      <c r="R373" s="25">
        <f>IF(AND($A373="",$B373=""),"",IF(Q373="Complete","Onboarded",IF(OR(M373="Member",M373="Ambassador"),"Sponsored",IF(K373&lt;&gt;"","Follow-Up",IF(I373&lt;&gt;"","Presented",IF(F373&lt;&gt;"","Contacted","New Lead"))))))</f>
        <v/>
      </c>
      <c r="S373" s="25" t="n"/>
      <c r="T373" s="25">
        <f>IF(MAX(F373,I373,K373)=0,"",TODAY()-MAX(F373,I373,K373))</f>
        <v/>
      </c>
      <c r="U373" s="25" t="n"/>
      <c r="V373" s="25" t="n"/>
      <c r="W373" s="25">
        <f>IF(AND($A373="",$B373=""),"",IF(M373="Ambassador","1 - Ambassador",IF(M373="Member","2 - Member",IF(J373="Completed","3 - Presented",IF(H373&lt;&gt;"","4 - Sent",IF(F373&lt;&gt;"","5 - Contacted","6 - No Activity"))))))</f>
        <v/>
      </c>
      <c r="X373" s="25">
        <f>IF(AND($A373="",$B373=""),9999999+(ROW()-4),VALUE(LEFT($W373,1))*10000+(ROW()-4))</f>
        <v/>
      </c>
    </row>
    <row r="374" ht="15" customHeight="1" s="20">
      <c r="A374" s="25" t="n"/>
      <c r="B374" s="25" t="n"/>
      <c r="C374" s="25" t="n"/>
      <c r="D374" s="25" t="n"/>
      <c r="E374" s="25" t="n"/>
      <c r="F374" s="26" t="n"/>
      <c r="G374" s="25" t="n"/>
      <c r="H374" s="25" t="n"/>
      <c r="I374" s="26" t="n"/>
      <c r="J374" s="25" t="n"/>
      <c r="K374" s="26" t="n"/>
      <c r="L374" s="25" t="n"/>
      <c r="M374" s="25" t="n"/>
      <c r="N374" s="26" t="n"/>
      <c r="O374" s="25" t="n"/>
      <c r="P374" s="25" t="n"/>
      <c r="Q374" s="26" t="n"/>
      <c r="R374" s="25">
        <f>IF(AND($A374="",$B374=""),"",IF(Q374="Complete","Onboarded",IF(OR(M374="Member",M374="Ambassador"),"Sponsored",IF(K374&lt;&gt;"","Follow-Up",IF(I374&lt;&gt;"","Presented",IF(F374&lt;&gt;"","Contacted","New Lead"))))))</f>
        <v/>
      </c>
      <c r="S374" s="25" t="n"/>
      <c r="T374" s="25">
        <f>IF(MAX(F374,I374,K374)=0,"",TODAY()-MAX(F374,I374,K374))</f>
        <v/>
      </c>
      <c r="U374" s="25" t="n"/>
      <c r="V374" s="25" t="n"/>
      <c r="W374" s="25">
        <f>IF(AND($A374="",$B374=""),"",IF(M374="Ambassador","1 - Ambassador",IF(M374="Member","2 - Member",IF(J374="Completed","3 - Presented",IF(H374&lt;&gt;"","4 - Sent",IF(F374&lt;&gt;"","5 - Contacted","6 - No Activity"))))))</f>
        <v/>
      </c>
      <c r="X374" s="25">
        <f>IF(AND($A374="",$B374=""),9999999+(ROW()-4),VALUE(LEFT($W374,1))*10000+(ROW()-4))</f>
        <v/>
      </c>
    </row>
    <row r="375" ht="15" customHeight="1" s="20">
      <c r="A375" s="25" t="n"/>
      <c r="B375" s="25" t="n"/>
      <c r="C375" s="25" t="n"/>
      <c r="D375" s="25" t="n"/>
      <c r="E375" s="25" t="n"/>
      <c r="F375" s="26" t="n"/>
      <c r="G375" s="25" t="n"/>
      <c r="H375" s="25" t="n"/>
      <c r="I375" s="26" t="n"/>
      <c r="J375" s="25" t="n"/>
      <c r="K375" s="26" t="n"/>
      <c r="L375" s="25" t="n"/>
      <c r="M375" s="25" t="n"/>
      <c r="N375" s="26" t="n"/>
      <c r="O375" s="25" t="n"/>
      <c r="P375" s="25" t="n"/>
      <c r="Q375" s="26" t="n"/>
      <c r="R375" s="25">
        <f>IF(AND($A375="",$B375=""),"",IF(Q375="Complete","Onboarded",IF(OR(M375="Member",M375="Ambassador"),"Sponsored",IF(K375&lt;&gt;"","Follow-Up",IF(I375&lt;&gt;"","Presented",IF(F375&lt;&gt;"","Contacted","New Lead"))))))</f>
        <v/>
      </c>
      <c r="S375" s="25" t="n"/>
      <c r="T375" s="25">
        <f>IF(MAX(F375,I375,K375)=0,"",TODAY()-MAX(F375,I375,K375))</f>
        <v/>
      </c>
      <c r="U375" s="25" t="n"/>
      <c r="V375" s="25" t="n"/>
      <c r="W375" s="25">
        <f>IF(AND($A375="",$B375=""),"",IF(M375="Ambassador","1 - Ambassador",IF(M375="Member","2 - Member",IF(J375="Completed","3 - Presented",IF(H375&lt;&gt;"","4 - Sent",IF(F375&lt;&gt;"","5 - Contacted","6 - No Activity"))))))</f>
        <v/>
      </c>
      <c r="X375" s="25">
        <f>IF(AND($A375="",$B375=""),9999999+(ROW()-4),VALUE(LEFT($W375,1))*10000+(ROW()-4))</f>
        <v/>
      </c>
    </row>
    <row r="376" ht="15" customHeight="1" s="20">
      <c r="A376" s="25" t="n"/>
      <c r="B376" s="25" t="n"/>
      <c r="C376" s="25" t="n"/>
      <c r="D376" s="25" t="n"/>
      <c r="E376" s="25" t="n"/>
      <c r="F376" s="26" t="n"/>
      <c r="G376" s="25" t="n"/>
      <c r="H376" s="25" t="n"/>
      <c r="I376" s="26" t="n"/>
      <c r="J376" s="25" t="n"/>
      <c r="K376" s="26" t="n"/>
      <c r="L376" s="25" t="n"/>
      <c r="M376" s="25" t="n"/>
      <c r="N376" s="26" t="n"/>
      <c r="O376" s="25" t="n"/>
      <c r="P376" s="25" t="n"/>
      <c r="Q376" s="26" t="n"/>
      <c r="R376" s="25">
        <f>IF(AND($A376="",$B376=""),"",IF(Q376="Complete","Onboarded",IF(OR(M376="Member",M376="Ambassador"),"Sponsored",IF(K376&lt;&gt;"","Follow-Up",IF(I376&lt;&gt;"","Presented",IF(F376&lt;&gt;"","Contacted","New Lead"))))))</f>
        <v/>
      </c>
      <c r="S376" s="25" t="n"/>
      <c r="T376" s="25">
        <f>IF(MAX(F376,I376,K376)=0,"",TODAY()-MAX(F376,I376,K376))</f>
        <v/>
      </c>
      <c r="U376" s="25" t="n"/>
      <c r="V376" s="25" t="n"/>
      <c r="W376" s="25">
        <f>IF(AND($A376="",$B376=""),"",IF(M376="Ambassador","1 - Ambassador",IF(M376="Member","2 - Member",IF(J376="Completed","3 - Presented",IF(H376&lt;&gt;"","4 - Sent",IF(F376&lt;&gt;"","5 - Contacted","6 - No Activity"))))))</f>
        <v/>
      </c>
      <c r="X376" s="25">
        <f>IF(AND($A376="",$B376=""),9999999+(ROW()-4),VALUE(LEFT($W376,1))*10000+(ROW()-4))</f>
        <v/>
      </c>
    </row>
    <row r="377" ht="15" customHeight="1" s="20">
      <c r="A377" s="25" t="n"/>
      <c r="B377" s="25" t="n"/>
      <c r="C377" s="25" t="n"/>
      <c r="D377" s="25" t="n"/>
      <c r="E377" s="25" t="n"/>
      <c r="F377" s="26" t="n"/>
      <c r="G377" s="25" t="n"/>
      <c r="H377" s="25" t="n"/>
      <c r="I377" s="26" t="n"/>
      <c r="J377" s="25" t="n"/>
      <c r="K377" s="26" t="n"/>
      <c r="L377" s="25" t="n"/>
      <c r="M377" s="25" t="n"/>
      <c r="N377" s="26" t="n"/>
      <c r="O377" s="25" t="n"/>
      <c r="P377" s="25" t="n"/>
      <c r="Q377" s="26" t="n"/>
      <c r="R377" s="25">
        <f>IF(AND($A377="",$B377=""),"",IF(Q377="Complete","Onboarded",IF(OR(M377="Member",M377="Ambassador"),"Sponsored",IF(K377&lt;&gt;"","Follow-Up",IF(I377&lt;&gt;"","Presented",IF(F377&lt;&gt;"","Contacted","New Lead"))))))</f>
        <v/>
      </c>
      <c r="S377" s="25" t="n"/>
      <c r="T377" s="25">
        <f>IF(MAX(F377,I377,K377)=0,"",TODAY()-MAX(F377,I377,K377))</f>
        <v/>
      </c>
      <c r="U377" s="25" t="n"/>
      <c r="V377" s="25" t="n"/>
      <c r="W377" s="25">
        <f>IF(AND($A377="",$B377=""),"",IF(M377="Ambassador","1 - Ambassador",IF(M377="Member","2 - Member",IF(J377="Completed","3 - Presented",IF(H377&lt;&gt;"","4 - Sent",IF(F377&lt;&gt;"","5 - Contacted","6 - No Activity"))))))</f>
        <v/>
      </c>
      <c r="X377" s="25">
        <f>IF(AND($A377="",$B377=""),9999999+(ROW()-4),VALUE(LEFT($W377,1))*10000+(ROW()-4))</f>
        <v/>
      </c>
    </row>
    <row r="378" ht="15" customHeight="1" s="20">
      <c r="A378" s="25" t="n"/>
      <c r="B378" s="25" t="n"/>
      <c r="C378" s="25" t="n"/>
      <c r="D378" s="25" t="n"/>
      <c r="E378" s="25" t="n"/>
      <c r="F378" s="26" t="n"/>
      <c r="G378" s="25" t="n"/>
      <c r="H378" s="25" t="n"/>
      <c r="I378" s="26" t="n"/>
      <c r="J378" s="25" t="n"/>
      <c r="K378" s="26" t="n"/>
      <c r="L378" s="25" t="n"/>
      <c r="M378" s="25" t="n"/>
      <c r="N378" s="26" t="n"/>
      <c r="O378" s="25" t="n"/>
      <c r="P378" s="25" t="n"/>
      <c r="Q378" s="26" t="n"/>
      <c r="R378" s="25">
        <f>IF(AND($A378="",$B378=""),"",IF(Q378="Complete","Onboarded",IF(OR(M378="Member",M378="Ambassador"),"Sponsored",IF(K378&lt;&gt;"","Follow-Up",IF(I378&lt;&gt;"","Presented",IF(F378&lt;&gt;"","Contacted","New Lead"))))))</f>
        <v/>
      </c>
      <c r="S378" s="25" t="n"/>
      <c r="T378" s="25">
        <f>IF(MAX(F378,I378,K378)=0,"",TODAY()-MAX(F378,I378,K378))</f>
        <v/>
      </c>
      <c r="U378" s="25" t="n"/>
      <c r="V378" s="25" t="n"/>
      <c r="W378" s="25">
        <f>IF(AND($A378="",$B378=""),"",IF(M378="Ambassador","1 - Ambassador",IF(M378="Member","2 - Member",IF(J378="Completed","3 - Presented",IF(H378&lt;&gt;"","4 - Sent",IF(F378&lt;&gt;"","5 - Contacted","6 - No Activity"))))))</f>
        <v/>
      </c>
      <c r="X378" s="25">
        <f>IF(AND($A378="",$B378=""),9999999+(ROW()-4),VALUE(LEFT($W378,1))*10000+(ROW()-4))</f>
        <v/>
      </c>
    </row>
    <row r="379" ht="15" customHeight="1" s="20">
      <c r="A379" s="25" t="n"/>
      <c r="B379" s="25" t="n"/>
      <c r="C379" s="25" t="n"/>
      <c r="D379" s="25" t="n"/>
      <c r="E379" s="25" t="n"/>
      <c r="F379" s="26" t="n"/>
      <c r="G379" s="25" t="n"/>
      <c r="H379" s="25" t="n"/>
      <c r="I379" s="26" t="n"/>
      <c r="J379" s="25" t="n"/>
      <c r="K379" s="26" t="n"/>
      <c r="L379" s="25" t="n"/>
      <c r="M379" s="25" t="n"/>
      <c r="N379" s="26" t="n"/>
      <c r="O379" s="25" t="n"/>
      <c r="P379" s="25" t="n"/>
      <c r="Q379" s="26" t="n"/>
      <c r="R379" s="25">
        <f>IF(AND($A379="",$B379=""),"",IF(Q379="Complete","Onboarded",IF(OR(M379="Member",M379="Ambassador"),"Sponsored",IF(K379&lt;&gt;"","Follow-Up",IF(I379&lt;&gt;"","Presented",IF(F379&lt;&gt;"","Contacted","New Lead"))))))</f>
        <v/>
      </c>
      <c r="S379" s="25" t="n"/>
      <c r="T379" s="25">
        <f>IF(MAX(F379,I379,K379)=0,"",TODAY()-MAX(F379,I379,K379))</f>
        <v/>
      </c>
      <c r="U379" s="25" t="n"/>
      <c r="V379" s="25" t="n"/>
      <c r="W379" s="25">
        <f>IF(AND($A379="",$B379=""),"",IF(M379="Ambassador","1 - Ambassador",IF(M379="Member","2 - Member",IF(J379="Completed","3 - Presented",IF(H379&lt;&gt;"","4 - Sent",IF(F379&lt;&gt;"","5 - Contacted","6 - No Activity"))))))</f>
        <v/>
      </c>
      <c r="X379" s="25">
        <f>IF(AND($A379="",$B379=""),9999999+(ROW()-4),VALUE(LEFT($W379,1))*10000+(ROW()-4))</f>
        <v/>
      </c>
    </row>
    <row r="380" ht="15" customHeight="1" s="20">
      <c r="A380" s="25" t="n"/>
      <c r="B380" s="25" t="n"/>
      <c r="C380" s="25" t="n"/>
      <c r="D380" s="25" t="n"/>
      <c r="E380" s="25" t="n"/>
      <c r="F380" s="26" t="n"/>
      <c r="G380" s="25" t="n"/>
      <c r="H380" s="25" t="n"/>
      <c r="I380" s="26" t="n"/>
      <c r="J380" s="25" t="n"/>
      <c r="K380" s="26" t="n"/>
      <c r="L380" s="25" t="n"/>
      <c r="M380" s="25" t="n"/>
      <c r="N380" s="26" t="n"/>
      <c r="O380" s="25" t="n"/>
      <c r="P380" s="25" t="n"/>
      <c r="Q380" s="26" t="n"/>
      <c r="R380" s="25">
        <f>IF(AND($A380="",$B380=""),"",IF(Q380="Complete","Onboarded",IF(OR(M380="Member",M380="Ambassador"),"Sponsored",IF(K380&lt;&gt;"","Follow-Up",IF(I380&lt;&gt;"","Presented",IF(F380&lt;&gt;"","Contacted","New Lead"))))))</f>
        <v/>
      </c>
      <c r="S380" s="25" t="n"/>
      <c r="T380" s="25">
        <f>IF(MAX(F380,I380,K380)=0,"",TODAY()-MAX(F380,I380,K380))</f>
        <v/>
      </c>
      <c r="U380" s="25" t="n"/>
      <c r="V380" s="25" t="n"/>
      <c r="W380" s="25">
        <f>IF(AND($A380="",$B380=""),"",IF(M380="Ambassador","1 - Ambassador",IF(M380="Member","2 - Member",IF(J380="Completed","3 - Presented",IF(H380&lt;&gt;"","4 - Sent",IF(F380&lt;&gt;"","5 - Contacted","6 - No Activity"))))))</f>
        <v/>
      </c>
      <c r="X380" s="25">
        <f>IF(AND($A380="",$B380=""),9999999+(ROW()-4),VALUE(LEFT($W380,1))*10000+(ROW()-4))</f>
        <v/>
      </c>
    </row>
    <row r="381" ht="15" customHeight="1" s="20">
      <c r="A381" s="25" t="n"/>
      <c r="B381" s="25" t="n"/>
      <c r="C381" s="25" t="n"/>
      <c r="D381" s="25" t="n"/>
      <c r="E381" s="25" t="n"/>
      <c r="F381" s="26" t="n"/>
      <c r="G381" s="25" t="n"/>
      <c r="H381" s="25" t="n"/>
      <c r="I381" s="26" t="n"/>
      <c r="J381" s="25" t="n"/>
      <c r="K381" s="26" t="n"/>
      <c r="L381" s="25" t="n"/>
      <c r="M381" s="25" t="n"/>
      <c r="N381" s="26" t="n"/>
      <c r="O381" s="25" t="n"/>
      <c r="P381" s="25" t="n"/>
      <c r="Q381" s="26" t="n"/>
      <c r="R381" s="25">
        <f>IF(AND($A381="",$B381=""),"",IF(Q381="Complete","Onboarded",IF(OR(M381="Member",M381="Ambassador"),"Sponsored",IF(K381&lt;&gt;"","Follow-Up",IF(I381&lt;&gt;"","Presented",IF(F381&lt;&gt;"","Contacted","New Lead"))))))</f>
        <v/>
      </c>
      <c r="S381" s="25" t="n"/>
      <c r="T381" s="25">
        <f>IF(MAX(F381,I381,K381)=0,"",TODAY()-MAX(F381,I381,K381))</f>
        <v/>
      </c>
      <c r="U381" s="25" t="n"/>
      <c r="V381" s="25" t="n"/>
      <c r="W381" s="25">
        <f>IF(AND($A381="",$B381=""),"",IF(M381="Ambassador","1 - Ambassador",IF(M381="Member","2 - Member",IF(J381="Completed","3 - Presented",IF(H381&lt;&gt;"","4 - Sent",IF(F381&lt;&gt;"","5 - Contacted","6 - No Activity"))))))</f>
        <v/>
      </c>
      <c r="X381" s="25">
        <f>IF(AND($A381="",$B381=""),9999999+(ROW()-4),VALUE(LEFT($W381,1))*10000+(ROW()-4))</f>
        <v/>
      </c>
    </row>
    <row r="382" ht="15" customHeight="1" s="20">
      <c r="A382" s="25" t="n"/>
      <c r="B382" s="25" t="n"/>
      <c r="C382" s="25" t="n"/>
      <c r="D382" s="25" t="n"/>
      <c r="E382" s="25" t="n"/>
      <c r="F382" s="26" t="n"/>
      <c r="G382" s="25" t="n"/>
      <c r="H382" s="25" t="n"/>
      <c r="I382" s="26" t="n"/>
      <c r="J382" s="25" t="n"/>
      <c r="K382" s="26" t="n"/>
      <c r="L382" s="25" t="n"/>
      <c r="M382" s="25" t="n"/>
      <c r="N382" s="26" t="n"/>
      <c r="O382" s="25" t="n"/>
      <c r="P382" s="25" t="n"/>
      <c r="Q382" s="26" t="n"/>
      <c r="R382" s="25">
        <f>IF(AND($A382="",$B382=""),"",IF(Q382="Complete","Onboarded",IF(OR(M382="Member",M382="Ambassador"),"Sponsored",IF(K382&lt;&gt;"","Follow-Up",IF(I382&lt;&gt;"","Presented",IF(F382&lt;&gt;"","Contacted","New Lead"))))))</f>
        <v/>
      </c>
      <c r="S382" s="25" t="n"/>
      <c r="T382" s="25">
        <f>IF(MAX(F382,I382,K382)=0,"",TODAY()-MAX(F382,I382,K382))</f>
        <v/>
      </c>
      <c r="U382" s="25" t="n"/>
      <c r="V382" s="25" t="n"/>
      <c r="W382" s="25">
        <f>IF(AND($A382="",$B382=""),"",IF(M382="Ambassador","1 - Ambassador",IF(M382="Member","2 - Member",IF(J382="Completed","3 - Presented",IF(H382&lt;&gt;"","4 - Sent",IF(F382&lt;&gt;"","5 - Contacted","6 - No Activity"))))))</f>
        <v/>
      </c>
      <c r="X382" s="25">
        <f>IF(AND($A382="",$B382=""),9999999+(ROW()-4),VALUE(LEFT($W382,1))*10000+(ROW()-4))</f>
        <v/>
      </c>
    </row>
    <row r="383" ht="15" customHeight="1" s="20">
      <c r="A383" s="25" t="n"/>
      <c r="B383" s="25" t="n"/>
      <c r="C383" s="25" t="n"/>
      <c r="D383" s="25" t="n"/>
      <c r="E383" s="25" t="n"/>
      <c r="F383" s="26" t="n"/>
      <c r="G383" s="25" t="n"/>
      <c r="H383" s="25" t="n"/>
      <c r="I383" s="26" t="n"/>
      <c r="J383" s="25" t="n"/>
      <c r="K383" s="26" t="n"/>
      <c r="L383" s="25" t="n"/>
      <c r="M383" s="25" t="n"/>
      <c r="N383" s="26" t="n"/>
      <c r="O383" s="25" t="n"/>
      <c r="P383" s="25" t="n"/>
      <c r="Q383" s="26" t="n"/>
      <c r="R383" s="25">
        <f>IF(AND($A383="",$B383=""),"",IF(Q383="Complete","Onboarded",IF(OR(M383="Member",M383="Ambassador"),"Sponsored",IF(K383&lt;&gt;"","Follow-Up",IF(I383&lt;&gt;"","Presented",IF(F383&lt;&gt;"","Contacted","New Lead"))))))</f>
        <v/>
      </c>
      <c r="S383" s="25" t="n"/>
      <c r="T383" s="25">
        <f>IF(MAX(F383,I383,K383)=0,"",TODAY()-MAX(F383,I383,K383))</f>
        <v/>
      </c>
      <c r="U383" s="25" t="n"/>
      <c r="V383" s="25" t="n"/>
      <c r="W383" s="25">
        <f>IF(AND($A383="",$B383=""),"",IF(M383="Ambassador","1 - Ambassador",IF(M383="Member","2 - Member",IF(J383="Completed","3 - Presented",IF(H383&lt;&gt;"","4 - Sent",IF(F383&lt;&gt;"","5 - Contacted","6 - No Activity"))))))</f>
        <v/>
      </c>
      <c r="X383" s="25">
        <f>IF(AND($A383="",$B383=""),9999999+(ROW()-4),VALUE(LEFT($W383,1))*10000+(ROW()-4))</f>
        <v/>
      </c>
    </row>
    <row r="384" ht="15" customHeight="1" s="20">
      <c r="A384" s="25" t="n"/>
      <c r="B384" s="25" t="n"/>
      <c r="C384" s="25" t="n"/>
      <c r="D384" s="25" t="n"/>
      <c r="E384" s="25" t="n"/>
      <c r="F384" s="26" t="n"/>
      <c r="G384" s="25" t="n"/>
      <c r="H384" s="25" t="n"/>
      <c r="I384" s="26" t="n"/>
      <c r="J384" s="25" t="n"/>
      <c r="K384" s="26" t="n"/>
      <c r="L384" s="25" t="n"/>
      <c r="M384" s="25" t="n"/>
      <c r="N384" s="26" t="n"/>
      <c r="O384" s="25" t="n"/>
      <c r="P384" s="25" t="n"/>
      <c r="Q384" s="26" t="n"/>
      <c r="R384" s="25">
        <f>IF(AND($A384="",$B384=""),"",IF(Q384="Complete","Onboarded",IF(OR(M384="Member",M384="Ambassador"),"Sponsored",IF(K384&lt;&gt;"","Follow-Up",IF(I384&lt;&gt;"","Presented",IF(F384&lt;&gt;"","Contacted","New Lead"))))))</f>
        <v/>
      </c>
      <c r="S384" s="25" t="n"/>
      <c r="T384" s="25">
        <f>IF(MAX(F384,I384,K384)=0,"",TODAY()-MAX(F384,I384,K384))</f>
        <v/>
      </c>
      <c r="U384" s="25" t="n"/>
      <c r="V384" s="25" t="n"/>
      <c r="W384" s="25">
        <f>IF(AND($A384="",$B384=""),"",IF(M384="Ambassador","1 - Ambassador",IF(M384="Member","2 - Member",IF(J384="Completed","3 - Presented",IF(H384&lt;&gt;"","4 - Sent",IF(F384&lt;&gt;"","5 - Contacted","6 - No Activity"))))))</f>
        <v/>
      </c>
      <c r="X384" s="25">
        <f>IF(AND($A384="",$B384=""),9999999+(ROW()-4),VALUE(LEFT($W384,1))*10000+(ROW()-4))</f>
        <v/>
      </c>
    </row>
    <row r="385" ht="15" customHeight="1" s="20">
      <c r="A385" s="25" t="n"/>
      <c r="B385" s="25" t="n"/>
      <c r="C385" s="25" t="n"/>
      <c r="D385" s="25" t="n"/>
      <c r="E385" s="25" t="n"/>
      <c r="F385" s="26" t="n"/>
      <c r="G385" s="25" t="n"/>
      <c r="H385" s="25" t="n"/>
      <c r="I385" s="26" t="n"/>
      <c r="J385" s="25" t="n"/>
      <c r="K385" s="26" t="n"/>
      <c r="L385" s="25" t="n"/>
      <c r="M385" s="25" t="n"/>
      <c r="N385" s="26" t="n"/>
      <c r="O385" s="25" t="n"/>
      <c r="P385" s="25" t="n"/>
      <c r="Q385" s="26" t="n"/>
      <c r="R385" s="25">
        <f>IF(AND($A385="",$B385=""),"",IF(Q385="Complete","Onboarded",IF(OR(M385="Member",M385="Ambassador"),"Sponsored",IF(K385&lt;&gt;"","Follow-Up",IF(I385&lt;&gt;"","Presented",IF(F385&lt;&gt;"","Contacted","New Lead"))))))</f>
        <v/>
      </c>
      <c r="S385" s="25" t="n"/>
      <c r="T385" s="25">
        <f>IF(MAX(F385,I385,K385)=0,"",TODAY()-MAX(F385,I385,K385))</f>
        <v/>
      </c>
      <c r="U385" s="25" t="n"/>
      <c r="V385" s="25" t="n"/>
      <c r="W385" s="25">
        <f>IF(AND($A385="",$B385=""),"",IF(M385="Ambassador","1 - Ambassador",IF(M385="Member","2 - Member",IF(J385="Completed","3 - Presented",IF(H385&lt;&gt;"","4 - Sent",IF(F385&lt;&gt;"","5 - Contacted","6 - No Activity"))))))</f>
        <v/>
      </c>
      <c r="X385" s="25">
        <f>IF(AND($A385="",$B385=""),9999999+(ROW()-4),VALUE(LEFT($W385,1))*10000+(ROW()-4))</f>
        <v/>
      </c>
    </row>
    <row r="386" ht="15" customHeight="1" s="20">
      <c r="A386" s="25" t="n"/>
      <c r="B386" s="25" t="n"/>
      <c r="C386" s="25" t="n"/>
      <c r="D386" s="25" t="n"/>
      <c r="E386" s="25" t="n"/>
      <c r="F386" s="26" t="n"/>
      <c r="G386" s="25" t="n"/>
      <c r="H386" s="25" t="n"/>
      <c r="I386" s="26" t="n"/>
      <c r="J386" s="25" t="n"/>
      <c r="K386" s="26" t="n"/>
      <c r="L386" s="25" t="n"/>
      <c r="M386" s="25" t="n"/>
      <c r="N386" s="26" t="n"/>
      <c r="O386" s="25" t="n"/>
      <c r="P386" s="25" t="n"/>
      <c r="Q386" s="26" t="n"/>
      <c r="R386" s="25">
        <f>IF(AND($A386="",$B386=""),"",IF(Q386="Complete","Onboarded",IF(OR(M386="Member",M386="Ambassador"),"Sponsored",IF(K386&lt;&gt;"","Follow-Up",IF(I386&lt;&gt;"","Presented",IF(F386&lt;&gt;"","Contacted","New Lead"))))))</f>
        <v/>
      </c>
      <c r="S386" s="25" t="n"/>
      <c r="T386" s="25">
        <f>IF(MAX(F386,I386,K386)=0,"",TODAY()-MAX(F386,I386,K386))</f>
        <v/>
      </c>
      <c r="U386" s="25" t="n"/>
      <c r="V386" s="25" t="n"/>
      <c r="W386" s="25">
        <f>IF(AND($A386="",$B386=""),"",IF(M386="Ambassador","1 - Ambassador",IF(M386="Member","2 - Member",IF(J386="Completed","3 - Presented",IF(H386&lt;&gt;"","4 - Sent",IF(F386&lt;&gt;"","5 - Contacted","6 - No Activity"))))))</f>
        <v/>
      </c>
      <c r="X386" s="25">
        <f>IF(AND($A386="",$B386=""),9999999+(ROW()-4),VALUE(LEFT($W386,1))*10000+(ROW()-4))</f>
        <v/>
      </c>
    </row>
    <row r="387" ht="15" customHeight="1" s="20">
      <c r="A387" s="25" t="n"/>
      <c r="B387" s="25" t="n"/>
      <c r="C387" s="25" t="n"/>
      <c r="D387" s="25" t="n"/>
      <c r="E387" s="25" t="n"/>
      <c r="F387" s="26" t="n"/>
      <c r="G387" s="25" t="n"/>
      <c r="H387" s="25" t="n"/>
      <c r="I387" s="26" t="n"/>
      <c r="J387" s="25" t="n"/>
      <c r="K387" s="26" t="n"/>
      <c r="L387" s="25" t="n"/>
      <c r="M387" s="25" t="n"/>
      <c r="N387" s="26" t="n"/>
      <c r="O387" s="25" t="n"/>
      <c r="P387" s="25" t="n"/>
      <c r="Q387" s="26" t="n"/>
      <c r="R387" s="25">
        <f>IF(AND($A387="",$B387=""),"",IF(Q387="Complete","Onboarded",IF(OR(M387="Member",M387="Ambassador"),"Sponsored",IF(K387&lt;&gt;"","Follow-Up",IF(I387&lt;&gt;"","Presented",IF(F387&lt;&gt;"","Contacted","New Lead"))))))</f>
        <v/>
      </c>
      <c r="S387" s="25" t="n"/>
      <c r="T387" s="25">
        <f>IF(MAX(F387,I387,K387)=0,"",TODAY()-MAX(F387,I387,K387))</f>
        <v/>
      </c>
      <c r="U387" s="25" t="n"/>
      <c r="V387" s="25" t="n"/>
      <c r="W387" s="25">
        <f>IF(AND($A387="",$B387=""),"",IF(M387="Ambassador","1 - Ambassador",IF(M387="Member","2 - Member",IF(J387="Completed","3 - Presented",IF(H387&lt;&gt;"","4 - Sent",IF(F387&lt;&gt;"","5 - Contacted","6 - No Activity"))))))</f>
        <v/>
      </c>
      <c r="X387" s="25">
        <f>IF(AND($A387="",$B387=""),9999999+(ROW()-4),VALUE(LEFT($W387,1))*10000+(ROW()-4))</f>
        <v/>
      </c>
    </row>
    <row r="388" ht="15" customHeight="1" s="20">
      <c r="A388" s="25" t="n"/>
      <c r="B388" s="25" t="n"/>
      <c r="C388" s="25" t="n"/>
      <c r="D388" s="25" t="n"/>
      <c r="E388" s="25" t="n"/>
      <c r="F388" s="26" t="n"/>
      <c r="G388" s="25" t="n"/>
      <c r="H388" s="25" t="n"/>
      <c r="I388" s="26" t="n"/>
      <c r="J388" s="25" t="n"/>
      <c r="K388" s="26" t="n"/>
      <c r="L388" s="25" t="n"/>
      <c r="M388" s="25" t="n"/>
      <c r="N388" s="26" t="n"/>
      <c r="O388" s="25" t="n"/>
      <c r="P388" s="25" t="n"/>
      <c r="Q388" s="26" t="n"/>
      <c r="R388" s="25">
        <f>IF(AND($A388="",$B388=""),"",IF(Q388="Complete","Onboarded",IF(OR(M388="Member",M388="Ambassador"),"Sponsored",IF(K388&lt;&gt;"","Follow-Up",IF(I388&lt;&gt;"","Presented",IF(F388&lt;&gt;"","Contacted","New Lead"))))))</f>
        <v/>
      </c>
      <c r="S388" s="25" t="n"/>
      <c r="T388" s="25">
        <f>IF(MAX(F388,I388,K388)=0,"",TODAY()-MAX(F388,I388,K388))</f>
        <v/>
      </c>
      <c r="U388" s="25" t="n"/>
      <c r="V388" s="25" t="n"/>
      <c r="W388" s="25">
        <f>IF(AND($A388="",$B388=""),"",IF(M388="Ambassador","1 - Ambassador",IF(M388="Member","2 - Member",IF(J388="Completed","3 - Presented",IF(H388&lt;&gt;"","4 - Sent",IF(F388&lt;&gt;"","5 - Contacted","6 - No Activity"))))))</f>
        <v/>
      </c>
      <c r="X388" s="25">
        <f>IF(AND($A388="",$B388=""),9999999+(ROW()-4),VALUE(LEFT($W388,1))*10000+(ROW()-4))</f>
        <v/>
      </c>
    </row>
    <row r="389" ht="15" customHeight="1" s="20">
      <c r="A389" s="25" t="n"/>
      <c r="B389" s="25" t="n"/>
      <c r="C389" s="25" t="n"/>
      <c r="D389" s="25" t="n"/>
      <c r="E389" s="25" t="n"/>
      <c r="F389" s="26" t="n"/>
      <c r="G389" s="25" t="n"/>
      <c r="H389" s="25" t="n"/>
      <c r="I389" s="26" t="n"/>
      <c r="J389" s="25" t="n"/>
      <c r="K389" s="26" t="n"/>
      <c r="L389" s="25" t="n"/>
      <c r="M389" s="25" t="n"/>
      <c r="N389" s="26" t="n"/>
      <c r="O389" s="25" t="n"/>
      <c r="P389" s="25" t="n"/>
      <c r="Q389" s="26" t="n"/>
      <c r="R389" s="25">
        <f>IF(AND($A389="",$B389=""),"",IF(Q389="Complete","Onboarded",IF(OR(M389="Member",M389="Ambassador"),"Sponsored",IF(K389&lt;&gt;"","Follow-Up",IF(I389&lt;&gt;"","Presented",IF(F389&lt;&gt;"","Contacted","New Lead"))))))</f>
        <v/>
      </c>
      <c r="S389" s="25" t="n"/>
      <c r="T389" s="25">
        <f>IF(MAX(F389,I389,K389)=0,"",TODAY()-MAX(F389,I389,K389))</f>
        <v/>
      </c>
      <c r="U389" s="25" t="n"/>
      <c r="V389" s="25" t="n"/>
      <c r="W389" s="25">
        <f>IF(AND($A389="",$B389=""),"",IF(M389="Ambassador","1 - Ambassador",IF(M389="Member","2 - Member",IF(J389="Completed","3 - Presented",IF(H389&lt;&gt;"","4 - Sent",IF(F389&lt;&gt;"","5 - Contacted","6 - No Activity"))))))</f>
        <v/>
      </c>
      <c r="X389" s="25">
        <f>IF(AND($A389="",$B389=""),9999999+(ROW()-4),VALUE(LEFT($W389,1))*10000+(ROW()-4))</f>
        <v/>
      </c>
    </row>
    <row r="390" ht="15" customHeight="1" s="20">
      <c r="A390" s="25" t="n"/>
      <c r="B390" s="25" t="n"/>
      <c r="C390" s="25" t="n"/>
      <c r="D390" s="25" t="n"/>
      <c r="E390" s="25" t="n"/>
      <c r="F390" s="26" t="n"/>
      <c r="G390" s="25" t="n"/>
      <c r="H390" s="25" t="n"/>
      <c r="I390" s="26" t="n"/>
      <c r="J390" s="25" t="n"/>
      <c r="K390" s="26" t="n"/>
      <c r="L390" s="25" t="n"/>
      <c r="M390" s="25" t="n"/>
      <c r="N390" s="26" t="n"/>
      <c r="O390" s="25" t="n"/>
      <c r="P390" s="25" t="n"/>
      <c r="Q390" s="26" t="n"/>
      <c r="R390" s="25">
        <f>IF(AND($A390="",$B390=""),"",IF(Q390="Complete","Onboarded",IF(OR(M390="Member",M390="Ambassador"),"Sponsored",IF(K390&lt;&gt;"","Follow-Up",IF(I390&lt;&gt;"","Presented",IF(F390&lt;&gt;"","Contacted","New Lead"))))))</f>
        <v/>
      </c>
      <c r="S390" s="25" t="n"/>
      <c r="T390" s="25">
        <f>IF(MAX(F390,I390,K390)=0,"",TODAY()-MAX(F390,I390,K390))</f>
        <v/>
      </c>
      <c r="U390" s="25" t="n"/>
      <c r="V390" s="25" t="n"/>
      <c r="W390" s="25">
        <f>IF(AND($A390="",$B390=""),"",IF(M390="Ambassador","1 - Ambassador",IF(M390="Member","2 - Member",IF(J390="Completed","3 - Presented",IF(H390&lt;&gt;"","4 - Sent",IF(F390&lt;&gt;"","5 - Contacted","6 - No Activity"))))))</f>
        <v/>
      </c>
      <c r="X390" s="25">
        <f>IF(AND($A390="",$B390=""),9999999+(ROW()-4),VALUE(LEFT($W390,1))*10000+(ROW()-4))</f>
        <v/>
      </c>
    </row>
    <row r="391" ht="15" customHeight="1" s="20">
      <c r="A391" s="25" t="n"/>
      <c r="B391" s="25" t="n"/>
      <c r="C391" s="25" t="n"/>
      <c r="D391" s="25" t="n"/>
      <c r="E391" s="25" t="n"/>
      <c r="F391" s="26" t="n"/>
      <c r="G391" s="25" t="n"/>
      <c r="H391" s="25" t="n"/>
      <c r="I391" s="26" t="n"/>
      <c r="J391" s="25" t="n"/>
      <c r="K391" s="26" t="n"/>
      <c r="L391" s="25" t="n"/>
      <c r="M391" s="25" t="n"/>
      <c r="N391" s="26" t="n"/>
      <c r="O391" s="25" t="n"/>
      <c r="P391" s="25" t="n"/>
      <c r="Q391" s="26" t="n"/>
      <c r="R391" s="25">
        <f>IF(AND($A391="",$B391=""),"",IF(Q391="Complete","Onboarded",IF(OR(M391="Member",M391="Ambassador"),"Sponsored",IF(K391&lt;&gt;"","Follow-Up",IF(I391&lt;&gt;"","Presented",IF(F391&lt;&gt;"","Contacted","New Lead"))))))</f>
        <v/>
      </c>
      <c r="S391" s="25" t="n"/>
      <c r="T391" s="25">
        <f>IF(MAX(F391,I391,K391)=0,"",TODAY()-MAX(F391,I391,K391))</f>
        <v/>
      </c>
      <c r="U391" s="25" t="n"/>
      <c r="V391" s="25" t="n"/>
      <c r="W391" s="25">
        <f>IF(AND($A391="",$B391=""),"",IF(M391="Ambassador","1 - Ambassador",IF(M391="Member","2 - Member",IF(J391="Completed","3 - Presented",IF(H391&lt;&gt;"","4 - Sent",IF(F391&lt;&gt;"","5 - Contacted","6 - No Activity"))))))</f>
        <v/>
      </c>
      <c r="X391" s="25">
        <f>IF(AND($A391="",$B391=""),9999999+(ROW()-4),VALUE(LEFT($W391,1))*10000+(ROW()-4))</f>
        <v/>
      </c>
    </row>
    <row r="392" ht="15" customHeight="1" s="20">
      <c r="A392" s="25" t="n"/>
      <c r="B392" s="25" t="n"/>
      <c r="C392" s="25" t="n"/>
      <c r="D392" s="25" t="n"/>
      <c r="E392" s="25" t="n"/>
      <c r="F392" s="26" t="n"/>
      <c r="G392" s="25" t="n"/>
      <c r="H392" s="25" t="n"/>
      <c r="I392" s="26" t="n"/>
      <c r="J392" s="25" t="n"/>
      <c r="K392" s="26" t="n"/>
      <c r="L392" s="25" t="n"/>
      <c r="M392" s="25" t="n"/>
      <c r="N392" s="26" t="n"/>
      <c r="O392" s="25" t="n"/>
      <c r="P392" s="25" t="n"/>
      <c r="Q392" s="26" t="n"/>
      <c r="R392" s="25">
        <f>IF(AND($A392="",$B392=""),"",IF(Q392="Complete","Onboarded",IF(OR(M392="Member",M392="Ambassador"),"Sponsored",IF(K392&lt;&gt;"","Follow-Up",IF(I392&lt;&gt;"","Presented",IF(F392&lt;&gt;"","Contacted","New Lead"))))))</f>
        <v/>
      </c>
      <c r="S392" s="25" t="n"/>
      <c r="T392" s="25">
        <f>IF(MAX(F392,I392,K392)=0,"",TODAY()-MAX(F392,I392,K392))</f>
        <v/>
      </c>
      <c r="U392" s="25" t="n"/>
      <c r="V392" s="25" t="n"/>
      <c r="W392" s="25">
        <f>IF(AND($A392="",$B392=""),"",IF(M392="Ambassador","1 - Ambassador",IF(M392="Member","2 - Member",IF(J392="Completed","3 - Presented",IF(H392&lt;&gt;"","4 - Sent",IF(F392&lt;&gt;"","5 - Contacted","6 - No Activity"))))))</f>
        <v/>
      </c>
      <c r="X392" s="25">
        <f>IF(AND($A392="",$B392=""),9999999+(ROW()-4),VALUE(LEFT($W392,1))*10000+(ROW()-4))</f>
        <v/>
      </c>
    </row>
    <row r="393" ht="15" customHeight="1" s="20">
      <c r="A393" s="25" t="n"/>
      <c r="B393" s="25" t="n"/>
      <c r="C393" s="25" t="n"/>
      <c r="D393" s="25" t="n"/>
      <c r="E393" s="25" t="n"/>
      <c r="F393" s="26" t="n"/>
      <c r="G393" s="25" t="n"/>
      <c r="H393" s="25" t="n"/>
      <c r="I393" s="26" t="n"/>
      <c r="J393" s="25" t="n"/>
      <c r="K393" s="26" t="n"/>
      <c r="L393" s="25" t="n"/>
      <c r="M393" s="25" t="n"/>
      <c r="N393" s="26" t="n"/>
      <c r="O393" s="25" t="n"/>
      <c r="P393" s="25" t="n"/>
      <c r="Q393" s="26" t="n"/>
      <c r="R393" s="25">
        <f>IF(AND($A393="",$B393=""),"",IF(Q393="Complete","Onboarded",IF(OR(M393="Member",M393="Ambassador"),"Sponsored",IF(K393&lt;&gt;"","Follow-Up",IF(I393&lt;&gt;"","Presented",IF(F393&lt;&gt;"","Contacted","New Lead"))))))</f>
        <v/>
      </c>
      <c r="S393" s="25" t="n"/>
      <c r="T393" s="25">
        <f>IF(MAX(F393,I393,K393)=0,"",TODAY()-MAX(F393,I393,K393))</f>
        <v/>
      </c>
      <c r="U393" s="25" t="n"/>
      <c r="V393" s="25" t="n"/>
      <c r="W393" s="25">
        <f>IF(AND($A393="",$B393=""),"",IF(M393="Ambassador","1 - Ambassador",IF(M393="Member","2 - Member",IF(J393="Completed","3 - Presented",IF(H393&lt;&gt;"","4 - Sent",IF(F393&lt;&gt;"","5 - Contacted","6 - No Activity"))))))</f>
        <v/>
      </c>
      <c r="X393" s="25">
        <f>IF(AND($A393="",$B393=""),9999999+(ROW()-4),VALUE(LEFT($W393,1))*10000+(ROW()-4))</f>
        <v/>
      </c>
    </row>
    <row r="394" ht="15" customHeight="1" s="20">
      <c r="A394" s="25" t="n"/>
      <c r="B394" s="25" t="n"/>
      <c r="C394" s="25" t="n"/>
      <c r="D394" s="25" t="n"/>
      <c r="E394" s="25" t="n"/>
      <c r="F394" s="26" t="n"/>
      <c r="G394" s="25" t="n"/>
      <c r="H394" s="25" t="n"/>
      <c r="I394" s="26" t="n"/>
      <c r="J394" s="25" t="n"/>
      <c r="K394" s="26" t="n"/>
      <c r="L394" s="25" t="n"/>
      <c r="M394" s="25" t="n"/>
      <c r="N394" s="26" t="n"/>
      <c r="O394" s="25" t="n"/>
      <c r="P394" s="25" t="n"/>
      <c r="Q394" s="26" t="n"/>
      <c r="R394" s="25">
        <f>IF(AND($A394="",$B394=""),"",IF(Q394="Complete","Onboarded",IF(OR(M394="Member",M394="Ambassador"),"Sponsored",IF(K394&lt;&gt;"","Follow-Up",IF(I394&lt;&gt;"","Presented",IF(F394&lt;&gt;"","Contacted","New Lead"))))))</f>
        <v/>
      </c>
      <c r="S394" s="25" t="n"/>
      <c r="T394" s="25">
        <f>IF(MAX(F394,I394,K394)=0,"",TODAY()-MAX(F394,I394,K394))</f>
        <v/>
      </c>
      <c r="U394" s="25" t="n"/>
      <c r="V394" s="25" t="n"/>
      <c r="W394" s="25">
        <f>IF(AND($A394="",$B394=""),"",IF(M394="Ambassador","1 - Ambassador",IF(M394="Member","2 - Member",IF(J394="Completed","3 - Presented",IF(H394&lt;&gt;"","4 - Sent",IF(F394&lt;&gt;"","5 - Contacted","6 - No Activity"))))))</f>
        <v/>
      </c>
      <c r="X394" s="25">
        <f>IF(AND($A394="",$B394=""),9999999+(ROW()-4),VALUE(LEFT($W394,1))*10000+(ROW()-4))</f>
        <v/>
      </c>
    </row>
    <row r="395" ht="15" customHeight="1" s="20">
      <c r="A395" s="25" t="n"/>
      <c r="B395" s="25" t="n"/>
      <c r="C395" s="25" t="n"/>
      <c r="D395" s="25" t="n"/>
      <c r="E395" s="25" t="n"/>
      <c r="F395" s="26" t="n"/>
      <c r="G395" s="25" t="n"/>
      <c r="H395" s="25" t="n"/>
      <c r="I395" s="26" t="n"/>
      <c r="J395" s="25" t="n"/>
      <c r="K395" s="26" t="n"/>
      <c r="L395" s="25" t="n"/>
      <c r="M395" s="25" t="n"/>
      <c r="N395" s="26" t="n"/>
      <c r="O395" s="25" t="n"/>
      <c r="P395" s="25" t="n"/>
      <c r="Q395" s="26" t="n"/>
      <c r="R395" s="25">
        <f>IF(AND($A395="",$B395=""),"",IF(Q395="Complete","Onboarded",IF(OR(M395="Member",M395="Ambassador"),"Sponsored",IF(K395&lt;&gt;"","Follow-Up",IF(I395&lt;&gt;"","Presented",IF(F395&lt;&gt;"","Contacted","New Lead"))))))</f>
        <v/>
      </c>
      <c r="S395" s="25" t="n"/>
      <c r="T395" s="25">
        <f>IF(MAX(F395,I395,K395)=0,"",TODAY()-MAX(F395,I395,K395))</f>
        <v/>
      </c>
      <c r="U395" s="25" t="n"/>
      <c r="V395" s="25" t="n"/>
      <c r="W395" s="25">
        <f>IF(AND($A395="",$B395=""),"",IF(M395="Ambassador","1 - Ambassador",IF(M395="Member","2 - Member",IF(J395="Completed","3 - Presented",IF(H395&lt;&gt;"","4 - Sent",IF(F395&lt;&gt;"","5 - Contacted","6 - No Activity"))))))</f>
        <v/>
      </c>
      <c r="X395" s="25">
        <f>IF(AND($A395="",$B395=""),9999999+(ROW()-4),VALUE(LEFT($W395,1))*10000+(ROW()-4))</f>
        <v/>
      </c>
    </row>
    <row r="396" ht="15" customHeight="1" s="20">
      <c r="A396" s="25" t="n"/>
      <c r="B396" s="25" t="n"/>
      <c r="C396" s="25" t="n"/>
      <c r="D396" s="25" t="n"/>
      <c r="E396" s="25" t="n"/>
      <c r="F396" s="26" t="n"/>
      <c r="G396" s="25" t="n"/>
      <c r="H396" s="25" t="n"/>
      <c r="I396" s="26" t="n"/>
      <c r="J396" s="25" t="n"/>
      <c r="K396" s="26" t="n"/>
      <c r="L396" s="25" t="n"/>
      <c r="M396" s="25" t="n"/>
      <c r="N396" s="26" t="n"/>
      <c r="O396" s="25" t="n"/>
      <c r="P396" s="25" t="n"/>
      <c r="Q396" s="26" t="n"/>
      <c r="R396" s="25">
        <f>IF(AND($A396="",$B396=""),"",IF(Q396="Complete","Onboarded",IF(OR(M396="Member",M396="Ambassador"),"Sponsored",IF(K396&lt;&gt;"","Follow-Up",IF(I396&lt;&gt;"","Presented",IF(F396&lt;&gt;"","Contacted","New Lead"))))))</f>
        <v/>
      </c>
      <c r="S396" s="25" t="n"/>
      <c r="T396" s="25">
        <f>IF(MAX(F396,I396,K396)=0,"",TODAY()-MAX(F396,I396,K396))</f>
        <v/>
      </c>
      <c r="U396" s="25" t="n"/>
      <c r="V396" s="25" t="n"/>
      <c r="W396" s="25">
        <f>IF(AND($A396="",$B396=""),"",IF(M396="Ambassador","1 - Ambassador",IF(M396="Member","2 - Member",IF(J396="Completed","3 - Presented",IF(H396&lt;&gt;"","4 - Sent",IF(F396&lt;&gt;"","5 - Contacted","6 - No Activity"))))))</f>
        <v/>
      </c>
      <c r="X396" s="25">
        <f>IF(AND($A396="",$B396=""),9999999+(ROW()-4),VALUE(LEFT($W396,1))*10000+(ROW()-4))</f>
        <v/>
      </c>
    </row>
    <row r="397" ht="15" customHeight="1" s="20">
      <c r="A397" s="25" t="n"/>
      <c r="B397" s="25" t="n"/>
      <c r="C397" s="25" t="n"/>
      <c r="D397" s="25" t="n"/>
      <c r="E397" s="25" t="n"/>
      <c r="F397" s="26" t="n"/>
      <c r="G397" s="25" t="n"/>
      <c r="H397" s="25" t="n"/>
      <c r="I397" s="26" t="n"/>
      <c r="J397" s="25" t="n"/>
      <c r="K397" s="26" t="n"/>
      <c r="L397" s="25" t="n"/>
      <c r="M397" s="25" t="n"/>
      <c r="N397" s="26" t="n"/>
      <c r="O397" s="25" t="n"/>
      <c r="P397" s="25" t="n"/>
      <c r="Q397" s="26" t="n"/>
      <c r="R397" s="25">
        <f>IF(AND($A397="",$B397=""),"",IF(Q397="Complete","Onboarded",IF(OR(M397="Member",M397="Ambassador"),"Sponsored",IF(K397&lt;&gt;"","Follow-Up",IF(I397&lt;&gt;"","Presented",IF(F397&lt;&gt;"","Contacted","New Lead"))))))</f>
        <v/>
      </c>
      <c r="S397" s="25" t="n"/>
      <c r="T397" s="25">
        <f>IF(MAX(F397,I397,K397)=0,"",TODAY()-MAX(F397,I397,K397))</f>
        <v/>
      </c>
      <c r="U397" s="25" t="n"/>
      <c r="V397" s="25" t="n"/>
      <c r="W397" s="25">
        <f>IF(AND($A397="",$B397=""),"",IF(M397="Ambassador","1 - Ambassador",IF(M397="Member","2 - Member",IF(J397="Completed","3 - Presented",IF(H397&lt;&gt;"","4 - Sent",IF(F397&lt;&gt;"","5 - Contacted","6 - No Activity"))))))</f>
        <v/>
      </c>
      <c r="X397" s="25">
        <f>IF(AND($A397="",$B397=""),9999999+(ROW()-4),VALUE(LEFT($W397,1))*10000+(ROW()-4))</f>
        <v/>
      </c>
    </row>
    <row r="398" ht="15" customHeight="1" s="20">
      <c r="A398" s="25" t="n"/>
      <c r="B398" s="25" t="n"/>
      <c r="C398" s="25" t="n"/>
      <c r="D398" s="25" t="n"/>
      <c r="E398" s="25" t="n"/>
      <c r="F398" s="26" t="n"/>
      <c r="G398" s="25" t="n"/>
      <c r="H398" s="25" t="n"/>
      <c r="I398" s="26" t="n"/>
      <c r="J398" s="25" t="n"/>
      <c r="K398" s="26" t="n"/>
      <c r="L398" s="25" t="n"/>
      <c r="M398" s="25" t="n"/>
      <c r="N398" s="26" t="n"/>
      <c r="O398" s="25" t="n"/>
      <c r="P398" s="25" t="n"/>
      <c r="Q398" s="26" t="n"/>
      <c r="R398" s="25">
        <f>IF(AND($A398="",$B398=""),"",IF(Q398="Complete","Onboarded",IF(OR(M398="Member",M398="Ambassador"),"Sponsored",IF(K398&lt;&gt;"","Follow-Up",IF(I398&lt;&gt;"","Presented",IF(F398&lt;&gt;"","Contacted","New Lead"))))))</f>
        <v/>
      </c>
      <c r="S398" s="25" t="n"/>
      <c r="T398" s="25">
        <f>IF(MAX(F398,I398,K398)=0,"",TODAY()-MAX(F398,I398,K398))</f>
        <v/>
      </c>
      <c r="U398" s="25" t="n"/>
      <c r="V398" s="25" t="n"/>
      <c r="W398" s="25">
        <f>IF(AND($A398="",$B398=""),"",IF(M398="Ambassador","1 - Ambassador",IF(M398="Member","2 - Member",IF(J398="Completed","3 - Presented",IF(H398&lt;&gt;"","4 - Sent",IF(F398&lt;&gt;"","5 - Contacted","6 - No Activity"))))))</f>
        <v/>
      </c>
      <c r="X398" s="25">
        <f>IF(AND($A398="",$B398=""),9999999+(ROW()-4),VALUE(LEFT($W398,1))*10000+(ROW()-4))</f>
        <v/>
      </c>
    </row>
    <row r="399" ht="15" customHeight="1" s="20">
      <c r="A399" s="25" t="n"/>
      <c r="B399" s="25" t="n"/>
      <c r="C399" s="25" t="n"/>
      <c r="D399" s="25" t="n"/>
      <c r="E399" s="25" t="n"/>
      <c r="F399" s="26" t="n"/>
      <c r="G399" s="25" t="n"/>
      <c r="H399" s="25" t="n"/>
      <c r="I399" s="26" t="n"/>
      <c r="J399" s="25" t="n"/>
      <c r="K399" s="26" t="n"/>
      <c r="L399" s="25" t="n"/>
      <c r="M399" s="25" t="n"/>
      <c r="N399" s="26" t="n"/>
      <c r="O399" s="25" t="n"/>
      <c r="P399" s="25" t="n"/>
      <c r="Q399" s="26" t="n"/>
      <c r="R399" s="25">
        <f>IF(AND($A399="",$B399=""),"",IF(Q399="Complete","Onboarded",IF(OR(M399="Member",M399="Ambassador"),"Sponsored",IF(K399&lt;&gt;"","Follow-Up",IF(I399&lt;&gt;"","Presented",IF(F399&lt;&gt;"","Contacted","New Lead"))))))</f>
        <v/>
      </c>
      <c r="S399" s="25" t="n"/>
      <c r="T399" s="25">
        <f>IF(MAX(F399,I399,K399)=0,"",TODAY()-MAX(F399,I399,K399))</f>
        <v/>
      </c>
      <c r="U399" s="25" t="n"/>
      <c r="V399" s="25" t="n"/>
      <c r="W399" s="25">
        <f>IF(AND($A399="",$B399=""),"",IF(M399="Ambassador","1 - Ambassador",IF(M399="Member","2 - Member",IF(J399="Completed","3 - Presented",IF(H399&lt;&gt;"","4 - Sent",IF(F399&lt;&gt;"","5 - Contacted","6 - No Activity"))))))</f>
        <v/>
      </c>
      <c r="X399" s="25">
        <f>IF(AND($A399="",$B399=""),9999999+(ROW()-4),VALUE(LEFT($W399,1))*10000+(ROW()-4))</f>
        <v/>
      </c>
    </row>
    <row r="400" ht="15" customHeight="1" s="20">
      <c r="A400" s="25" t="n"/>
      <c r="B400" s="25" t="n"/>
      <c r="C400" s="25" t="n"/>
      <c r="D400" s="25" t="n"/>
      <c r="E400" s="25" t="n"/>
      <c r="F400" s="26" t="n"/>
      <c r="G400" s="25" t="n"/>
      <c r="H400" s="25" t="n"/>
      <c r="I400" s="26" t="n"/>
      <c r="J400" s="25" t="n"/>
      <c r="K400" s="26" t="n"/>
      <c r="L400" s="25" t="n"/>
      <c r="M400" s="25" t="n"/>
      <c r="N400" s="26" t="n"/>
      <c r="O400" s="25" t="n"/>
      <c r="P400" s="25" t="n"/>
      <c r="Q400" s="26" t="n"/>
      <c r="R400" s="25">
        <f>IF(AND($A400="",$B400=""),"",IF(Q400="Complete","Onboarded",IF(OR(M400="Member",M400="Ambassador"),"Sponsored",IF(K400&lt;&gt;"","Follow-Up",IF(I400&lt;&gt;"","Presented",IF(F400&lt;&gt;"","Contacted","New Lead"))))))</f>
        <v/>
      </c>
      <c r="S400" s="25" t="n"/>
      <c r="T400" s="25">
        <f>IF(MAX(F400,I400,K400)=0,"",TODAY()-MAX(F400,I400,K400))</f>
        <v/>
      </c>
      <c r="U400" s="25" t="n"/>
      <c r="V400" s="25" t="n"/>
      <c r="W400" s="25">
        <f>IF(AND($A400="",$B400=""),"",IF(M400="Ambassador","1 - Ambassador",IF(M400="Member","2 - Member",IF(J400="Completed","3 - Presented",IF(H400&lt;&gt;"","4 - Sent",IF(F400&lt;&gt;"","5 - Contacted","6 - No Activity"))))))</f>
        <v/>
      </c>
      <c r="X400" s="25">
        <f>IF(AND($A400="",$B400=""),9999999+(ROW()-4),VALUE(LEFT($W400,1))*10000+(ROW()-4))</f>
        <v/>
      </c>
    </row>
    <row r="401" ht="15" customHeight="1" s="20">
      <c r="A401" s="25" t="n"/>
      <c r="B401" s="25" t="n"/>
      <c r="C401" s="25" t="n"/>
      <c r="D401" s="25" t="n"/>
      <c r="E401" s="25" t="n"/>
      <c r="F401" s="26" t="n"/>
      <c r="G401" s="25" t="n"/>
      <c r="H401" s="25" t="n"/>
      <c r="I401" s="26" t="n"/>
      <c r="J401" s="25" t="n"/>
      <c r="K401" s="26" t="n"/>
      <c r="L401" s="25" t="n"/>
      <c r="M401" s="25" t="n"/>
      <c r="N401" s="26" t="n"/>
      <c r="O401" s="25" t="n"/>
      <c r="P401" s="25" t="n"/>
      <c r="Q401" s="26" t="n"/>
      <c r="R401" s="25">
        <f>IF(AND($A401="",$B401=""),"",IF(Q401="Complete","Onboarded",IF(OR(M401="Member",M401="Ambassador"),"Sponsored",IF(K401&lt;&gt;"","Follow-Up",IF(I401&lt;&gt;"","Presented",IF(F401&lt;&gt;"","Contacted","New Lead"))))))</f>
        <v/>
      </c>
      <c r="S401" s="25" t="n"/>
      <c r="T401" s="25">
        <f>IF(MAX(F401,I401,K401)=0,"",TODAY()-MAX(F401,I401,K401))</f>
        <v/>
      </c>
      <c r="U401" s="25" t="n"/>
      <c r="V401" s="25" t="n"/>
      <c r="W401" s="25">
        <f>IF(AND($A401="",$B401=""),"",IF(M401="Ambassador","1 - Ambassador",IF(M401="Member","2 - Member",IF(J401="Completed","3 - Presented",IF(H401&lt;&gt;"","4 - Sent",IF(F401&lt;&gt;"","5 - Contacted","6 - No Activity"))))))</f>
        <v/>
      </c>
      <c r="X401" s="25">
        <f>IF(AND($A401="",$B401=""),9999999+(ROW()-4),VALUE(LEFT($W401,1))*10000+(ROW()-4))</f>
        <v/>
      </c>
    </row>
    <row r="402" ht="15" customHeight="1" s="20">
      <c r="A402" s="25" t="n"/>
      <c r="B402" s="25" t="n"/>
      <c r="C402" s="25" t="n"/>
      <c r="D402" s="25" t="n"/>
      <c r="E402" s="25" t="n"/>
      <c r="F402" s="26" t="n"/>
      <c r="G402" s="25" t="n"/>
      <c r="H402" s="25" t="n"/>
      <c r="I402" s="26" t="n"/>
      <c r="J402" s="25" t="n"/>
      <c r="K402" s="26" t="n"/>
      <c r="L402" s="25" t="n"/>
      <c r="M402" s="25" t="n"/>
      <c r="N402" s="26" t="n"/>
      <c r="O402" s="25" t="n"/>
      <c r="P402" s="25" t="n"/>
      <c r="Q402" s="26" t="n"/>
      <c r="R402" s="25">
        <f>IF(AND($A402="",$B402=""),"",IF(Q402="Complete","Onboarded",IF(OR(M402="Member",M402="Ambassador"),"Sponsored",IF(K402&lt;&gt;"","Follow-Up",IF(I402&lt;&gt;"","Presented",IF(F402&lt;&gt;"","Contacted","New Lead"))))))</f>
        <v/>
      </c>
      <c r="S402" s="25" t="n"/>
      <c r="T402" s="25">
        <f>IF(MAX(F402,I402,K402)=0,"",TODAY()-MAX(F402,I402,K402))</f>
        <v/>
      </c>
      <c r="U402" s="25" t="n"/>
      <c r="V402" s="25" t="n"/>
      <c r="W402" s="25">
        <f>IF(AND($A402="",$B402=""),"",IF(M402="Ambassador","1 - Ambassador",IF(M402="Member","2 - Member",IF(J402="Completed","3 - Presented",IF(H402&lt;&gt;"","4 - Sent",IF(F402&lt;&gt;"","5 - Contacted","6 - No Activity"))))))</f>
        <v/>
      </c>
      <c r="X402" s="25">
        <f>IF(AND($A402="",$B402=""),9999999+(ROW()-4),VALUE(LEFT($W402,1))*10000+(ROW()-4))</f>
        <v/>
      </c>
    </row>
    <row r="403" ht="15" customHeight="1" s="20">
      <c r="A403" s="25" t="n"/>
      <c r="B403" s="25" t="n"/>
      <c r="C403" s="25" t="n"/>
      <c r="D403" s="25" t="n"/>
      <c r="E403" s="25" t="n"/>
      <c r="F403" s="26" t="n"/>
      <c r="G403" s="25" t="n"/>
      <c r="H403" s="25" t="n"/>
      <c r="I403" s="26" t="n"/>
      <c r="J403" s="25" t="n"/>
      <c r="K403" s="26" t="n"/>
      <c r="L403" s="25" t="n"/>
      <c r="M403" s="25" t="n"/>
      <c r="N403" s="26" t="n"/>
      <c r="O403" s="25" t="n"/>
      <c r="P403" s="25" t="n"/>
      <c r="Q403" s="26" t="n"/>
      <c r="R403" s="25">
        <f>IF(AND($A403="",$B403=""),"",IF(Q403="Complete","Onboarded",IF(OR(M403="Member",M403="Ambassador"),"Sponsored",IF(K403&lt;&gt;"","Follow-Up",IF(I403&lt;&gt;"","Presented",IF(F403&lt;&gt;"","Contacted","New Lead"))))))</f>
        <v/>
      </c>
      <c r="S403" s="25" t="n"/>
      <c r="T403" s="25">
        <f>IF(MAX(F403,I403,K403)=0,"",TODAY()-MAX(F403,I403,K403))</f>
        <v/>
      </c>
      <c r="U403" s="25" t="n"/>
      <c r="V403" s="25" t="n"/>
      <c r="W403" s="25">
        <f>IF(AND($A403="",$B403=""),"",IF(M403="Ambassador","1 - Ambassador",IF(M403="Member","2 - Member",IF(J403="Completed","3 - Presented",IF(H403&lt;&gt;"","4 - Sent",IF(F403&lt;&gt;"","5 - Contacted","6 - No Activity"))))))</f>
        <v/>
      </c>
      <c r="X403" s="25">
        <f>IF(AND($A403="",$B403=""),9999999+(ROW()-4),VALUE(LEFT($W403,1))*10000+(ROW()-4))</f>
        <v/>
      </c>
    </row>
    <row r="404" ht="15" customHeight="1" s="20">
      <c r="A404" s="25" t="n"/>
      <c r="B404" s="25" t="n"/>
      <c r="C404" s="25" t="n"/>
      <c r="D404" s="25" t="n"/>
      <c r="E404" s="25" t="n"/>
      <c r="F404" s="26" t="n"/>
      <c r="G404" s="25" t="n"/>
      <c r="H404" s="25" t="n"/>
      <c r="I404" s="26" t="n"/>
      <c r="J404" s="25" t="n"/>
      <c r="K404" s="26" t="n"/>
      <c r="L404" s="25" t="n"/>
      <c r="M404" s="25" t="n"/>
      <c r="N404" s="26" t="n"/>
      <c r="O404" s="25" t="n"/>
      <c r="P404" s="25" t="n"/>
      <c r="Q404" s="26" t="n"/>
      <c r="R404" s="25">
        <f>IF(AND($A404="",$B404=""),"",IF(Q404="Complete","Onboarded",IF(OR(M404="Member",M404="Ambassador"),"Sponsored",IF(K404&lt;&gt;"","Follow-Up",IF(I404&lt;&gt;"","Presented",IF(F404&lt;&gt;"","Contacted","New Lead"))))))</f>
        <v/>
      </c>
      <c r="S404" s="25" t="n"/>
      <c r="T404" s="25">
        <f>IF(MAX(F404,I404,K404)=0,"",TODAY()-MAX(F404,I404,K404))</f>
        <v/>
      </c>
      <c r="U404" s="25" t="n"/>
      <c r="V404" s="25" t="n"/>
      <c r="W404" s="25">
        <f>IF(AND($A404="",$B404=""),"",IF(M404="Ambassador","1 - Ambassador",IF(M404="Member","2 - Member",IF(J404="Completed","3 - Presented",IF(H404&lt;&gt;"","4 - Sent",IF(F404&lt;&gt;"","5 - Contacted","6 - No Activity"))))))</f>
        <v/>
      </c>
      <c r="X404" s="25">
        <f>IF(AND($A404="",$B404=""),9999999+(ROW()-4),VALUE(LEFT($W404,1))*10000+(ROW()-4))</f>
        <v/>
      </c>
    </row>
    <row r="405" ht="15" customHeight="1" s="20">
      <c r="A405" s="25" t="n"/>
      <c r="B405" s="25" t="n"/>
      <c r="C405" s="25" t="n"/>
      <c r="D405" s="25" t="n"/>
      <c r="E405" s="25" t="n"/>
      <c r="F405" s="26" t="n"/>
      <c r="G405" s="25" t="n"/>
      <c r="H405" s="25" t="n"/>
      <c r="I405" s="26" t="n"/>
      <c r="J405" s="25" t="n"/>
      <c r="K405" s="26" t="n"/>
      <c r="L405" s="25" t="n"/>
      <c r="M405" s="25" t="n"/>
      <c r="N405" s="26" t="n"/>
      <c r="O405" s="25" t="n"/>
      <c r="P405" s="25" t="n"/>
      <c r="Q405" s="26" t="n"/>
      <c r="R405" s="25">
        <f>IF(AND($A405="",$B405=""),"",IF(Q405="Complete","Onboarded",IF(OR(M405="Member",M405="Ambassador"),"Sponsored",IF(K405&lt;&gt;"","Follow-Up",IF(I405&lt;&gt;"","Presented",IF(F405&lt;&gt;"","Contacted","New Lead"))))))</f>
        <v/>
      </c>
      <c r="S405" s="25" t="n"/>
      <c r="T405" s="25">
        <f>IF(MAX(F405,I405,K405)=0,"",TODAY()-MAX(F405,I405,K405))</f>
        <v/>
      </c>
      <c r="U405" s="25" t="n"/>
      <c r="V405" s="25" t="n"/>
      <c r="W405" s="25">
        <f>IF(AND($A405="",$B405=""),"",IF(M405="Ambassador","1 - Ambassador",IF(M405="Member","2 - Member",IF(J405="Completed","3 - Presented",IF(H405&lt;&gt;"","4 - Sent",IF(F405&lt;&gt;"","5 - Contacted","6 - No Activity"))))))</f>
        <v/>
      </c>
      <c r="X405" s="25">
        <f>IF(AND($A405="",$B405=""),9999999+(ROW()-4),VALUE(LEFT($W405,1))*10000+(ROW()-4))</f>
        <v/>
      </c>
    </row>
    <row r="406" ht="15" customHeight="1" s="20">
      <c r="A406" s="25" t="n"/>
      <c r="B406" s="25" t="n"/>
      <c r="C406" s="25" t="n"/>
      <c r="D406" s="25" t="n"/>
      <c r="E406" s="25" t="n"/>
      <c r="F406" s="26" t="n"/>
      <c r="G406" s="25" t="n"/>
      <c r="H406" s="25" t="n"/>
      <c r="I406" s="26" t="n"/>
      <c r="J406" s="25" t="n"/>
      <c r="K406" s="26" t="n"/>
      <c r="L406" s="25" t="n"/>
      <c r="M406" s="25" t="n"/>
      <c r="N406" s="26" t="n"/>
      <c r="O406" s="25" t="n"/>
      <c r="P406" s="25" t="n"/>
      <c r="Q406" s="26" t="n"/>
      <c r="R406" s="25">
        <f>IF(AND($A406="",$B406=""),"",IF(Q406="Complete","Onboarded",IF(OR(M406="Member",M406="Ambassador"),"Sponsored",IF(K406&lt;&gt;"","Follow-Up",IF(I406&lt;&gt;"","Presented",IF(F406&lt;&gt;"","Contacted","New Lead"))))))</f>
        <v/>
      </c>
      <c r="S406" s="25" t="n"/>
      <c r="T406" s="25">
        <f>IF(MAX(F406,I406,K406)=0,"",TODAY()-MAX(F406,I406,K406))</f>
        <v/>
      </c>
      <c r="U406" s="25" t="n"/>
      <c r="V406" s="25" t="n"/>
      <c r="W406" s="25">
        <f>IF(AND($A406="",$B406=""),"",IF(M406="Ambassador","1 - Ambassador",IF(M406="Member","2 - Member",IF(J406="Completed","3 - Presented",IF(H406&lt;&gt;"","4 - Sent",IF(F406&lt;&gt;"","5 - Contacted","6 - No Activity"))))))</f>
        <v/>
      </c>
      <c r="X406" s="25">
        <f>IF(AND($A406="",$B406=""),9999999+(ROW()-4),VALUE(LEFT($W406,1))*10000+(ROW()-4))</f>
        <v/>
      </c>
    </row>
    <row r="407" ht="15" customHeight="1" s="20">
      <c r="A407" s="25" t="n"/>
      <c r="B407" s="25" t="n"/>
      <c r="C407" s="25" t="n"/>
      <c r="D407" s="25" t="n"/>
      <c r="E407" s="25" t="n"/>
      <c r="F407" s="26" t="n"/>
      <c r="G407" s="25" t="n"/>
      <c r="H407" s="25" t="n"/>
      <c r="I407" s="26" t="n"/>
      <c r="J407" s="25" t="n"/>
      <c r="K407" s="26" t="n"/>
      <c r="L407" s="25" t="n"/>
      <c r="M407" s="25" t="n"/>
      <c r="N407" s="26" t="n"/>
      <c r="O407" s="25" t="n"/>
      <c r="P407" s="25" t="n"/>
      <c r="Q407" s="26" t="n"/>
      <c r="R407" s="25">
        <f>IF(AND($A407="",$B407=""),"",IF(Q407="Complete","Onboarded",IF(OR(M407="Member",M407="Ambassador"),"Sponsored",IF(K407&lt;&gt;"","Follow-Up",IF(I407&lt;&gt;"","Presented",IF(F407&lt;&gt;"","Contacted","New Lead"))))))</f>
        <v/>
      </c>
      <c r="S407" s="25" t="n"/>
      <c r="T407" s="25">
        <f>IF(MAX(F407,I407,K407)=0,"",TODAY()-MAX(F407,I407,K407))</f>
        <v/>
      </c>
      <c r="U407" s="25" t="n"/>
      <c r="V407" s="25" t="n"/>
      <c r="W407" s="25">
        <f>IF(AND($A407="",$B407=""),"",IF(M407="Ambassador","1 - Ambassador",IF(M407="Member","2 - Member",IF(J407="Completed","3 - Presented",IF(H407&lt;&gt;"","4 - Sent",IF(F407&lt;&gt;"","5 - Contacted","6 - No Activity"))))))</f>
        <v/>
      </c>
      <c r="X407" s="25">
        <f>IF(AND($A407="",$B407=""),9999999+(ROW()-4),VALUE(LEFT($W407,1))*10000+(ROW()-4))</f>
        <v/>
      </c>
    </row>
    <row r="408" ht="15" customHeight="1" s="20">
      <c r="A408" s="25" t="n"/>
      <c r="B408" s="25" t="n"/>
      <c r="C408" s="25" t="n"/>
      <c r="D408" s="25" t="n"/>
      <c r="E408" s="25" t="n"/>
      <c r="F408" s="26" t="n"/>
      <c r="G408" s="25" t="n"/>
      <c r="H408" s="25" t="n"/>
      <c r="I408" s="26" t="n"/>
      <c r="J408" s="25" t="n"/>
      <c r="K408" s="26" t="n"/>
      <c r="L408" s="25" t="n"/>
      <c r="M408" s="25" t="n"/>
      <c r="N408" s="26" t="n"/>
      <c r="O408" s="25" t="n"/>
      <c r="P408" s="25" t="n"/>
      <c r="Q408" s="26" t="n"/>
      <c r="R408" s="25">
        <f>IF(AND($A408="",$B408=""),"",IF(Q408="Complete","Onboarded",IF(OR(M408="Member",M408="Ambassador"),"Sponsored",IF(K408&lt;&gt;"","Follow-Up",IF(I408&lt;&gt;"","Presented",IF(F408&lt;&gt;"","Contacted","New Lead"))))))</f>
        <v/>
      </c>
      <c r="S408" s="25" t="n"/>
      <c r="T408" s="25">
        <f>IF(MAX(F408,I408,K408)=0,"",TODAY()-MAX(F408,I408,K408))</f>
        <v/>
      </c>
      <c r="U408" s="25" t="n"/>
      <c r="V408" s="25" t="n"/>
      <c r="W408" s="25">
        <f>IF(AND($A408="",$B408=""),"",IF(M408="Ambassador","1 - Ambassador",IF(M408="Member","2 - Member",IF(J408="Completed","3 - Presented",IF(H408&lt;&gt;"","4 - Sent",IF(F408&lt;&gt;"","5 - Contacted","6 - No Activity"))))))</f>
        <v/>
      </c>
      <c r="X408" s="25">
        <f>IF(AND($A408="",$B408=""),9999999+(ROW()-4),VALUE(LEFT($W408,1))*10000+(ROW()-4))</f>
        <v/>
      </c>
    </row>
    <row r="409" ht="15" customHeight="1" s="20">
      <c r="A409" s="25" t="n"/>
      <c r="B409" s="25" t="n"/>
      <c r="C409" s="25" t="n"/>
      <c r="D409" s="25" t="n"/>
      <c r="E409" s="25" t="n"/>
      <c r="F409" s="26" t="n"/>
      <c r="G409" s="25" t="n"/>
      <c r="H409" s="25" t="n"/>
      <c r="I409" s="26" t="n"/>
      <c r="J409" s="25" t="n"/>
      <c r="K409" s="26" t="n"/>
      <c r="L409" s="25" t="n"/>
      <c r="M409" s="25" t="n"/>
      <c r="N409" s="26" t="n"/>
      <c r="O409" s="25" t="n"/>
      <c r="P409" s="25" t="n"/>
      <c r="Q409" s="26" t="n"/>
      <c r="R409" s="25">
        <f>IF(AND($A409="",$B409=""),"",IF(Q409="Complete","Onboarded",IF(OR(M409="Member",M409="Ambassador"),"Sponsored",IF(K409&lt;&gt;"","Follow-Up",IF(I409&lt;&gt;"","Presented",IF(F409&lt;&gt;"","Contacted","New Lead"))))))</f>
        <v/>
      </c>
      <c r="S409" s="25" t="n"/>
      <c r="T409" s="25">
        <f>IF(MAX(F409,I409,K409)=0,"",TODAY()-MAX(F409,I409,K409))</f>
        <v/>
      </c>
      <c r="U409" s="25" t="n"/>
      <c r="V409" s="25" t="n"/>
      <c r="W409" s="25">
        <f>IF(AND($A409="",$B409=""),"",IF(M409="Ambassador","1 - Ambassador",IF(M409="Member","2 - Member",IF(J409="Completed","3 - Presented",IF(H409&lt;&gt;"","4 - Sent",IF(F409&lt;&gt;"","5 - Contacted","6 - No Activity"))))))</f>
        <v/>
      </c>
      <c r="X409" s="25">
        <f>IF(AND($A409="",$B409=""),9999999+(ROW()-4),VALUE(LEFT($W409,1))*10000+(ROW()-4))</f>
        <v/>
      </c>
    </row>
    <row r="410" ht="15" customHeight="1" s="20">
      <c r="A410" s="25" t="n"/>
      <c r="B410" s="25" t="n"/>
      <c r="C410" s="25" t="n"/>
      <c r="D410" s="25" t="n"/>
      <c r="E410" s="25" t="n"/>
      <c r="F410" s="26" t="n"/>
      <c r="G410" s="25" t="n"/>
      <c r="H410" s="25" t="n"/>
      <c r="I410" s="26" t="n"/>
      <c r="J410" s="25" t="n"/>
      <c r="K410" s="26" t="n"/>
      <c r="L410" s="25" t="n"/>
      <c r="M410" s="25" t="n"/>
      <c r="N410" s="26" t="n"/>
      <c r="O410" s="25" t="n"/>
      <c r="P410" s="25" t="n"/>
      <c r="Q410" s="26" t="n"/>
      <c r="R410" s="25">
        <f>IF(AND($A410="",$B410=""),"",IF(Q410="Complete","Onboarded",IF(OR(M410="Member",M410="Ambassador"),"Sponsored",IF(K410&lt;&gt;"","Follow-Up",IF(I410&lt;&gt;"","Presented",IF(F410&lt;&gt;"","Contacted","New Lead"))))))</f>
        <v/>
      </c>
      <c r="S410" s="25" t="n"/>
      <c r="T410" s="25">
        <f>IF(MAX(F410,I410,K410)=0,"",TODAY()-MAX(F410,I410,K410))</f>
        <v/>
      </c>
      <c r="U410" s="25" t="n"/>
      <c r="V410" s="25" t="n"/>
      <c r="W410" s="25">
        <f>IF(AND($A410="",$B410=""),"",IF(M410="Ambassador","1 - Ambassador",IF(M410="Member","2 - Member",IF(J410="Completed","3 - Presented",IF(H410&lt;&gt;"","4 - Sent",IF(F410&lt;&gt;"","5 - Contacted","6 - No Activity"))))))</f>
        <v/>
      </c>
      <c r="X410" s="25">
        <f>IF(AND($A410="",$B410=""),9999999+(ROW()-4),VALUE(LEFT($W410,1))*10000+(ROW()-4))</f>
        <v/>
      </c>
    </row>
    <row r="411" ht="15" customHeight="1" s="20">
      <c r="A411" s="25" t="n"/>
      <c r="B411" s="25" t="n"/>
      <c r="C411" s="25" t="n"/>
      <c r="D411" s="25" t="n"/>
      <c r="E411" s="25" t="n"/>
      <c r="F411" s="26" t="n"/>
      <c r="G411" s="25" t="n"/>
      <c r="H411" s="25" t="n"/>
      <c r="I411" s="26" t="n"/>
      <c r="J411" s="25" t="n"/>
      <c r="K411" s="26" t="n"/>
      <c r="L411" s="25" t="n"/>
      <c r="M411" s="25" t="n"/>
      <c r="N411" s="26" t="n"/>
      <c r="O411" s="25" t="n"/>
      <c r="P411" s="25" t="n"/>
      <c r="Q411" s="26" t="n"/>
      <c r="R411" s="25">
        <f>IF(AND($A411="",$B411=""),"",IF(Q411="Complete","Onboarded",IF(OR(M411="Member",M411="Ambassador"),"Sponsored",IF(K411&lt;&gt;"","Follow-Up",IF(I411&lt;&gt;"","Presented",IF(F411&lt;&gt;"","Contacted","New Lead"))))))</f>
        <v/>
      </c>
      <c r="S411" s="25" t="n"/>
      <c r="T411" s="25">
        <f>IF(MAX(F411,I411,K411)=0,"",TODAY()-MAX(F411,I411,K411))</f>
        <v/>
      </c>
      <c r="U411" s="25" t="n"/>
      <c r="V411" s="25" t="n"/>
      <c r="W411" s="25">
        <f>IF(AND($A411="",$B411=""),"",IF(M411="Ambassador","1 - Ambassador",IF(M411="Member","2 - Member",IF(J411="Completed","3 - Presented",IF(H411&lt;&gt;"","4 - Sent",IF(F411&lt;&gt;"","5 - Contacted","6 - No Activity"))))))</f>
        <v/>
      </c>
      <c r="X411" s="25">
        <f>IF(AND($A411="",$B411=""),9999999+(ROW()-4),VALUE(LEFT($W411,1))*10000+(ROW()-4))</f>
        <v/>
      </c>
    </row>
    <row r="412" ht="15" customHeight="1" s="20">
      <c r="A412" s="25" t="n"/>
      <c r="B412" s="25" t="n"/>
      <c r="C412" s="25" t="n"/>
      <c r="D412" s="25" t="n"/>
      <c r="E412" s="25" t="n"/>
      <c r="F412" s="26" t="n"/>
      <c r="G412" s="25" t="n"/>
      <c r="H412" s="25" t="n"/>
      <c r="I412" s="26" t="n"/>
      <c r="J412" s="25" t="n"/>
      <c r="K412" s="26" t="n"/>
      <c r="L412" s="25" t="n"/>
      <c r="M412" s="25" t="n"/>
      <c r="N412" s="26" t="n"/>
      <c r="O412" s="25" t="n"/>
      <c r="P412" s="25" t="n"/>
      <c r="Q412" s="26" t="n"/>
      <c r="R412" s="25">
        <f>IF(AND($A412="",$B412=""),"",IF(Q412="Complete","Onboarded",IF(OR(M412="Member",M412="Ambassador"),"Sponsored",IF(K412&lt;&gt;"","Follow-Up",IF(I412&lt;&gt;"","Presented",IF(F412&lt;&gt;"","Contacted","New Lead"))))))</f>
        <v/>
      </c>
      <c r="S412" s="25" t="n"/>
      <c r="T412" s="25">
        <f>IF(MAX(F412,I412,K412)=0,"",TODAY()-MAX(F412,I412,K412))</f>
        <v/>
      </c>
      <c r="U412" s="25" t="n"/>
      <c r="V412" s="25" t="n"/>
      <c r="W412" s="25">
        <f>IF(AND($A412="",$B412=""),"",IF(M412="Ambassador","1 - Ambassador",IF(M412="Member","2 - Member",IF(J412="Completed","3 - Presented",IF(H412&lt;&gt;"","4 - Sent",IF(F412&lt;&gt;"","5 - Contacted","6 - No Activity"))))))</f>
        <v/>
      </c>
      <c r="X412" s="25">
        <f>IF(AND($A412="",$B412=""),9999999+(ROW()-4),VALUE(LEFT($W412,1))*10000+(ROW()-4))</f>
        <v/>
      </c>
    </row>
    <row r="413" ht="15" customHeight="1" s="20">
      <c r="A413" s="25" t="n"/>
      <c r="B413" s="25" t="n"/>
      <c r="C413" s="25" t="n"/>
      <c r="D413" s="25" t="n"/>
      <c r="E413" s="25" t="n"/>
      <c r="F413" s="26" t="n"/>
      <c r="G413" s="25" t="n"/>
      <c r="H413" s="25" t="n"/>
      <c r="I413" s="26" t="n"/>
      <c r="J413" s="25" t="n"/>
      <c r="K413" s="26" t="n"/>
      <c r="L413" s="25" t="n"/>
      <c r="M413" s="25" t="n"/>
      <c r="N413" s="26" t="n"/>
      <c r="O413" s="25" t="n"/>
      <c r="P413" s="25" t="n"/>
      <c r="Q413" s="26" t="n"/>
      <c r="R413" s="25">
        <f>IF(AND($A413="",$B413=""),"",IF(Q413="Complete","Onboarded",IF(OR(M413="Member",M413="Ambassador"),"Sponsored",IF(K413&lt;&gt;"","Follow-Up",IF(I413&lt;&gt;"","Presented",IF(F413&lt;&gt;"","Contacted","New Lead"))))))</f>
        <v/>
      </c>
      <c r="S413" s="25" t="n"/>
      <c r="T413" s="25">
        <f>IF(MAX(F413,I413,K413)=0,"",TODAY()-MAX(F413,I413,K413))</f>
        <v/>
      </c>
      <c r="U413" s="25" t="n"/>
      <c r="V413" s="25" t="n"/>
      <c r="W413" s="25">
        <f>IF(AND($A413="",$B413=""),"",IF(M413="Ambassador","1 - Ambassador",IF(M413="Member","2 - Member",IF(J413="Completed","3 - Presented",IF(H413&lt;&gt;"","4 - Sent",IF(F413&lt;&gt;"","5 - Contacted","6 - No Activity"))))))</f>
        <v/>
      </c>
      <c r="X413" s="25">
        <f>IF(AND($A413="",$B413=""),9999999+(ROW()-4),VALUE(LEFT($W413,1))*10000+(ROW()-4))</f>
        <v/>
      </c>
    </row>
    <row r="414" ht="15" customHeight="1" s="20">
      <c r="A414" s="25" t="n"/>
      <c r="B414" s="25" t="n"/>
      <c r="C414" s="25" t="n"/>
      <c r="D414" s="25" t="n"/>
      <c r="E414" s="25" t="n"/>
      <c r="F414" s="26" t="n"/>
      <c r="G414" s="25" t="n"/>
      <c r="H414" s="25" t="n"/>
      <c r="I414" s="26" t="n"/>
      <c r="J414" s="25" t="n"/>
      <c r="K414" s="26" t="n"/>
      <c r="L414" s="25" t="n"/>
      <c r="M414" s="25" t="n"/>
      <c r="N414" s="26" t="n"/>
      <c r="O414" s="25" t="n"/>
      <c r="P414" s="25" t="n"/>
      <c r="Q414" s="26" t="n"/>
      <c r="R414" s="25">
        <f>IF(AND($A414="",$B414=""),"",IF(Q414="Complete","Onboarded",IF(OR(M414="Member",M414="Ambassador"),"Sponsored",IF(K414&lt;&gt;"","Follow-Up",IF(I414&lt;&gt;"","Presented",IF(F414&lt;&gt;"","Contacted","New Lead"))))))</f>
        <v/>
      </c>
      <c r="S414" s="25" t="n"/>
      <c r="T414" s="25">
        <f>IF(MAX(F414,I414,K414)=0,"",TODAY()-MAX(F414,I414,K414))</f>
        <v/>
      </c>
      <c r="U414" s="25" t="n"/>
      <c r="V414" s="25" t="n"/>
      <c r="W414" s="25">
        <f>IF(AND($A414="",$B414=""),"",IF(M414="Ambassador","1 - Ambassador",IF(M414="Member","2 - Member",IF(J414="Completed","3 - Presented",IF(H414&lt;&gt;"","4 - Sent",IF(F414&lt;&gt;"","5 - Contacted","6 - No Activity"))))))</f>
        <v/>
      </c>
      <c r="X414" s="25">
        <f>IF(AND($A414="",$B414=""),9999999+(ROW()-4),VALUE(LEFT($W414,1))*10000+(ROW()-4))</f>
        <v/>
      </c>
    </row>
    <row r="415" ht="15" customHeight="1" s="20">
      <c r="A415" s="25" t="n"/>
      <c r="B415" s="25" t="n"/>
      <c r="C415" s="25" t="n"/>
      <c r="D415" s="25" t="n"/>
      <c r="E415" s="25" t="n"/>
      <c r="F415" s="26" t="n"/>
      <c r="G415" s="25" t="n"/>
      <c r="H415" s="25" t="n"/>
      <c r="I415" s="26" t="n"/>
      <c r="J415" s="25" t="n"/>
      <c r="K415" s="26" t="n"/>
      <c r="L415" s="25" t="n"/>
      <c r="M415" s="25" t="n"/>
      <c r="N415" s="26" t="n"/>
      <c r="O415" s="25" t="n"/>
      <c r="P415" s="25" t="n"/>
      <c r="Q415" s="26" t="n"/>
      <c r="R415" s="25">
        <f>IF(AND($A415="",$B415=""),"",IF(Q415="Complete","Onboarded",IF(OR(M415="Member",M415="Ambassador"),"Sponsored",IF(K415&lt;&gt;"","Follow-Up",IF(I415&lt;&gt;"","Presented",IF(F415&lt;&gt;"","Contacted","New Lead"))))))</f>
        <v/>
      </c>
      <c r="S415" s="25" t="n"/>
      <c r="T415" s="25">
        <f>IF(MAX(F415,I415,K415)=0,"",TODAY()-MAX(F415,I415,K415))</f>
        <v/>
      </c>
      <c r="U415" s="25" t="n"/>
      <c r="V415" s="25" t="n"/>
      <c r="W415" s="25">
        <f>IF(AND($A415="",$B415=""),"",IF(M415="Ambassador","1 - Ambassador",IF(M415="Member","2 - Member",IF(J415="Completed","3 - Presented",IF(H415&lt;&gt;"","4 - Sent",IF(F415&lt;&gt;"","5 - Contacted","6 - No Activity"))))))</f>
        <v/>
      </c>
      <c r="X415" s="25">
        <f>IF(AND($A415="",$B415=""),9999999+(ROW()-4),VALUE(LEFT($W415,1))*10000+(ROW()-4))</f>
        <v/>
      </c>
    </row>
    <row r="416" ht="15" customHeight="1" s="20">
      <c r="A416" s="25" t="n"/>
      <c r="B416" s="25" t="n"/>
      <c r="C416" s="25" t="n"/>
      <c r="D416" s="25" t="n"/>
      <c r="E416" s="25" t="n"/>
      <c r="F416" s="26" t="n"/>
      <c r="G416" s="25" t="n"/>
      <c r="H416" s="25" t="n"/>
      <c r="I416" s="26" t="n"/>
      <c r="J416" s="25" t="n"/>
      <c r="K416" s="26" t="n"/>
      <c r="L416" s="25" t="n"/>
      <c r="M416" s="25" t="n"/>
      <c r="N416" s="26" t="n"/>
      <c r="O416" s="25" t="n"/>
      <c r="P416" s="25" t="n"/>
      <c r="Q416" s="26" t="n"/>
      <c r="R416" s="25">
        <f>IF(AND($A416="",$B416=""),"",IF(Q416="Complete","Onboarded",IF(OR(M416="Member",M416="Ambassador"),"Sponsored",IF(K416&lt;&gt;"","Follow-Up",IF(I416&lt;&gt;"","Presented",IF(F416&lt;&gt;"","Contacted","New Lead"))))))</f>
        <v/>
      </c>
      <c r="S416" s="25" t="n"/>
      <c r="T416" s="25">
        <f>IF(MAX(F416,I416,K416)=0,"",TODAY()-MAX(F416,I416,K416))</f>
        <v/>
      </c>
      <c r="U416" s="25" t="n"/>
      <c r="V416" s="25" t="n"/>
      <c r="W416" s="25">
        <f>IF(AND($A416="",$B416=""),"",IF(M416="Ambassador","1 - Ambassador",IF(M416="Member","2 - Member",IF(J416="Completed","3 - Presented",IF(H416&lt;&gt;"","4 - Sent",IF(F416&lt;&gt;"","5 - Contacted","6 - No Activity"))))))</f>
        <v/>
      </c>
      <c r="X416" s="25">
        <f>IF(AND($A416="",$B416=""),9999999+(ROW()-4),VALUE(LEFT($W416,1))*10000+(ROW()-4))</f>
        <v/>
      </c>
    </row>
    <row r="417" ht="15" customHeight="1" s="20">
      <c r="A417" s="25" t="n"/>
      <c r="B417" s="25" t="n"/>
      <c r="C417" s="25" t="n"/>
      <c r="D417" s="25" t="n"/>
      <c r="E417" s="25" t="n"/>
      <c r="F417" s="26" t="n"/>
      <c r="G417" s="25" t="n"/>
      <c r="H417" s="25" t="n"/>
      <c r="I417" s="26" t="n"/>
      <c r="J417" s="25" t="n"/>
      <c r="K417" s="26" t="n"/>
      <c r="L417" s="25" t="n"/>
      <c r="M417" s="25" t="n"/>
      <c r="N417" s="26" t="n"/>
      <c r="O417" s="25" t="n"/>
      <c r="P417" s="25" t="n"/>
      <c r="Q417" s="26" t="n"/>
      <c r="R417" s="25">
        <f>IF(AND($A417="",$B417=""),"",IF(Q417="Complete","Onboarded",IF(OR(M417="Member",M417="Ambassador"),"Sponsored",IF(K417&lt;&gt;"","Follow-Up",IF(I417&lt;&gt;"","Presented",IF(F417&lt;&gt;"","Contacted","New Lead"))))))</f>
        <v/>
      </c>
      <c r="S417" s="25" t="n"/>
      <c r="T417" s="25">
        <f>IF(MAX(F417,I417,K417)=0,"",TODAY()-MAX(F417,I417,K417))</f>
        <v/>
      </c>
      <c r="U417" s="25" t="n"/>
      <c r="V417" s="25" t="n"/>
      <c r="W417" s="25">
        <f>IF(AND($A417="",$B417=""),"",IF(M417="Ambassador","1 - Ambassador",IF(M417="Member","2 - Member",IF(J417="Completed","3 - Presented",IF(H417&lt;&gt;"","4 - Sent",IF(F417&lt;&gt;"","5 - Contacted","6 - No Activity"))))))</f>
        <v/>
      </c>
      <c r="X417" s="25">
        <f>IF(AND($A417="",$B417=""),9999999+(ROW()-4),VALUE(LEFT($W417,1))*10000+(ROW()-4))</f>
        <v/>
      </c>
    </row>
    <row r="418" ht="15" customHeight="1" s="20">
      <c r="A418" s="25" t="n"/>
      <c r="B418" s="25" t="n"/>
      <c r="C418" s="25" t="n"/>
      <c r="D418" s="25" t="n"/>
      <c r="E418" s="25" t="n"/>
      <c r="F418" s="26" t="n"/>
      <c r="G418" s="25" t="n"/>
      <c r="H418" s="25" t="n"/>
      <c r="I418" s="26" t="n"/>
      <c r="J418" s="25" t="n"/>
      <c r="K418" s="26" t="n"/>
      <c r="L418" s="25" t="n"/>
      <c r="M418" s="25" t="n"/>
      <c r="N418" s="26" t="n"/>
      <c r="O418" s="25" t="n"/>
      <c r="P418" s="25" t="n"/>
      <c r="Q418" s="26" t="n"/>
      <c r="R418" s="25">
        <f>IF(AND($A418="",$B418=""),"",IF(Q418="Complete","Onboarded",IF(OR(M418="Member",M418="Ambassador"),"Sponsored",IF(K418&lt;&gt;"","Follow-Up",IF(I418&lt;&gt;"","Presented",IF(F418&lt;&gt;"","Contacted","New Lead"))))))</f>
        <v/>
      </c>
      <c r="S418" s="25" t="n"/>
      <c r="T418" s="25">
        <f>IF(MAX(F418,I418,K418)=0,"",TODAY()-MAX(F418,I418,K418))</f>
        <v/>
      </c>
      <c r="U418" s="25" t="n"/>
      <c r="V418" s="25" t="n"/>
      <c r="W418" s="25">
        <f>IF(AND($A418="",$B418=""),"",IF(M418="Ambassador","1 - Ambassador",IF(M418="Member","2 - Member",IF(J418="Completed","3 - Presented",IF(H418&lt;&gt;"","4 - Sent",IF(F418&lt;&gt;"","5 - Contacted","6 - No Activity"))))))</f>
        <v/>
      </c>
      <c r="X418" s="25">
        <f>IF(AND($A418="",$B418=""),9999999+(ROW()-4),VALUE(LEFT($W418,1))*10000+(ROW()-4))</f>
        <v/>
      </c>
    </row>
    <row r="419" ht="15" customHeight="1" s="20">
      <c r="A419" s="25" t="n"/>
      <c r="B419" s="25" t="n"/>
      <c r="C419" s="25" t="n"/>
      <c r="D419" s="25" t="n"/>
      <c r="E419" s="25" t="n"/>
      <c r="F419" s="26" t="n"/>
      <c r="G419" s="25" t="n"/>
      <c r="H419" s="25" t="n"/>
      <c r="I419" s="26" t="n"/>
      <c r="J419" s="25" t="n"/>
      <c r="K419" s="26" t="n"/>
      <c r="L419" s="25" t="n"/>
      <c r="M419" s="25" t="n"/>
      <c r="N419" s="26" t="n"/>
      <c r="O419" s="25" t="n"/>
      <c r="P419" s="25" t="n"/>
      <c r="Q419" s="26" t="n"/>
      <c r="R419" s="25">
        <f>IF(AND($A419="",$B419=""),"",IF(Q419="Complete","Onboarded",IF(OR(M419="Member",M419="Ambassador"),"Sponsored",IF(K419&lt;&gt;"","Follow-Up",IF(I419&lt;&gt;"","Presented",IF(F419&lt;&gt;"","Contacted","New Lead"))))))</f>
        <v/>
      </c>
      <c r="S419" s="25" t="n"/>
      <c r="T419" s="25">
        <f>IF(MAX(F419,I419,K419)=0,"",TODAY()-MAX(F419,I419,K419))</f>
        <v/>
      </c>
      <c r="U419" s="25" t="n"/>
      <c r="V419" s="25" t="n"/>
      <c r="W419" s="25">
        <f>IF(AND($A419="",$B419=""),"",IF(M419="Ambassador","1 - Ambassador",IF(M419="Member","2 - Member",IF(J419="Completed","3 - Presented",IF(H419&lt;&gt;"","4 - Sent",IF(F419&lt;&gt;"","5 - Contacted","6 - No Activity"))))))</f>
        <v/>
      </c>
      <c r="X419" s="25">
        <f>IF(AND($A419="",$B419=""),9999999+(ROW()-4),VALUE(LEFT($W419,1))*10000+(ROW()-4))</f>
        <v/>
      </c>
    </row>
    <row r="420" ht="15" customHeight="1" s="20">
      <c r="A420" s="25" t="n"/>
      <c r="B420" s="25" t="n"/>
      <c r="C420" s="25" t="n"/>
      <c r="D420" s="25" t="n"/>
      <c r="E420" s="25" t="n"/>
      <c r="F420" s="26" t="n"/>
      <c r="G420" s="25" t="n"/>
      <c r="H420" s="25" t="n"/>
      <c r="I420" s="26" t="n"/>
      <c r="J420" s="25" t="n"/>
      <c r="K420" s="26" t="n"/>
      <c r="L420" s="25" t="n"/>
      <c r="M420" s="25" t="n"/>
      <c r="N420" s="26" t="n"/>
      <c r="O420" s="25" t="n"/>
      <c r="P420" s="25" t="n"/>
      <c r="Q420" s="26" t="n"/>
      <c r="R420" s="25">
        <f>IF(AND($A420="",$B420=""),"",IF(Q420="Complete","Onboarded",IF(OR(M420="Member",M420="Ambassador"),"Sponsored",IF(K420&lt;&gt;"","Follow-Up",IF(I420&lt;&gt;"","Presented",IF(F420&lt;&gt;"","Contacted","New Lead"))))))</f>
        <v/>
      </c>
      <c r="S420" s="25" t="n"/>
      <c r="T420" s="25">
        <f>IF(MAX(F420,I420,K420)=0,"",TODAY()-MAX(F420,I420,K420))</f>
        <v/>
      </c>
      <c r="U420" s="25" t="n"/>
      <c r="V420" s="25" t="n"/>
      <c r="W420" s="25">
        <f>IF(AND($A420="",$B420=""),"",IF(M420="Ambassador","1 - Ambassador",IF(M420="Member","2 - Member",IF(J420="Completed","3 - Presented",IF(H420&lt;&gt;"","4 - Sent",IF(F420&lt;&gt;"","5 - Contacted","6 - No Activity"))))))</f>
        <v/>
      </c>
      <c r="X420" s="25">
        <f>IF(AND($A420="",$B420=""),9999999+(ROW()-4),VALUE(LEFT($W420,1))*10000+(ROW()-4))</f>
        <v/>
      </c>
    </row>
    <row r="421" ht="15" customHeight="1" s="20">
      <c r="A421" s="25" t="n"/>
      <c r="B421" s="25" t="n"/>
      <c r="C421" s="25" t="n"/>
      <c r="D421" s="25" t="n"/>
      <c r="E421" s="25" t="n"/>
      <c r="F421" s="26" t="n"/>
      <c r="G421" s="25" t="n"/>
      <c r="H421" s="25" t="n"/>
      <c r="I421" s="26" t="n"/>
      <c r="J421" s="25" t="n"/>
      <c r="K421" s="26" t="n"/>
      <c r="L421" s="25" t="n"/>
      <c r="M421" s="25" t="n"/>
      <c r="N421" s="26" t="n"/>
      <c r="O421" s="25" t="n"/>
      <c r="P421" s="25" t="n"/>
      <c r="Q421" s="26" t="n"/>
      <c r="R421" s="25">
        <f>IF(AND($A421="",$B421=""),"",IF(Q421="Complete","Onboarded",IF(OR(M421="Member",M421="Ambassador"),"Sponsored",IF(K421&lt;&gt;"","Follow-Up",IF(I421&lt;&gt;"","Presented",IF(F421&lt;&gt;"","Contacted","New Lead"))))))</f>
        <v/>
      </c>
      <c r="S421" s="25" t="n"/>
      <c r="T421" s="25">
        <f>IF(MAX(F421,I421,K421)=0,"",TODAY()-MAX(F421,I421,K421))</f>
        <v/>
      </c>
      <c r="U421" s="25" t="n"/>
      <c r="V421" s="25" t="n"/>
      <c r="W421" s="25">
        <f>IF(AND($A421="",$B421=""),"",IF(M421="Ambassador","1 - Ambassador",IF(M421="Member","2 - Member",IF(J421="Completed","3 - Presented",IF(H421&lt;&gt;"","4 - Sent",IF(F421&lt;&gt;"","5 - Contacted","6 - No Activity"))))))</f>
        <v/>
      </c>
      <c r="X421" s="25">
        <f>IF(AND($A421="",$B421=""),9999999+(ROW()-4),VALUE(LEFT($W421,1))*10000+(ROW()-4))</f>
        <v/>
      </c>
    </row>
    <row r="422" ht="15" customHeight="1" s="20">
      <c r="A422" s="25" t="n"/>
      <c r="B422" s="25" t="n"/>
      <c r="C422" s="25" t="n"/>
      <c r="D422" s="25" t="n"/>
      <c r="E422" s="25" t="n"/>
      <c r="F422" s="26" t="n"/>
      <c r="G422" s="25" t="n"/>
      <c r="H422" s="25" t="n"/>
      <c r="I422" s="26" t="n"/>
      <c r="J422" s="25" t="n"/>
      <c r="K422" s="26" t="n"/>
      <c r="L422" s="25" t="n"/>
      <c r="M422" s="25" t="n"/>
      <c r="N422" s="26" t="n"/>
      <c r="O422" s="25" t="n"/>
      <c r="P422" s="25" t="n"/>
      <c r="Q422" s="26" t="n"/>
      <c r="R422" s="25">
        <f>IF(AND($A422="",$B422=""),"",IF(Q422="Complete","Onboarded",IF(OR(M422="Member",M422="Ambassador"),"Sponsored",IF(K422&lt;&gt;"","Follow-Up",IF(I422&lt;&gt;"","Presented",IF(F422&lt;&gt;"","Contacted","New Lead"))))))</f>
        <v/>
      </c>
      <c r="S422" s="25" t="n"/>
      <c r="T422" s="25">
        <f>IF(MAX(F422,I422,K422)=0,"",TODAY()-MAX(F422,I422,K422))</f>
        <v/>
      </c>
      <c r="U422" s="25" t="n"/>
      <c r="V422" s="25" t="n"/>
      <c r="W422" s="25">
        <f>IF(AND($A422="",$B422=""),"",IF(M422="Ambassador","1 - Ambassador",IF(M422="Member","2 - Member",IF(J422="Completed","3 - Presented",IF(H422&lt;&gt;"","4 - Sent",IF(F422&lt;&gt;"","5 - Contacted","6 - No Activity"))))))</f>
        <v/>
      </c>
      <c r="X422" s="25">
        <f>IF(AND($A422="",$B422=""),9999999+(ROW()-4),VALUE(LEFT($W422,1))*10000+(ROW()-4))</f>
        <v/>
      </c>
    </row>
    <row r="423" ht="15" customHeight="1" s="20">
      <c r="A423" s="25" t="n"/>
      <c r="B423" s="25" t="n"/>
      <c r="C423" s="25" t="n"/>
      <c r="D423" s="25" t="n"/>
      <c r="E423" s="25" t="n"/>
      <c r="F423" s="26" t="n"/>
      <c r="G423" s="25" t="n"/>
      <c r="H423" s="25" t="n"/>
      <c r="I423" s="26" t="n"/>
      <c r="J423" s="25" t="n"/>
      <c r="K423" s="26" t="n"/>
      <c r="L423" s="25" t="n"/>
      <c r="M423" s="25" t="n"/>
      <c r="N423" s="26" t="n"/>
      <c r="O423" s="25" t="n"/>
      <c r="P423" s="25" t="n"/>
      <c r="Q423" s="26" t="n"/>
      <c r="R423" s="25">
        <f>IF(AND($A423="",$B423=""),"",IF(Q423="Complete","Onboarded",IF(OR(M423="Member",M423="Ambassador"),"Sponsored",IF(K423&lt;&gt;"","Follow-Up",IF(I423&lt;&gt;"","Presented",IF(F423&lt;&gt;"","Contacted","New Lead"))))))</f>
        <v/>
      </c>
      <c r="S423" s="25" t="n"/>
      <c r="T423" s="25">
        <f>IF(MAX(F423,I423,K423)=0,"",TODAY()-MAX(F423,I423,K423))</f>
        <v/>
      </c>
      <c r="U423" s="25" t="n"/>
      <c r="V423" s="25" t="n"/>
      <c r="W423" s="25">
        <f>IF(AND($A423="",$B423=""),"",IF(M423="Ambassador","1 - Ambassador",IF(M423="Member","2 - Member",IF(J423="Completed","3 - Presented",IF(H423&lt;&gt;"","4 - Sent",IF(F423&lt;&gt;"","5 - Contacted","6 - No Activity"))))))</f>
        <v/>
      </c>
      <c r="X423" s="25">
        <f>IF(AND($A423="",$B423=""),9999999+(ROW()-4),VALUE(LEFT($W423,1))*10000+(ROW()-4))</f>
        <v/>
      </c>
    </row>
    <row r="424" ht="15" customHeight="1" s="20">
      <c r="A424" s="25" t="n"/>
      <c r="B424" s="25" t="n"/>
      <c r="C424" s="25" t="n"/>
      <c r="D424" s="25" t="n"/>
      <c r="E424" s="25" t="n"/>
      <c r="F424" s="26" t="n"/>
      <c r="G424" s="25" t="n"/>
      <c r="H424" s="25" t="n"/>
      <c r="I424" s="26" t="n"/>
      <c r="J424" s="25" t="n"/>
      <c r="K424" s="26" t="n"/>
      <c r="L424" s="25" t="n"/>
      <c r="M424" s="25" t="n"/>
      <c r="N424" s="26" t="n"/>
      <c r="O424" s="25" t="n"/>
      <c r="P424" s="25" t="n"/>
      <c r="Q424" s="26" t="n"/>
      <c r="R424" s="25">
        <f>IF(AND($A424="",$B424=""),"",IF(Q424="Complete","Onboarded",IF(OR(M424="Member",M424="Ambassador"),"Sponsored",IF(K424&lt;&gt;"","Follow-Up",IF(I424&lt;&gt;"","Presented",IF(F424&lt;&gt;"","Contacted","New Lead"))))))</f>
        <v/>
      </c>
      <c r="S424" s="25" t="n"/>
      <c r="T424" s="25">
        <f>IF(MAX(F424,I424,K424)=0,"",TODAY()-MAX(F424,I424,K424))</f>
        <v/>
      </c>
      <c r="U424" s="25" t="n"/>
      <c r="V424" s="25" t="n"/>
      <c r="W424" s="25">
        <f>IF(AND($A424="",$B424=""),"",IF(M424="Ambassador","1 - Ambassador",IF(M424="Member","2 - Member",IF(J424="Completed","3 - Presented",IF(H424&lt;&gt;"","4 - Sent",IF(F424&lt;&gt;"","5 - Contacted","6 - No Activity"))))))</f>
        <v/>
      </c>
      <c r="X424" s="25">
        <f>IF(AND($A424="",$B424=""),9999999+(ROW()-4),VALUE(LEFT($W424,1))*10000+(ROW()-4))</f>
        <v/>
      </c>
    </row>
    <row r="425" ht="15" customHeight="1" s="20">
      <c r="A425" s="25" t="n"/>
      <c r="B425" s="25" t="n"/>
      <c r="C425" s="25" t="n"/>
      <c r="D425" s="25" t="n"/>
      <c r="E425" s="25" t="n"/>
      <c r="F425" s="26" t="n"/>
      <c r="G425" s="25" t="n"/>
      <c r="H425" s="25" t="n"/>
      <c r="I425" s="26" t="n"/>
      <c r="J425" s="25" t="n"/>
      <c r="K425" s="26" t="n"/>
      <c r="L425" s="25" t="n"/>
      <c r="M425" s="25" t="n"/>
      <c r="N425" s="26" t="n"/>
      <c r="O425" s="25" t="n"/>
      <c r="P425" s="25" t="n"/>
      <c r="Q425" s="26" t="n"/>
      <c r="R425" s="25">
        <f>IF(AND($A425="",$B425=""),"",IF(Q425="Complete","Onboarded",IF(OR(M425="Member",M425="Ambassador"),"Sponsored",IF(K425&lt;&gt;"","Follow-Up",IF(I425&lt;&gt;"","Presented",IF(F425&lt;&gt;"","Contacted","New Lead"))))))</f>
        <v/>
      </c>
      <c r="S425" s="25" t="n"/>
      <c r="T425" s="25">
        <f>IF(MAX(F425,I425,K425)=0,"",TODAY()-MAX(F425,I425,K425))</f>
        <v/>
      </c>
      <c r="U425" s="25" t="n"/>
      <c r="V425" s="25" t="n"/>
      <c r="W425" s="25">
        <f>IF(AND($A425="",$B425=""),"",IF(M425="Ambassador","1 - Ambassador",IF(M425="Member","2 - Member",IF(J425="Completed","3 - Presented",IF(H425&lt;&gt;"","4 - Sent",IF(F425&lt;&gt;"","5 - Contacted","6 - No Activity"))))))</f>
        <v/>
      </c>
      <c r="X425" s="25">
        <f>IF(AND($A425="",$B425=""),9999999+(ROW()-4),VALUE(LEFT($W425,1))*10000+(ROW()-4))</f>
        <v/>
      </c>
    </row>
    <row r="426" ht="15" customHeight="1" s="20">
      <c r="A426" s="25" t="n"/>
      <c r="B426" s="25" t="n"/>
      <c r="C426" s="25" t="n"/>
      <c r="D426" s="25" t="n"/>
      <c r="E426" s="25" t="n"/>
      <c r="F426" s="26" t="n"/>
      <c r="G426" s="25" t="n"/>
      <c r="H426" s="25" t="n"/>
      <c r="I426" s="26" t="n"/>
      <c r="J426" s="25" t="n"/>
      <c r="K426" s="26" t="n"/>
      <c r="L426" s="25" t="n"/>
      <c r="M426" s="25" t="n"/>
      <c r="N426" s="26" t="n"/>
      <c r="O426" s="25" t="n"/>
      <c r="P426" s="25" t="n"/>
      <c r="Q426" s="26" t="n"/>
      <c r="R426" s="25">
        <f>IF(AND($A426="",$B426=""),"",IF(Q426="Complete","Onboarded",IF(OR(M426="Member",M426="Ambassador"),"Sponsored",IF(K426&lt;&gt;"","Follow-Up",IF(I426&lt;&gt;"","Presented",IF(F426&lt;&gt;"","Contacted","New Lead"))))))</f>
        <v/>
      </c>
      <c r="S426" s="25" t="n"/>
      <c r="T426" s="25">
        <f>IF(MAX(F426,I426,K426)=0,"",TODAY()-MAX(F426,I426,K426))</f>
        <v/>
      </c>
      <c r="U426" s="25" t="n"/>
      <c r="V426" s="25" t="n"/>
      <c r="W426" s="25">
        <f>IF(AND($A426="",$B426=""),"",IF(M426="Ambassador","1 - Ambassador",IF(M426="Member","2 - Member",IF(J426="Completed","3 - Presented",IF(H426&lt;&gt;"","4 - Sent",IF(F426&lt;&gt;"","5 - Contacted","6 - No Activity"))))))</f>
        <v/>
      </c>
      <c r="X426" s="25">
        <f>IF(AND($A426="",$B426=""),9999999+(ROW()-4),VALUE(LEFT($W426,1))*10000+(ROW()-4))</f>
        <v/>
      </c>
    </row>
    <row r="427" ht="15" customHeight="1" s="20">
      <c r="A427" s="25" t="n"/>
      <c r="B427" s="25" t="n"/>
      <c r="C427" s="25" t="n"/>
      <c r="D427" s="25" t="n"/>
      <c r="E427" s="25" t="n"/>
      <c r="F427" s="26" t="n"/>
      <c r="G427" s="25" t="n"/>
      <c r="H427" s="25" t="n"/>
      <c r="I427" s="26" t="n"/>
      <c r="J427" s="25" t="n"/>
      <c r="K427" s="26" t="n"/>
      <c r="L427" s="25" t="n"/>
      <c r="M427" s="25" t="n"/>
      <c r="N427" s="26" t="n"/>
      <c r="O427" s="25" t="n"/>
      <c r="P427" s="25" t="n"/>
      <c r="Q427" s="26" t="n"/>
      <c r="R427" s="25">
        <f>IF(AND($A427="",$B427=""),"",IF(Q427="Complete","Onboarded",IF(OR(M427="Member",M427="Ambassador"),"Sponsored",IF(K427&lt;&gt;"","Follow-Up",IF(I427&lt;&gt;"","Presented",IF(F427&lt;&gt;"","Contacted","New Lead"))))))</f>
        <v/>
      </c>
      <c r="S427" s="25" t="n"/>
      <c r="T427" s="25">
        <f>IF(MAX(F427,I427,K427)=0,"",TODAY()-MAX(F427,I427,K427))</f>
        <v/>
      </c>
      <c r="U427" s="25" t="n"/>
      <c r="V427" s="25" t="n"/>
      <c r="W427" s="25">
        <f>IF(AND($A427="",$B427=""),"",IF(M427="Ambassador","1 - Ambassador",IF(M427="Member","2 - Member",IF(J427="Completed","3 - Presented",IF(H427&lt;&gt;"","4 - Sent",IF(F427&lt;&gt;"","5 - Contacted","6 - No Activity"))))))</f>
        <v/>
      </c>
      <c r="X427" s="25">
        <f>IF(AND($A427="",$B427=""),9999999+(ROW()-4),VALUE(LEFT($W427,1))*10000+(ROW()-4))</f>
        <v/>
      </c>
    </row>
    <row r="428" ht="15" customHeight="1" s="20">
      <c r="A428" s="25" t="n"/>
      <c r="B428" s="25" t="n"/>
      <c r="C428" s="25" t="n"/>
      <c r="D428" s="25" t="n"/>
      <c r="E428" s="25" t="n"/>
      <c r="F428" s="26" t="n"/>
      <c r="G428" s="25" t="n"/>
      <c r="H428" s="25" t="n"/>
      <c r="I428" s="26" t="n"/>
      <c r="J428" s="25" t="n"/>
      <c r="K428" s="26" t="n"/>
      <c r="L428" s="25" t="n"/>
      <c r="M428" s="25" t="n"/>
      <c r="N428" s="26" t="n"/>
      <c r="O428" s="25" t="n"/>
      <c r="P428" s="25" t="n"/>
      <c r="Q428" s="26" t="n"/>
      <c r="R428" s="25">
        <f>IF(AND($A428="",$B428=""),"",IF(Q428="Complete","Onboarded",IF(OR(M428="Member",M428="Ambassador"),"Sponsored",IF(K428&lt;&gt;"","Follow-Up",IF(I428&lt;&gt;"","Presented",IF(F428&lt;&gt;"","Contacted","New Lead"))))))</f>
        <v/>
      </c>
      <c r="S428" s="25" t="n"/>
      <c r="T428" s="25">
        <f>IF(MAX(F428,I428,K428)=0,"",TODAY()-MAX(F428,I428,K428))</f>
        <v/>
      </c>
      <c r="U428" s="25" t="n"/>
      <c r="V428" s="25" t="n"/>
      <c r="W428" s="25">
        <f>IF(AND($A428="",$B428=""),"",IF(M428="Ambassador","1 - Ambassador",IF(M428="Member","2 - Member",IF(J428="Completed","3 - Presented",IF(H428&lt;&gt;"","4 - Sent",IF(F428&lt;&gt;"","5 - Contacted","6 - No Activity"))))))</f>
        <v/>
      </c>
      <c r="X428" s="25">
        <f>IF(AND($A428="",$B428=""),9999999+(ROW()-4),VALUE(LEFT($W428,1))*10000+(ROW()-4))</f>
        <v/>
      </c>
    </row>
    <row r="429" ht="15" customHeight="1" s="20">
      <c r="A429" s="25" t="n"/>
      <c r="B429" s="25" t="n"/>
      <c r="C429" s="25" t="n"/>
      <c r="D429" s="25" t="n"/>
      <c r="E429" s="25" t="n"/>
      <c r="F429" s="26" t="n"/>
      <c r="G429" s="25" t="n"/>
      <c r="H429" s="25" t="n"/>
      <c r="I429" s="26" t="n"/>
      <c r="J429" s="25" t="n"/>
      <c r="K429" s="26" t="n"/>
      <c r="L429" s="25" t="n"/>
      <c r="M429" s="25" t="n"/>
      <c r="N429" s="26" t="n"/>
      <c r="O429" s="25" t="n"/>
      <c r="P429" s="25" t="n"/>
      <c r="Q429" s="26" t="n"/>
      <c r="R429" s="25">
        <f>IF(AND($A429="",$B429=""),"",IF(Q429="Complete","Onboarded",IF(OR(M429="Member",M429="Ambassador"),"Sponsored",IF(K429&lt;&gt;"","Follow-Up",IF(I429&lt;&gt;"","Presented",IF(F429&lt;&gt;"","Contacted","New Lead"))))))</f>
        <v/>
      </c>
      <c r="S429" s="25" t="n"/>
      <c r="T429" s="25">
        <f>IF(MAX(F429,I429,K429)=0,"",TODAY()-MAX(F429,I429,K429))</f>
        <v/>
      </c>
      <c r="U429" s="25" t="n"/>
      <c r="V429" s="25" t="n"/>
      <c r="W429" s="25">
        <f>IF(AND($A429="",$B429=""),"",IF(M429="Ambassador","1 - Ambassador",IF(M429="Member","2 - Member",IF(J429="Completed","3 - Presented",IF(H429&lt;&gt;"","4 - Sent",IF(F429&lt;&gt;"","5 - Contacted","6 - No Activity"))))))</f>
        <v/>
      </c>
      <c r="X429" s="25">
        <f>IF(AND($A429="",$B429=""),9999999+(ROW()-4),VALUE(LEFT($W429,1))*10000+(ROW()-4))</f>
        <v/>
      </c>
    </row>
    <row r="430" ht="15" customHeight="1" s="20">
      <c r="A430" s="25" t="n"/>
      <c r="B430" s="25" t="n"/>
      <c r="C430" s="25" t="n"/>
      <c r="D430" s="25" t="n"/>
      <c r="E430" s="25" t="n"/>
      <c r="F430" s="26" t="n"/>
      <c r="G430" s="25" t="n"/>
      <c r="H430" s="25" t="n"/>
      <c r="I430" s="26" t="n"/>
      <c r="J430" s="25" t="n"/>
      <c r="K430" s="26" t="n"/>
      <c r="L430" s="25" t="n"/>
      <c r="M430" s="25" t="n"/>
      <c r="N430" s="26" t="n"/>
      <c r="O430" s="25" t="n"/>
      <c r="P430" s="25" t="n"/>
      <c r="Q430" s="26" t="n"/>
      <c r="R430" s="25">
        <f>IF(AND($A430="",$B430=""),"",IF(Q430="Complete","Onboarded",IF(OR(M430="Member",M430="Ambassador"),"Sponsored",IF(K430&lt;&gt;"","Follow-Up",IF(I430&lt;&gt;"","Presented",IF(F430&lt;&gt;"","Contacted","New Lead"))))))</f>
        <v/>
      </c>
      <c r="S430" s="25" t="n"/>
      <c r="T430" s="25">
        <f>IF(MAX(F430,I430,K430)=0,"",TODAY()-MAX(F430,I430,K430))</f>
        <v/>
      </c>
      <c r="U430" s="25" t="n"/>
      <c r="V430" s="25" t="n"/>
      <c r="W430" s="25">
        <f>IF(AND($A430="",$B430=""),"",IF(M430="Ambassador","1 - Ambassador",IF(M430="Member","2 - Member",IF(J430="Completed","3 - Presented",IF(H430&lt;&gt;"","4 - Sent",IF(F430&lt;&gt;"","5 - Contacted","6 - No Activity"))))))</f>
        <v/>
      </c>
      <c r="X430" s="25">
        <f>IF(AND($A430="",$B430=""),9999999+(ROW()-4),VALUE(LEFT($W430,1))*10000+(ROW()-4))</f>
        <v/>
      </c>
    </row>
    <row r="431" ht="15" customHeight="1" s="20">
      <c r="A431" s="25" t="n"/>
      <c r="B431" s="25" t="n"/>
      <c r="C431" s="25" t="n"/>
      <c r="D431" s="25" t="n"/>
      <c r="E431" s="25" t="n"/>
      <c r="F431" s="26" t="n"/>
      <c r="G431" s="25" t="n"/>
      <c r="H431" s="25" t="n"/>
      <c r="I431" s="26" t="n"/>
      <c r="J431" s="25" t="n"/>
      <c r="K431" s="26" t="n"/>
      <c r="L431" s="25" t="n"/>
      <c r="M431" s="25" t="n"/>
      <c r="N431" s="26" t="n"/>
      <c r="O431" s="25" t="n"/>
      <c r="P431" s="25" t="n"/>
      <c r="Q431" s="26" t="n"/>
      <c r="R431" s="25">
        <f>IF(AND($A431="",$B431=""),"",IF(Q431="Complete","Onboarded",IF(OR(M431="Member",M431="Ambassador"),"Sponsored",IF(K431&lt;&gt;"","Follow-Up",IF(I431&lt;&gt;"","Presented",IF(F431&lt;&gt;"","Contacted","New Lead"))))))</f>
        <v/>
      </c>
      <c r="S431" s="25" t="n"/>
      <c r="T431" s="25">
        <f>IF(MAX(F431,I431,K431)=0,"",TODAY()-MAX(F431,I431,K431))</f>
        <v/>
      </c>
      <c r="U431" s="25" t="n"/>
      <c r="V431" s="25" t="n"/>
      <c r="W431" s="25">
        <f>IF(AND($A431="",$B431=""),"",IF(M431="Ambassador","1 - Ambassador",IF(M431="Member","2 - Member",IF(J431="Completed","3 - Presented",IF(H431&lt;&gt;"","4 - Sent",IF(F431&lt;&gt;"","5 - Contacted","6 - No Activity"))))))</f>
        <v/>
      </c>
      <c r="X431" s="25">
        <f>IF(AND($A431="",$B431=""),9999999+(ROW()-4),VALUE(LEFT($W431,1))*10000+(ROW()-4))</f>
        <v/>
      </c>
    </row>
    <row r="432" ht="15" customHeight="1" s="20">
      <c r="A432" s="25" t="n"/>
      <c r="B432" s="25" t="n"/>
      <c r="C432" s="25" t="n"/>
      <c r="D432" s="25" t="n"/>
      <c r="E432" s="25" t="n"/>
      <c r="F432" s="26" t="n"/>
      <c r="G432" s="25" t="n"/>
      <c r="H432" s="25" t="n"/>
      <c r="I432" s="26" t="n"/>
      <c r="J432" s="25" t="n"/>
      <c r="K432" s="26" t="n"/>
      <c r="L432" s="25" t="n"/>
      <c r="M432" s="25" t="n"/>
      <c r="N432" s="26" t="n"/>
      <c r="O432" s="25" t="n"/>
      <c r="P432" s="25" t="n"/>
      <c r="Q432" s="26" t="n"/>
      <c r="R432" s="25">
        <f>IF(AND($A432="",$B432=""),"",IF(Q432="Complete","Onboarded",IF(OR(M432="Member",M432="Ambassador"),"Sponsored",IF(K432&lt;&gt;"","Follow-Up",IF(I432&lt;&gt;"","Presented",IF(F432&lt;&gt;"","Contacted","New Lead"))))))</f>
        <v/>
      </c>
      <c r="S432" s="25" t="n"/>
      <c r="T432" s="25">
        <f>IF(MAX(F432,I432,K432)=0,"",TODAY()-MAX(F432,I432,K432))</f>
        <v/>
      </c>
      <c r="U432" s="25" t="n"/>
      <c r="V432" s="25" t="n"/>
      <c r="W432" s="25">
        <f>IF(AND($A432="",$B432=""),"",IF(M432="Ambassador","1 - Ambassador",IF(M432="Member","2 - Member",IF(J432="Completed","3 - Presented",IF(H432&lt;&gt;"","4 - Sent",IF(F432&lt;&gt;"","5 - Contacted","6 - No Activity"))))))</f>
        <v/>
      </c>
      <c r="X432" s="25">
        <f>IF(AND($A432="",$B432=""),9999999+(ROW()-4),VALUE(LEFT($W432,1))*10000+(ROW()-4))</f>
        <v/>
      </c>
    </row>
    <row r="433" ht="15" customHeight="1" s="20">
      <c r="A433" s="25" t="n"/>
      <c r="B433" s="25" t="n"/>
      <c r="C433" s="25" t="n"/>
      <c r="D433" s="25" t="n"/>
      <c r="E433" s="25" t="n"/>
      <c r="F433" s="26" t="n"/>
      <c r="G433" s="25" t="n"/>
      <c r="H433" s="25" t="n"/>
      <c r="I433" s="26" t="n"/>
      <c r="J433" s="25" t="n"/>
      <c r="K433" s="26" t="n"/>
      <c r="L433" s="25" t="n"/>
      <c r="M433" s="25" t="n"/>
      <c r="N433" s="26" t="n"/>
      <c r="O433" s="25" t="n"/>
      <c r="P433" s="25" t="n"/>
      <c r="Q433" s="26" t="n"/>
      <c r="R433" s="25">
        <f>IF(AND($A433="",$B433=""),"",IF(Q433="Complete","Onboarded",IF(OR(M433="Member",M433="Ambassador"),"Sponsored",IF(K433&lt;&gt;"","Follow-Up",IF(I433&lt;&gt;"","Presented",IF(F433&lt;&gt;"","Contacted","New Lead"))))))</f>
        <v/>
      </c>
      <c r="S433" s="25" t="n"/>
      <c r="T433" s="25">
        <f>IF(MAX(F433,I433,K433)=0,"",TODAY()-MAX(F433,I433,K433))</f>
        <v/>
      </c>
      <c r="U433" s="25" t="n"/>
      <c r="V433" s="25" t="n"/>
      <c r="W433" s="25">
        <f>IF(AND($A433="",$B433=""),"",IF(M433="Ambassador","1 - Ambassador",IF(M433="Member","2 - Member",IF(J433="Completed","3 - Presented",IF(H433&lt;&gt;"","4 - Sent",IF(F433&lt;&gt;"","5 - Contacted","6 - No Activity"))))))</f>
        <v/>
      </c>
      <c r="X433" s="25">
        <f>IF(AND($A433="",$B433=""),9999999+(ROW()-4),VALUE(LEFT($W433,1))*10000+(ROW()-4))</f>
        <v/>
      </c>
    </row>
    <row r="434" ht="15" customHeight="1" s="20">
      <c r="A434" s="25" t="n"/>
      <c r="B434" s="25" t="n"/>
      <c r="C434" s="25" t="n"/>
      <c r="D434" s="25" t="n"/>
      <c r="E434" s="25" t="n"/>
      <c r="F434" s="26" t="n"/>
      <c r="G434" s="25" t="n"/>
      <c r="H434" s="25" t="n"/>
      <c r="I434" s="26" t="n"/>
      <c r="J434" s="25" t="n"/>
      <c r="K434" s="26" t="n"/>
      <c r="L434" s="25" t="n"/>
      <c r="M434" s="25" t="n"/>
      <c r="N434" s="26" t="n"/>
      <c r="O434" s="25" t="n"/>
      <c r="P434" s="25" t="n"/>
      <c r="Q434" s="26" t="n"/>
      <c r="R434" s="25">
        <f>IF(AND($A434="",$B434=""),"",IF(Q434="Complete","Onboarded",IF(OR(M434="Member",M434="Ambassador"),"Sponsored",IF(K434&lt;&gt;"","Follow-Up",IF(I434&lt;&gt;"","Presented",IF(F434&lt;&gt;"","Contacted","New Lead"))))))</f>
        <v/>
      </c>
      <c r="S434" s="25" t="n"/>
      <c r="T434" s="25">
        <f>IF(MAX(F434,I434,K434)=0,"",TODAY()-MAX(F434,I434,K434))</f>
        <v/>
      </c>
      <c r="U434" s="25" t="n"/>
      <c r="V434" s="25" t="n"/>
      <c r="W434" s="25">
        <f>IF(AND($A434="",$B434=""),"",IF(M434="Ambassador","1 - Ambassador",IF(M434="Member","2 - Member",IF(J434="Completed","3 - Presented",IF(H434&lt;&gt;"","4 - Sent",IF(F434&lt;&gt;"","5 - Contacted","6 - No Activity"))))))</f>
        <v/>
      </c>
      <c r="X434" s="25">
        <f>IF(AND($A434="",$B434=""),9999999+(ROW()-4),VALUE(LEFT($W434,1))*10000+(ROW()-4))</f>
        <v/>
      </c>
    </row>
    <row r="435" ht="15" customHeight="1" s="20">
      <c r="A435" s="25" t="n"/>
      <c r="B435" s="25" t="n"/>
      <c r="C435" s="25" t="n"/>
      <c r="D435" s="25" t="n"/>
      <c r="E435" s="25" t="n"/>
      <c r="F435" s="26" t="n"/>
      <c r="G435" s="25" t="n"/>
      <c r="H435" s="25" t="n"/>
      <c r="I435" s="26" t="n"/>
      <c r="J435" s="25" t="n"/>
      <c r="K435" s="26" t="n"/>
      <c r="L435" s="25" t="n"/>
      <c r="M435" s="25" t="n"/>
      <c r="N435" s="26" t="n"/>
      <c r="O435" s="25" t="n"/>
      <c r="P435" s="25" t="n"/>
      <c r="Q435" s="26" t="n"/>
      <c r="R435" s="25">
        <f>IF(AND($A435="",$B435=""),"",IF(Q435="Complete","Onboarded",IF(OR(M435="Member",M435="Ambassador"),"Sponsored",IF(K435&lt;&gt;"","Follow-Up",IF(I435&lt;&gt;"","Presented",IF(F435&lt;&gt;"","Contacted","New Lead"))))))</f>
        <v/>
      </c>
      <c r="S435" s="25" t="n"/>
      <c r="T435" s="25">
        <f>IF(MAX(F435,I435,K435)=0,"",TODAY()-MAX(F435,I435,K435))</f>
        <v/>
      </c>
      <c r="U435" s="25" t="n"/>
      <c r="V435" s="25" t="n"/>
      <c r="W435" s="25">
        <f>IF(AND($A435="",$B435=""),"",IF(M435="Ambassador","1 - Ambassador",IF(M435="Member","2 - Member",IF(J435="Completed","3 - Presented",IF(H435&lt;&gt;"","4 - Sent",IF(F435&lt;&gt;"","5 - Contacted","6 - No Activity"))))))</f>
        <v/>
      </c>
      <c r="X435" s="25">
        <f>IF(AND($A435="",$B435=""),9999999+(ROW()-4),VALUE(LEFT($W435,1))*10000+(ROW()-4))</f>
        <v/>
      </c>
    </row>
    <row r="436" ht="15" customHeight="1" s="20">
      <c r="A436" s="25" t="n"/>
      <c r="B436" s="25" t="n"/>
      <c r="C436" s="25" t="n"/>
      <c r="D436" s="25" t="n"/>
      <c r="E436" s="25" t="n"/>
      <c r="F436" s="26" t="n"/>
      <c r="G436" s="25" t="n"/>
      <c r="H436" s="25" t="n"/>
      <c r="I436" s="26" t="n"/>
      <c r="J436" s="25" t="n"/>
      <c r="K436" s="26" t="n"/>
      <c r="L436" s="25" t="n"/>
      <c r="M436" s="25" t="n"/>
      <c r="N436" s="26" t="n"/>
      <c r="O436" s="25" t="n"/>
      <c r="P436" s="25" t="n"/>
      <c r="Q436" s="26" t="n"/>
      <c r="R436" s="25">
        <f>IF(AND($A436="",$B436=""),"",IF(Q436="Complete","Onboarded",IF(OR(M436="Member",M436="Ambassador"),"Sponsored",IF(K436&lt;&gt;"","Follow-Up",IF(I436&lt;&gt;"","Presented",IF(F436&lt;&gt;"","Contacted","New Lead"))))))</f>
        <v/>
      </c>
      <c r="S436" s="25" t="n"/>
      <c r="T436" s="25">
        <f>IF(MAX(F436,I436,K436)=0,"",TODAY()-MAX(F436,I436,K436))</f>
        <v/>
      </c>
      <c r="U436" s="25" t="n"/>
      <c r="V436" s="25" t="n"/>
      <c r="W436" s="25">
        <f>IF(AND($A436="",$B436=""),"",IF(M436="Ambassador","1 - Ambassador",IF(M436="Member","2 - Member",IF(J436="Completed","3 - Presented",IF(H436&lt;&gt;"","4 - Sent",IF(F436&lt;&gt;"","5 - Contacted","6 - No Activity"))))))</f>
        <v/>
      </c>
      <c r="X436" s="25">
        <f>IF(AND($A436="",$B436=""),9999999+(ROW()-4),VALUE(LEFT($W436,1))*10000+(ROW()-4))</f>
        <v/>
      </c>
    </row>
    <row r="437" ht="15" customHeight="1" s="20">
      <c r="A437" s="25" t="n"/>
      <c r="B437" s="25" t="n"/>
      <c r="C437" s="25" t="n"/>
      <c r="D437" s="25" t="n"/>
      <c r="E437" s="25" t="n"/>
      <c r="F437" s="26" t="n"/>
      <c r="G437" s="25" t="n"/>
      <c r="H437" s="25" t="n"/>
      <c r="I437" s="26" t="n"/>
      <c r="J437" s="25" t="n"/>
      <c r="K437" s="26" t="n"/>
      <c r="L437" s="25" t="n"/>
      <c r="M437" s="25" t="n"/>
      <c r="N437" s="26" t="n"/>
      <c r="O437" s="25" t="n"/>
      <c r="P437" s="25" t="n"/>
      <c r="Q437" s="26" t="n"/>
      <c r="R437" s="25">
        <f>IF(AND($A437="",$B437=""),"",IF(Q437="Complete","Onboarded",IF(OR(M437="Member",M437="Ambassador"),"Sponsored",IF(K437&lt;&gt;"","Follow-Up",IF(I437&lt;&gt;"","Presented",IF(F437&lt;&gt;"","Contacted","New Lead"))))))</f>
        <v/>
      </c>
      <c r="S437" s="25" t="n"/>
      <c r="T437" s="25">
        <f>IF(MAX(F437,I437,K437)=0,"",TODAY()-MAX(F437,I437,K437))</f>
        <v/>
      </c>
      <c r="U437" s="25" t="n"/>
      <c r="V437" s="25" t="n"/>
      <c r="W437" s="25">
        <f>IF(AND($A437="",$B437=""),"",IF(M437="Ambassador","1 - Ambassador",IF(M437="Member","2 - Member",IF(J437="Completed","3 - Presented",IF(H437&lt;&gt;"","4 - Sent",IF(F437&lt;&gt;"","5 - Contacted","6 - No Activity"))))))</f>
        <v/>
      </c>
      <c r="X437" s="25">
        <f>IF(AND($A437="",$B437=""),9999999+(ROW()-4),VALUE(LEFT($W437,1))*10000+(ROW()-4))</f>
        <v/>
      </c>
    </row>
    <row r="438" ht="15" customHeight="1" s="20">
      <c r="A438" s="25" t="n"/>
      <c r="B438" s="25" t="n"/>
      <c r="C438" s="25" t="n"/>
      <c r="D438" s="25" t="n"/>
      <c r="E438" s="25" t="n"/>
      <c r="F438" s="26" t="n"/>
      <c r="G438" s="25" t="n"/>
      <c r="H438" s="25" t="n"/>
      <c r="I438" s="26" t="n"/>
      <c r="J438" s="25" t="n"/>
      <c r="K438" s="26" t="n"/>
      <c r="L438" s="25" t="n"/>
      <c r="M438" s="25" t="n"/>
      <c r="N438" s="26" t="n"/>
      <c r="O438" s="25" t="n"/>
      <c r="P438" s="25" t="n"/>
      <c r="Q438" s="26" t="n"/>
      <c r="R438" s="25">
        <f>IF(AND($A438="",$B438=""),"",IF(Q438="Complete","Onboarded",IF(OR(M438="Member",M438="Ambassador"),"Sponsored",IF(K438&lt;&gt;"","Follow-Up",IF(I438&lt;&gt;"","Presented",IF(F438&lt;&gt;"","Contacted","New Lead"))))))</f>
        <v/>
      </c>
      <c r="S438" s="25" t="n"/>
      <c r="T438" s="25">
        <f>IF(MAX(F438,I438,K438)=0,"",TODAY()-MAX(F438,I438,K438))</f>
        <v/>
      </c>
      <c r="U438" s="25" t="n"/>
      <c r="V438" s="25" t="n"/>
      <c r="W438" s="25">
        <f>IF(AND($A438="",$B438=""),"",IF(M438="Ambassador","1 - Ambassador",IF(M438="Member","2 - Member",IF(J438="Completed","3 - Presented",IF(H438&lt;&gt;"","4 - Sent",IF(F438&lt;&gt;"","5 - Contacted","6 - No Activity"))))))</f>
        <v/>
      </c>
      <c r="X438" s="25">
        <f>IF(AND($A438="",$B438=""),9999999+(ROW()-4),VALUE(LEFT($W438,1))*10000+(ROW()-4))</f>
        <v/>
      </c>
    </row>
    <row r="439" ht="15" customHeight="1" s="20">
      <c r="A439" s="25" t="n"/>
      <c r="B439" s="25" t="n"/>
      <c r="C439" s="25" t="n"/>
      <c r="D439" s="25" t="n"/>
      <c r="E439" s="25" t="n"/>
      <c r="F439" s="26" t="n"/>
      <c r="G439" s="25" t="n"/>
      <c r="H439" s="25" t="n"/>
      <c r="I439" s="26" t="n"/>
      <c r="J439" s="25" t="n"/>
      <c r="K439" s="26" t="n"/>
      <c r="L439" s="25" t="n"/>
      <c r="M439" s="25" t="n"/>
      <c r="N439" s="26" t="n"/>
      <c r="O439" s="25" t="n"/>
      <c r="P439" s="25" t="n"/>
      <c r="Q439" s="26" t="n"/>
      <c r="R439" s="25">
        <f>IF(AND($A439="",$B439=""),"",IF(Q439="Complete","Onboarded",IF(OR(M439="Member",M439="Ambassador"),"Sponsored",IF(K439&lt;&gt;"","Follow-Up",IF(I439&lt;&gt;"","Presented",IF(F439&lt;&gt;"","Contacted","New Lead"))))))</f>
        <v/>
      </c>
      <c r="S439" s="25" t="n"/>
      <c r="T439" s="25">
        <f>IF(MAX(F439,I439,K439)=0,"",TODAY()-MAX(F439,I439,K439))</f>
        <v/>
      </c>
      <c r="U439" s="25" t="n"/>
      <c r="V439" s="25" t="n"/>
      <c r="W439" s="25">
        <f>IF(AND($A439="",$B439=""),"",IF(M439="Ambassador","1 - Ambassador",IF(M439="Member","2 - Member",IF(J439="Completed","3 - Presented",IF(H439&lt;&gt;"","4 - Sent",IF(F439&lt;&gt;"","5 - Contacted","6 - No Activity"))))))</f>
        <v/>
      </c>
      <c r="X439" s="25">
        <f>IF(AND($A439="",$B439=""),9999999+(ROW()-4),VALUE(LEFT($W439,1))*10000+(ROW()-4))</f>
        <v/>
      </c>
    </row>
    <row r="440" ht="15" customHeight="1" s="20">
      <c r="A440" s="25" t="n"/>
      <c r="B440" s="25" t="n"/>
      <c r="C440" s="25" t="n"/>
      <c r="D440" s="25" t="n"/>
      <c r="E440" s="25" t="n"/>
      <c r="F440" s="26" t="n"/>
      <c r="G440" s="25" t="n"/>
      <c r="H440" s="25" t="n"/>
      <c r="I440" s="26" t="n"/>
      <c r="J440" s="25" t="n"/>
      <c r="K440" s="26" t="n"/>
      <c r="L440" s="25" t="n"/>
      <c r="M440" s="25" t="n"/>
      <c r="N440" s="26" t="n"/>
      <c r="O440" s="25" t="n"/>
      <c r="P440" s="25" t="n"/>
      <c r="Q440" s="26" t="n"/>
      <c r="R440" s="25">
        <f>IF(AND($A440="",$B440=""),"",IF(Q440="Complete","Onboarded",IF(OR(M440="Member",M440="Ambassador"),"Sponsored",IF(K440&lt;&gt;"","Follow-Up",IF(I440&lt;&gt;"","Presented",IF(F440&lt;&gt;"","Contacted","New Lead"))))))</f>
        <v/>
      </c>
      <c r="S440" s="25" t="n"/>
      <c r="T440" s="25">
        <f>IF(MAX(F440,I440,K440)=0,"",TODAY()-MAX(F440,I440,K440))</f>
        <v/>
      </c>
      <c r="U440" s="25" t="n"/>
      <c r="V440" s="25" t="n"/>
      <c r="W440" s="25">
        <f>IF(AND($A440="",$B440=""),"",IF(M440="Ambassador","1 - Ambassador",IF(M440="Member","2 - Member",IF(J440="Completed","3 - Presented",IF(H440&lt;&gt;"","4 - Sent",IF(F440&lt;&gt;"","5 - Contacted","6 - No Activity"))))))</f>
        <v/>
      </c>
      <c r="X440" s="25">
        <f>IF(AND($A440="",$B440=""),9999999+(ROW()-4),VALUE(LEFT($W440,1))*10000+(ROW()-4))</f>
        <v/>
      </c>
    </row>
    <row r="441" ht="15" customHeight="1" s="20">
      <c r="A441" s="25" t="n"/>
      <c r="B441" s="25" t="n"/>
      <c r="C441" s="25" t="n"/>
      <c r="D441" s="25" t="n"/>
      <c r="E441" s="25" t="n"/>
      <c r="F441" s="26" t="n"/>
      <c r="G441" s="25" t="n"/>
      <c r="H441" s="25" t="n"/>
      <c r="I441" s="26" t="n"/>
      <c r="J441" s="25" t="n"/>
      <c r="K441" s="26" t="n"/>
      <c r="L441" s="25" t="n"/>
      <c r="M441" s="25" t="n"/>
      <c r="N441" s="26" t="n"/>
      <c r="O441" s="25" t="n"/>
      <c r="P441" s="25" t="n"/>
      <c r="Q441" s="26" t="n"/>
      <c r="R441" s="25">
        <f>IF(AND($A441="",$B441=""),"",IF(Q441="Complete","Onboarded",IF(OR(M441="Member",M441="Ambassador"),"Sponsored",IF(K441&lt;&gt;"","Follow-Up",IF(I441&lt;&gt;"","Presented",IF(F441&lt;&gt;"","Contacted","New Lead"))))))</f>
        <v/>
      </c>
      <c r="S441" s="25" t="n"/>
      <c r="T441" s="25">
        <f>IF(MAX(F441,I441,K441)=0,"",TODAY()-MAX(F441,I441,K441))</f>
        <v/>
      </c>
      <c r="U441" s="25" t="n"/>
      <c r="V441" s="25" t="n"/>
      <c r="W441" s="25">
        <f>IF(AND($A441="",$B441=""),"",IF(M441="Ambassador","1 - Ambassador",IF(M441="Member","2 - Member",IF(J441="Completed","3 - Presented",IF(H441&lt;&gt;"","4 - Sent",IF(F441&lt;&gt;"","5 - Contacted","6 - No Activity"))))))</f>
        <v/>
      </c>
      <c r="X441" s="25">
        <f>IF(AND($A441="",$B441=""),9999999+(ROW()-4),VALUE(LEFT($W441,1))*10000+(ROW()-4))</f>
        <v/>
      </c>
    </row>
    <row r="442" ht="15" customHeight="1" s="20">
      <c r="A442" s="25" t="n"/>
      <c r="B442" s="25" t="n"/>
      <c r="C442" s="25" t="n"/>
      <c r="D442" s="25" t="n"/>
      <c r="E442" s="25" t="n"/>
      <c r="F442" s="26" t="n"/>
      <c r="G442" s="25" t="n"/>
      <c r="H442" s="25" t="n"/>
      <c r="I442" s="26" t="n"/>
      <c r="J442" s="25" t="n"/>
      <c r="K442" s="26" t="n"/>
      <c r="L442" s="25" t="n"/>
      <c r="M442" s="25" t="n"/>
      <c r="N442" s="26" t="n"/>
      <c r="O442" s="25" t="n"/>
      <c r="P442" s="25" t="n"/>
      <c r="Q442" s="26" t="n"/>
      <c r="R442" s="25">
        <f>IF(AND($A442="",$B442=""),"",IF(Q442="Complete","Onboarded",IF(OR(M442="Member",M442="Ambassador"),"Sponsored",IF(K442&lt;&gt;"","Follow-Up",IF(I442&lt;&gt;"","Presented",IF(F442&lt;&gt;"","Contacted","New Lead"))))))</f>
        <v/>
      </c>
      <c r="S442" s="25" t="n"/>
      <c r="T442" s="25">
        <f>IF(MAX(F442,I442,K442)=0,"",TODAY()-MAX(F442,I442,K442))</f>
        <v/>
      </c>
      <c r="U442" s="25" t="n"/>
      <c r="V442" s="25" t="n"/>
      <c r="W442" s="25">
        <f>IF(AND($A442="",$B442=""),"",IF(M442="Ambassador","1 - Ambassador",IF(M442="Member","2 - Member",IF(J442="Completed","3 - Presented",IF(H442&lt;&gt;"","4 - Sent",IF(F442&lt;&gt;"","5 - Contacted","6 - No Activity"))))))</f>
        <v/>
      </c>
      <c r="X442" s="25">
        <f>IF(AND($A442="",$B442=""),9999999+(ROW()-4),VALUE(LEFT($W442,1))*10000+(ROW()-4))</f>
        <v/>
      </c>
    </row>
    <row r="443" ht="15" customHeight="1" s="20">
      <c r="A443" s="25" t="n"/>
      <c r="B443" s="25" t="n"/>
      <c r="C443" s="25" t="n"/>
      <c r="D443" s="25" t="n"/>
      <c r="E443" s="25" t="n"/>
      <c r="F443" s="26" t="n"/>
      <c r="G443" s="25" t="n"/>
      <c r="H443" s="25" t="n"/>
      <c r="I443" s="26" t="n"/>
      <c r="J443" s="25" t="n"/>
      <c r="K443" s="26" t="n"/>
      <c r="L443" s="25" t="n"/>
      <c r="M443" s="25" t="n"/>
      <c r="N443" s="26" t="n"/>
      <c r="O443" s="25" t="n"/>
      <c r="P443" s="25" t="n"/>
      <c r="Q443" s="26" t="n"/>
      <c r="R443" s="25">
        <f>IF(AND($A443="",$B443=""),"",IF(Q443="Complete","Onboarded",IF(OR(M443="Member",M443="Ambassador"),"Sponsored",IF(K443&lt;&gt;"","Follow-Up",IF(I443&lt;&gt;"","Presented",IF(F443&lt;&gt;"","Contacted","New Lead"))))))</f>
        <v/>
      </c>
      <c r="S443" s="25" t="n"/>
      <c r="T443" s="25">
        <f>IF(MAX(F443,I443,K443)=0,"",TODAY()-MAX(F443,I443,K443))</f>
        <v/>
      </c>
      <c r="U443" s="25" t="n"/>
      <c r="V443" s="25" t="n"/>
      <c r="W443" s="25">
        <f>IF(AND($A443="",$B443=""),"",IF(M443="Ambassador","1 - Ambassador",IF(M443="Member","2 - Member",IF(J443="Completed","3 - Presented",IF(H443&lt;&gt;"","4 - Sent",IF(F443&lt;&gt;"","5 - Contacted","6 - No Activity"))))))</f>
        <v/>
      </c>
      <c r="X443" s="25">
        <f>IF(AND($A443="",$B443=""),9999999+(ROW()-4),VALUE(LEFT($W443,1))*10000+(ROW()-4))</f>
        <v/>
      </c>
    </row>
    <row r="444" ht="15" customHeight="1" s="20">
      <c r="A444" s="25" t="n"/>
      <c r="B444" s="25" t="n"/>
      <c r="C444" s="25" t="n"/>
      <c r="D444" s="25" t="n"/>
      <c r="E444" s="25" t="n"/>
      <c r="F444" s="26" t="n"/>
      <c r="G444" s="25" t="n"/>
      <c r="H444" s="25" t="n"/>
      <c r="I444" s="26" t="n"/>
      <c r="J444" s="25" t="n"/>
      <c r="K444" s="26" t="n"/>
      <c r="L444" s="25" t="n"/>
      <c r="M444" s="25" t="n"/>
      <c r="N444" s="26" t="n"/>
      <c r="O444" s="25" t="n"/>
      <c r="P444" s="25" t="n"/>
      <c r="Q444" s="26" t="n"/>
      <c r="R444" s="25">
        <f>IF(AND($A444="",$B444=""),"",IF(Q444="Complete","Onboarded",IF(OR(M444="Member",M444="Ambassador"),"Sponsored",IF(K444&lt;&gt;"","Follow-Up",IF(I444&lt;&gt;"","Presented",IF(F444&lt;&gt;"","Contacted","New Lead"))))))</f>
        <v/>
      </c>
      <c r="S444" s="25" t="n"/>
      <c r="T444" s="25">
        <f>IF(MAX(F444,I444,K444)=0,"",TODAY()-MAX(F444,I444,K444))</f>
        <v/>
      </c>
      <c r="U444" s="25" t="n"/>
      <c r="V444" s="25" t="n"/>
      <c r="W444" s="25">
        <f>IF(AND($A444="",$B444=""),"",IF(M444="Ambassador","1 - Ambassador",IF(M444="Member","2 - Member",IF(J444="Completed","3 - Presented",IF(H444&lt;&gt;"","4 - Sent",IF(F444&lt;&gt;"","5 - Contacted","6 - No Activity"))))))</f>
        <v/>
      </c>
      <c r="X444" s="25">
        <f>IF(AND($A444="",$B444=""),9999999+(ROW()-4),VALUE(LEFT($W444,1))*10000+(ROW()-4))</f>
        <v/>
      </c>
    </row>
    <row r="445" ht="15" customHeight="1" s="20">
      <c r="A445" s="25" t="n"/>
      <c r="B445" s="25" t="n"/>
      <c r="C445" s="25" t="n"/>
      <c r="D445" s="25" t="n"/>
      <c r="E445" s="25" t="n"/>
      <c r="F445" s="26" t="n"/>
      <c r="G445" s="25" t="n"/>
      <c r="H445" s="25" t="n"/>
      <c r="I445" s="26" t="n"/>
      <c r="J445" s="25" t="n"/>
      <c r="K445" s="26" t="n"/>
      <c r="L445" s="25" t="n"/>
      <c r="M445" s="25" t="n"/>
      <c r="N445" s="26" t="n"/>
      <c r="O445" s="25" t="n"/>
      <c r="P445" s="25" t="n"/>
      <c r="Q445" s="26" t="n"/>
      <c r="R445" s="25">
        <f>IF(AND($A445="",$B445=""),"",IF(Q445="Complete","Onboarded",IF(OR(M445="Member",M445="Ambassador"),"Sponsored",IF(K445&lt;&gt;"","Follow-Up",IF(I445&lt;&gt;"","Presented",IF(F445&lt;&gt;"","Contacted","New Lead"))))))</f>
        <v/>
      </c>
      <c r="S445" s="25" t="n"/>
      <c r="T445" s="25">
        <f>IF(MAX(F445,I445,K445)=0,"",TODAY()-MAX(F445,I445,K445))</f>
        <v/>
      </c>
      <c r="U445" s="25" t="n"/>
      <c r="V445" s="25" t="n"/>
      <c r="W445" s="25">
        <f>IF(AND($A445="",$B445=""),"",IF(M445="Ambassador","1 - Ambassador",IF(M445="Member","2 - Member",IF(J445="Completed","3 - Presented",IF(H445&lt;&gt;"","4 - Sent",IF(F445&lt;&gt;"","5 - Contacted","6 - No Activity"))))))</f>
        <v/>
      </c>
      <c r="X445" s="25">
        <f>IF(AND($A445="",$B445=""),9999999+(ROW()-4),VALUE(LEFT($W445,1))*10000+(ROW()-4))</f>
        <v/>
      </c>
    </row>
    <row r="446" ht="15" customHeight="1" s="20">
      <c r="A446" s="25" t="n"/>
      <c r="B446" s="25" t="n"/>
      <c r="C446" s="25" t="n"/>
      <c r="D446" s="25" t="n"/>
      <c r="E446" s="25" t="n"/>
      <c r="F446" s="26" t="n"/>
      <c r="G446" s="25" t="n"/>
      <c r="H446" s="25" t="n"/>
      <c r="I446" s="26" t="n"/>
      <c r="J446" s="25" t="n"/>
      <c r="K446" s="26" t="n"/>
      <c r="L446" s="25" t="n"/>
      <c r="M446" s="25" t="n"/>
      <c r="N446" s="26" t="n"/>
      <c r="O446" s="25" t="n"/>
      <c r="P446" s="25" t="n"/>
      <c r="Q446" s="26" t="n"/>
      <c r="R446" s="25">
        <f>IF(AND($A446="",$B446=""),"",IF(Q446="Complete","Onboarded",IF(OR(M446="Member",M446="Ambassador"),"Sponsored",IF(K446&lt;&gt;"","Follow-Up",IF(I446&lt;&gt;"","Presented",IF(F446&lt;&gt;"","Contacted","New Lead"))))))</f>
        <v/>
      </c>
      <c r="S446" s="25" t="n"/>
      <c r="T446" s="25">
        <f>IF(MAX(F446,I446,K446)=0,"",TODAY()-MAX(F446,I446,K446))</f>
        <v/>
      </c>
      <c r="U446" s="25" t="n"/>
      <c r="V446" s="25" t="n"/>
      <c r="W446" s="25">
        <f>IF(AND($A446="",$B446=""),"",IF(M446="Ambassador","1 - Ambassador",IF(M446="Member","2 - Member",IF(J446="Completed","3 - Presented",IF(H446&lt;&gt;"","4 - Sent",IF(F446&lt;&gt;"","5 - Contacted","6 - No Activity"))))))</f>
        <v/>
      </c>
      <c r="X446" s="25">
        <f>IF(AND($A446="",$B446=""),9999999+(ROW()-4),VALUE(LEFT($W446,1))*10000+(ROW()-4))</f>
        <v/>
      </c>
    </row>
    <row r="447" ht="15" customHeight="1" s="20">
      <c r="A447" s="25" t="n"/>
      <c r="B447" s="25" t="n"/>
      <c r="C447" s="25" t="n"/>
      <c r="D447" s="25" t="n"/>
      <c r="E447" s="25" t="n"/>
      <c r="F447" s="26" t="n"/>
      <c r="G447" s="25" t="n"/>
      <c r="H447" s="25" t="n"/>
      <c r="I447" s="26" t="n"/>
      <c r="J447" s="25" t="n"/>
      <c r="K447" s="26" t="n"/>
      <c r="L447" s="25" t="n"/>
      <c r="M447" s="25" t="n"/>
      <c r="N447" s="26" t="n"/>
      <c r="O447" s="25" t="n"/>
      <c r="P447" s="25" t="n"/>
      <c r="Q447" s="26" t="n"/>
      <c r="R447" s="25">
        <f>IF(AND($A447="",$B447=""),"",IF(Q447="Complete","Onboarded",IF(OR(M447="Member",M447="Ambassador"),"Sponsored",IF(K447&lt;&gt;"","Follow-Up",IF(I447&lt;&gt;"","Presented",IF(F447&lt;&gt;"","Contacted","New Lead"))))))</f>
        <v/>
      </c>
      <c r="S447" s="25" t="n"/>
      <c r="T447" s="25">
        <f>IF(MAX(F447,I447,K447)=0,"",TODAY()-MAX(F447,I447,K447))</f>
        <v/>
      </c>
      <c r="U447" s="25" t="n"/>
      <c r="V447" s="25" t="n"/>
      <c r="W447" s="25">
        <f>IF(AND($A447="",$B447=""),"",IF(M447="Ambassador","1 - Ambassador",IF(M447="Member","2 - Member",IF(J447="Completed","3 - Presented",IF(H447&lt;&gt;"","4 - Sent",IF(F447&lt;&gt;"","5 - Contacted","6 - No Activity"))))))</f>
        <v/>
      </c>
      <c r="X447" s="25">
        <f>IF(AND($A447="",$B447=""),9999999+(ROW()-4),VALUE(LEFT($W447,1))*10000+(ROW()-4))</f>
        <v/>
      </c>
    </row>
    <row r="448" ht="15" customHeight="1" s="20">
      <c r="A448" s="25" t="n"/>
      <c r="B448" s="25" t="n"/>
      <c r="C448" s="25" t="n"/>
      <c r="D448" s="25" t="n"/>
      <c r="E448" s="25" t="n"/>
      <c r="F448" s="26" t="n"/>
      <c r="G448" s="25" t="n"/>
      <c r="H448" s="25" t="n"/>
      <c r="I448" s="26" t="n"/>
      <c r="J448" s="25" t="n"/>
      <c r="K448" s="26" t="n"/>
      <c r="L448" s="25" t="n"/>
      <c r="M448" s="25" t="n"/>
      <c r="N448" s="26" t="n"/>
      <c r="O448" s="25" t="n"/>
      <c r="P448" s="25" t="n"/>
      <c r="Q448" s="26" t="n"/>
      <c r="R448" s="25">
        <f>IF(AND($A448="",$B448=""),"",IF(Q448="Complete","Onboarded",IF(OR(M448="Member",M448="Ambassador"),"Sponsored",IF(K448&lt;&gt;"","Follow-Up",IF(I448&lt;&gt;"","Presented",IF(F448&lt;&gt;"","Contacted","New Lead"))))))</f>
        <v/>
      </c>
      <c r="S448" s="25" t="n"/>
      <c r="T448" s="25">
        <f>IF(MAX(F448,I448,K448)=0,"",TODAY()-MAX(F448,I448,K448))</f>
        <v/>
      </c>
      <c r="U448" s="25" t="n"/>
      <c r="V448" s="25" t="n"/>
      <c r="W448" s="25">
        <f>IF(AND($A448="",$B448=""),"",IF(M448="Ambassador","1 - Ambassador",IF(M448="Member","2 - Member",IF(J448="Completed","3 - Presented",IF(H448&lt;&gt;"","4 - Sent",IF(F448&lt;&gt;"","5 - Contacted","6 - No Activity"))))))</f>
        <v/>
      </c>
      <c r="X448" s="25">
        <f>IF(AND($A448="",$B448=""),9999999+(ROW()-4),VALUE(LEFT($W448,1))*10000+(ROW()-4))</f>
        <v/>
      </c>
    </row>
    <row r="449" ht="15" customHeight="1" s="20">
      <c r="A449" s="25" t="n"/>
      <c r="B449" s="25" t="n"/>
      <c r="C449" s="25" t="n"/>
      <c r="D449" s="25" t="n"/>
      <c r="E449" s="25" t="n"/>
      <c r="F449" s="26" t="n"/>
      <c r="G449" s="25" t="n"/>
      <c r="H449" s="25" t="n"/>
      <c r="I449" s="26" t="n"/>
      <c r="J449" s="25" t="n"/>
      <c r="K449" s="26" t="n"/>
      <c r="L449" s="25" t="n"/>
      <c r="M449" s="25" t="n"/>
      <c r="N449" s="26" t="n"/>
      <c r="O449" s="25" t="n"/>
      <c r="P449" s="25" t="n"/>
      <c r="Q449" s="26" t="n"/>
      <c r="R449" s="25">
        <f>IF(AND($A449="",$B449=""),"",IF(Q449="Complete","Onboarded",IF(OR(M449="Member",M449="Ambassador"),"Sponsored",IF(K449&lt;&gt;"","Follow-Up",IF(I449&lt;&gt;"","Presented",IF(F449&lt;&gt;"","Contacted","New Lead"))))))</f>
        <v/>
      </c>
      <c r="S449" s="25" t="n"/>
      <c r="T449" s="25">
        <f>IF(MAX(F449,I449,K449)=0,"",TODAY()-MAX(F449,I449,K449))</f>
        <v/>
      </c>
      <c r="U449" s="25" t="n"/>
      <c r="V449" s="25" t="n"/>
      <c r="W449" s="25">
        <f>IF(AND($A449="",$B449=""),"",IF(M449="Ambassador","1 - Ambassador",IF(M449="Member","2 - Member",IF(J449="Completed","3 - Presented",IF(H449&lt;&gt;"","4 - Sent",IF(F449&lt;&gt;"","5 - Contacted","6 - No Activity"))))))</f>
        <v/>
      </c>
      <c r="X449" s="25">
        <f>IF(AND($A449="",$B449=""),9999999+(ROW()-4),VALUE(LEFT($W449,1))*10000+(ROW()-4))</f>
        <v/>
      </c>
    </row>
    <row r="450" ht="15" customHeight="1" s="20">
      <c r="A450" s="25" t="n"/>
      <c r="B450" s="25" t="n"/>
      <c r="C450" s="25" t="n"/>
      <c r="D450" s="25" t="n"/>
      <c r="E450" s="25" t="n"/>
      <c r="F450" s="26" t="n"/>
      <c r="G450" s="25" t="n"/>
      <c r="H450" s="25" t="n"/>
      <c r="I450" s="26" t="n"/>
      <c r="J450" s="25" t="n"/>
      <c r="K450" s="26" t="n"/>
      <c r="L450" s="25" t="n"/>
      <c r="M450" s="25" t="n"/>
      <c r="N450" s="26" t="n"/>
      <c r="O450" s="25" t="n"/>
      <c r="P450" s="25" t="n"/>
      <c r="Q450" s="26" t="n"/>
      <c r="R450" s="25">
        <f>IF(AND($A450="",$B450=""),"",IF(Q450="Complete","Onboarded",IF(OR(M450="Member",M450="Ambassador"),"Sponsored",IF(K450&lt;&gt;"","Follow-Up",IF(I450&lt;&gt;"","Presented",IF(F450&lt;&gt;"","Contacted","New Lead"))))))</f>
        <v/>
      </c>
      <c r="S450" s="25" t="n"/>
      <c r="T450" s="25">
        <f>IF(MAX(F450,I450,K450)=0,"",TODAY()-MAX(F450,I450,K450))</f>
        <v/>
      </c>
      <c r="U450" s="25" t="n"/>
      <c r="V450" s="25" t="n"/>
      <c r="W450" s="25">
        <f>IF(AND($A450="",$B450=""),"",IF(M450="Ambassador","1 - Ambassador",IF(M450="Member","2 - Member",IF(J450="Completed","3 - Presented",IF(H450&lt;&gt;"","4 - Sent",IF(F450&lt;&gt;"","5 - Contacted","6 - No Activity"))))))</f>
        <v/>
      </c>
      <c r="X450" s="25">
        <f>IF(AND($A450="",$B450=""),9999999+(ROW()-4),VALUE(LEFT($W450,1))*10000+(ROW()-4))</f>
        <v/>
      </c>
    </row>
    <row r="451" ht="15" customHeight="1" s="20">
      <c r="A451" s="25" t="n"/>
      <c r="B451" s="25" t="n"/>
      <c r="C451" s="25" t="n"/>
      <c r="D451" s="25" t="n"/>
      <c r="E451" s="25" t="n"/>
      <c r="F451" s="26" t="n"/>
      <c r="G451" s="25" t="n"/>
      <c r="H451" s="25" t="n"/>
      <c r="I451" s="26" t="n"/>
      <c r="J451" s="25" t="n"/>
      <c r="K451" s="26" t="n"/>
      <c r="L451" s="25" t="n"/>
      <c r="M451" s="25" t="n"/>
      <c r="N451" s="26" t="n"/>
      <c r="O451" s="25" t="n"/>
      <c r="P451" s="25" t="n"/>
      <c r="Q451" s="26" t="n"/>
      <c r="R451" s="25">
        <f>IF(AND($A451="",$B451=""),"",IF(Q451="Complete","Onboarded",IF(OR(M451="Member",M451="Ambassador"),"Sponsored",IF(K451&lt;&gt;"","Follow-Up",IF(I451&lt;&gt;"","Presented",IF(F451&lt;&gt;"","Contacted","New Lead"))))))</f>
        <v/>
      </c>
      <c r="S451" s="25" t="n"/>
      <c r="T451" s="25">
        <f>IF(MAX(F451,I451,K451)=0,"",TODAY()-MAX(F451,I451,K451))</f>
        <v/>
      </c>
      <c r="U451" s="25" t="n"/>
      <c r="V451" s="25" t="n"/>
      <c r="W451" s="25">
        <f>IF(AND($A451="",$B451=""),"",IF(M451="Ambassador","1 - Ambassador",IF(M451="Member","2 - Member",IF(J451="Completed","3 - Presented",IF(H451&lt;&gt;"","4 - Sent",IF(F451&lt;&gt;"","5 - Contacted","6 - No Activity"))))))</f>
        <v/>
      </c>
      <c r="X451" s="25">
        <f>IF(AND($A451="",$B451=""),9999999+(ROW()-4),VALUE(LEFT($W451,1))*10000+(ROW()-4))</f>
        <v/>
      </c>
    </row>
    <row r="452" ht="15" customHeight="1" s="20">
      <c r="A452" s="25" t="n"/>
      <c r="B452" s="25" t="n"/>
      <c r="C452" s="25" t="n"/>
      <c r="D452" s="25" t="n"/>
      <c r="E452" s="25" t="n"/>
      <c r="F452" s="26" t="n"/>
      <c r="G452" s="25" t="n"/>
      <c r="H452" s="25" t="n"/>
      <c r="I452" s="26" t="n"/>
      <c r="J452" s="25" t="n"/>
      <c r="K452" s="26" t="n"/>
      <c r="L452" s="25" t="n"/>
      <c r="M452" s="25" t="n"/>
      <c r="N452" s="26" t="n"/>
      <c r="O452" s="25" t="n"/>
      <c r="P452" s="25" t="n"/>
      <c r="Q452" s="26" t="n"/>
      <c r="R452" s="25">
        <f>IF(AND($A452="",$B452=""),"",IF(Q452="Complete","Onboarded",IF(OR(M452="Member",M452="Ambassador"),"Sponsored",IF(K452&lt;&gt;"","Follow-Up",IF(I452&lt;&gt;"","Presented",IF(F452&lt;&gt;"","Contacted","New Lead"))))))</f>
        <v/>
      </c>
      <c r="S452" s="25" t="n"/>
      <c r="T452" s="25">
        <f>IF(MAX(F452,I452,K452)=0,"",TODAY()-MAX(F452,I452,K452))</f>
        <v/>
      </c>
      <c r="U452" s="25" t="n"/>
      <c r="V452" s="25" t="n"/>
      <c r="W452" s="25">
        <f>IF(AND($A452="",$B452=""),"",IF(M452="Ambassador","1 - Ambassador",IF(M452="Member","2 - Member",IF(J452="Completed","3 - Presented",IF(H452&lt;&gt;"","4 - Sent",IF(F452&lt;&gt;"","5 - Contacted","6 - No Activity"))))))</f>
        <v/>
      </c>
      <c r="X452" s="25">
        <f>IF(AND($A452="",$B452=""),9999999+(ROW()-4),VALUE(LEFT($W452,1))*10000+(ROW()-4))</f>
        <v/>
      </c>
    </row>
    <row r="453" ht="15" customHeight="1" s="20">
      <c r="A453" s="25" t="n"/>
      <c r="B453" s="25" t="n"/>
      <c r="C453" s="25" t="n"/>
      <c r="D453" s="25" t="n"/>
      <c r="E453" s="25" t="n"/>
      <c r="F453" s="26" t="n"/>
      <c r="G453" s="25" t="n"/>
      <c r="H453" s="25" t="n"/>
      <c r="I453" s="26" t="n"/>
      <c r="J453" s="25" t="n"/>
      <c r="K453" s="26" t="n"/>
      <c r="L453" s="25" t="n"/>
      <c r="M453" s="25" t="n"/>
      <c r="N453" s="26" t="n"/>
      <c r="O453" s="25" t="n"/>
      <c r="P453" s="25" t="n"/>
      <c r="Q453" s="26" t="n"/>
      <c r="R453" s="25">
        <f>IF(AND($A453="",$B453=""),"",IF(Q453="Complete","Onboarded",IF(OR(M453="Member",M453="Ambassador"),"Sponsored",IF(K453&lt;&gt;"","Follow-Up",IF(I453&lt;&gt;"","Presented",IF(F453&lt;&gt;"","Contacted","New Lead"))))))</f>
        <v/>
      </c>
      <c r="S453" s="25" t="n"/>
      <c r="T453" s="25">
        <f>IF(MAX(F453,I453,K453)=0,"",TODAY()-MAX(F453,I453,K453))</f>
        <v/>
      </c>
      <c r="U453" s="25" t="n"/>
      <c r="V453" s="25" t="n"/>
      <c r="W453" s="25">
        <f>IF(AND($A453="",$B453=""),"",IF(M453="Ambassador","1 - Ambassador",IF(M453="Member","2 - Member",IF(J453="Completed","3 - Presented",IF(H453&lt;&gt;"","4 - Sent",IF(F453&lt;&gt;"","5 - Contacted","6 - No Activity"))))))</f>
        <v/>
      </c>
      <c r="X453" s="25">
        <f>IF(AND($A453="",$B453=""),9999999+(ROW()-4),VALUE(LEFT($W453,1))*10000+(ROW()-4))</f>
        <v/>
      </c>
    </row>
    <row r="454" ht="15" customHeight="1" s="20">
      <c r="A454" s="25" t="n"/>
      <c r="B454" s="25" t="n"/>
      <c r="C454" s="25" t="n"/>
      <c r="D454" s="25" t="n"/>
      <c r="E454" s="25" t="n"/>
      <c r="F454" s="26" t="n"/>
      <c r="G454" s="25" t="n"/>
      <c r="H454" s="25" t="n"/>
      <c r="I454" s="26" t="n"/>
      <c r="J454" s="25" t="n"/>
      <c r="K454" s="26" t="n"/>
      <c r="L454" s="25" t="n"/>
      <c r="M454" s="25" t="n"/>
      <c r="N454" s="26" t="n"/>
      <c r="O454" s="25" t="n"/>
      <c r="P454" s="25" t="n"/>
      <c r="Q454" s="26" t="n"/>
      <c r="R454" s="25">
        <f>IF(AND($A454="",$B454=""),"",IF(Q454="Complete","Onboarded",IF(OR(M454="Member",M454="Ambassador"),"Sponsored",IF(K454&lt;&gt;"","Follow-Up",IF(I454&lt;&gt;"","Presented",IF(F454&lt;&gt;"","Contacted","New Lead"))))))</f>
        <v/>
      </c>
      <c r="S454" s="25" t="n"/>
      <c r="T454" s="25">
        <f>IF(MAX(F454,I454,K454)=0,"",TODAY()-MAX(F454,I454,K454))</f>
        <v/>
      </c>
      <c r="U454" s="25" t="n"/>
      <c r="V454" s="25" t="n"/>
      <c r="W454" s="25">
        <f>IF(AND($A454="",$B454=""),"",IF(M454="Ambassador","1 - Ambassador",IF(M454="Member","2 - Member",IF(J454="Completed","3 - Presented",IF(H454&lt;&gt;"","4 - Sent",IF(F454&lt;&gt;"","5 - Contacted","6 - No Activity"))))))</f>
        <v/>
      </c>
      <c r="X454" s="25">
        <f>IF(AND($A454="",$B454=""),9999999+(ROW()-4),VALUE(LEFT($W454,1))*10000+(ROW()-4))</f>
        <v/>
      </c>
    </row>
    <row r="455" ht="15" customHeight="1" s="20">
      <c r="A455" s="25" t="n"/>
      <c r="B455" s="25" t="n"/>
      <c r="C455" s="25" t="n"/>
      <c r="D455" s="25" t="n"/>
      <c r="E455" s="25" t="n"/>
      <c r="F455" s="26" t="n"/>
      <c r="G455" s="25" t="n"/>
      <c r="H455" s="25" t="n"/>
      <c r="I455" s="26" t="n"/>
      <c r="J455" s="25" t="n"/>
      <c r="K455" s="26" t="n"/>
      <c r="L455" s="25" t="n"/>
      <c r="M455" s="25" t="n"/>
      <c r="N455" s="26" t="n"/>
      <c r="O455" s="25" t="n"/>
      <c r="P455" s="25" t="n"/>
      <c r="Q455" s="26" t="n"/>
      <c r="R455" s="25">
        <f>IF(AND($A455="",$B455=""),"",IF(Q455="Complete","Onboarded",IF(OR(M455="Member",M455="Ambassador"),"Sponsored",IF(K455&lt;&gt;"","Follow-Up",IF(I455&lt;&gt;"","Presented",IF(F455&lt;&gt;"","Contacted","New Lead"))))))</f>
        <v/>
      </c>
      <c r="S455" s="25" t="n"/>
      <c r="T455" s="25">
        <f>IF(MAX(F455,I455,K455)=0,"",TODAY()-MAX(F455,I455,K455))</f>
        <v/>
      </c>
      <c r="U455" s="25" t="n"/>
      <c r="V455" s="25" t="n"/>
      <c r="W455" s="25">
        <f>IF(AND($A455="",$B455=""),"",IF(M455="Ambassador","1 - Ambassador",IF(M455="Member","2 - Member",IF(J455="Completed","3 - Presented",IF(H455&lt;&gt;"","4 - Sent",IF(F455&lt;&gt;"","5 - Contacted","6 - No Activity"))))))</f>
        <v/>
      </c>
      <c r="X455" s="25">
        <f>IF(AND($A455="",$B455=""),9999999+(ROW()-4),VALUE(LEFT($W455,1))*10000+(ROW()-4))</f>
        <v/>
      </c>
    </row>
    <row r="456" ht="15" customHeight="1" s="20">
      <c r="A456" s="25" t="n"/>
      <c r="B456" s="25" t="n"/>
      <c r="C456" s="25" t="n"/>
      <c r="D456" s="25" t="n"/>
      <c r="E456" s="25" t="n"/>
      <c r="F456" s="26" t="n"/>
      <c r="G456" s="25" t="n"/>
      <c r="H456" s="25" t="n"/>
      <c r="I456" s="26" t="n"/>
      <c r="J456" s="25" t="n"/>
      <c r="K456" s="26" t="n"/>
      <c r="L456" s="25" t="n"/>
      <c r="M456" s="25" t="n"/>
      <c r="N456" s="26" t="n"/>
      <c r="O456" s="25" t="n"/>
      <c r="P456" s="25" t="n"/>
      <c r="Q456" s="26" t="n"/>
      <c r="R456" s="25">
        <f>IF(AND($A456="",$B456=""),"",IF(Q456="Complete","Onboarded",IF(OR(M456="Member",M456="Ambassador"),"Sponsored",IF(K456&lt;&gt;"","Follow-Up",IF(I456&lt;&gt;"","Presented",IF(F456&lt;&gt;"","Contacted","New Lead"))))))</f>
        <v/>
      </c>
      <c r="S456" s="25" t="n"/>
      <c r="T456" s="25">
        <f>IF(MAX(F456,I456,K456)=0,"",TODAY()-MAX(F456,I456,K456))</f>
        <v/>
      </c>
      <c r="U456" s="25" t="n"/>
      <c r="V456" s="25" t="n"/>
      <c r="W456" s="25">
        <f>IF(AND($A456="",$B456=""),"",IF(M456="Ambassador","1 - Ambassador",IF(M456="Member","2 - Member",IF(J456="Completed","3 - Presented",IF(H456&lt;&gt;"","4 - Sent",IF(F456&lt;&gt;"","5 - Contacted","6 - No Activity"))))))</f>
        <v/>
      </c>
      <c r="X456" s="25">
        <f>IF(AND($A456="",$B456=""),9999999+(ROW()-4),VALUE(LEFT($W456,1))*10000+(ROW()-4))</f>
        <v/>
      </c>
    </row>
    <row r="457" ht="15" customHeight="1" s="20">
      <c r="A457" s="25" t="n"/>
      <c r="B457" s="25" t="n"/>
      <c r="C457" s="25" t="n"/>
      <c r="D457" s="25" t="n"/>
      <c r="E457" s="25" t="n"/>
      <c r="F457" s="26" t="n"/>
      <c r="G457" s="25" t="n"/>
      <c r="H457" s="25" t="n"/>
      <c r="I457" s="26" t="n"/>
      <c r="J457" s="25" t="n"/>
      <c r="K457" s="26" t="n"/>
      <c r="L457" s="25" t="n"/>
      <c r="M457" s="25" t="n"/>
      <c r="N457" s="26" t="n"/>
      <c r="O457" s="25" t="n"/>
      <c r="P457" s="25" t="n"/>
      <c r="Q457" s="26" t="n"/>
      <c r="R457" s="25">
        <f>IF(AND($A457="",$B457=""),"",IF(Q457="Complete","Onboarded",IF(OR(M457="Member",M457="Ambassador"),"Sponsored",IF(K457&lt;&gt;"","Follow-Up",IF(I457&lt;&gt;"","Presented",IF(F457&lt;&gt;"","Contacted","New Lead"))))))</f>
        <v/>
      </c>
      <c r="S457" s="25" t="n"/>
      <c r="T457" s="25">
        <f>IF(MAX(F457,I457,K457)=0,"",TODAY()-MAX(F457,I457,K457))</f>
        <v/>
      </c>
      <c r="U457" s="25" t="n"/>
      <c r="V457" s="25" t="n"/>
      <c r="W457" s="25">
        <f>IF(AND($A457="",$B457=""),"",IF(M457="Ambassador","1 - Ambassador",IF(M457="Member","2 - Member",IF(J457="Completed","3 - Presented",IF(H457&lt;&gt;"","4 - Sent",IF(F457&lt;&gt;"","5 - Contacted","6 - No Activity"))))))</f>
        <v/>
      </c>
      <c r="X457" s="25">
        <f>IF(AND($A457="",$B457=""),9999999+(ROW()-4),VALUE(LEFT($W457,1))*10000+(ROW()-4))</f>
        <v/>
      </c>
    </row>
    <row r="458" ht="15" customHeight="1" s="20">
      <c r="A458" s="25" t="n"/>
      <c r="B458" s="25" t="n"/>
      <c r="C458" s="25" t="n"/>
      <c r="D458" s="25" t="n"/>
      <c r="E458" s="25" t="n"/>
      <c r="F458" s="26" t="n"/>
      <c r="G458" s="25" t="n"/>
      <c r="H458" s="25" t="n"/>
      <c r="I458" s="26" t="n"/>
      <c r="J458" s="25" t="n"/>
      <c r="K458" s="26" t="n"/>
      <c r="L458" s="25" t="n"/>
      <c r="M458" s="25" t="n"/>
      <c r="N458" s="26" t="n"/>
      <c r="O458" s="25" t="n"/>
      <c r="P458" s="25" t="n"/>
      <c r="Q458" s="26" t="n"/>
      <c r="R458" s="25">
        <f>IF(AND($A458="",$B458=""),"",IF(Q458="Complete","Onboarded",IF(OR(M458="Member",M458="Ambassador"),"Sponsored",IF(K458&lt;&gt;"","Follow-Up",IF(I458&lt;&gt;"","Presented",IF(F458&lt;&gt;"","Contacted","New Lead"))))))</f>
        <v/>
      </c>
      <c r="S458" s="25" t="n"/>
      <c r="T458" s="25">
        <f>IF(MAX(F458,I458,K458)=0,"",TODAY()-MAX(F458,I458,K458))</f>
        <v/>
      </c>
      <c r="U458" s="25" t="n"/>
      <c r="V458" s="25" t="n"/>
      <c r="W458" s="25">
        <f>IF(AND($A458="",$B458=""),"",IF(M458="Ambassador","1 - Ambassador",IF(M458="Member","2 - Member",IF(J458="Completed","3 - Presented",IF(H458&lt;&gt;"","4 - Sent",IF(F458&lt;&gt;"","5 - Contacted","6 - No Activity"))))))</f>
        <v/>
      </c>
      <c r="X458" s="25">
        <f>IF(AND($A458="",$B458=""),9999999+(ROW()-4),VALUE(LEFT($W458,1))*10000+(ROW()-4))</f>
        <v/>
      </c>
    </row>
    <row r="459" ht="15" customHeight="1" s="20">
      <c r="A459" s="25" t="n"/>
      <c r="B459" s="25" t="n"/>
      <c r="C459" s="25" t="n"/>
      <c r="D459" s="25" t="n"/>
      <c r="E459" s="25" t="n"/>
      <c r="F459" s="26" t="n"/>
      <c r="G459" s="25" t="n"/>
      <c r="H459" s="25" t="n"/>
      <c r="I459" s="26" t="n"/>
      <c r="J459" s="25" t="n"/>
      <c r="K459" s="26" t="n"/>
      <c r="L459" s="25" t="n"/>
      <c r="M459" s="25" t="n"/>
      <c r="N459" s="26" t="n"/>
      <c r="O459" s="25" t="n"/>
      <c r="P459" s="25" t="n"/>
      <c r="Q459" s="26" t="n"/>
      <c r="R459" s="25">
        <f>IF(AND($A459="",$B459=""),"",IF(Q459="Complete","Onboarded",IF(OR(M459="Member",M459="Ambassador"),"Sponsored",IF(K459&lt;&gt;"","Follow-Up",IF(I459&lt;&gt;"","Presented",IF(F459&lt;&gt;"","Contacted","New Lead"))))))</f>
        <v/>
      </c>
      <c r="S459" s="25" t="n"/>
      <c r="T459" s="25">
        <f>IF(MAX(F459,I459,K459)=0,"",TODAY()-MAX(F459,I459,K459))</f>
        <v/>
      </c>
      <c r="U459" s="25" t="n"/>
      <c r="V459" s="25" t="n"/>
      <c r="W459" s="25">
        <f>IF(AND($A459="",$B459=""),"",IF(M459="Ambassador","1 - Ambassador",IF(M459="Member","2 - Member",IF(J459="Completed","3 - Presented",IF(H459&lt;&gt;"","4 - Sent",IF(F459&lt;&gt;"","5 - Contacted","6 - No Activity"))))))</f>
        <v/>
      </c>
      <c r="X459" s="25">
        <f>IF(AND($A459="",$B459=""),9999999+(ROW()-4),VALUE(LEFT($W459,1))*10000+(ROW()-4))</f>
        <v/>
      </c>
    </row>
    <row r="460" ht="15" customHeight="1" s="20">
      <c r="A460" s="25" t="n"/>
      <c r="B460" s="25" t="n"/>
      <c r="C460" s="25" t="n"/>
      <c r="D460" s="25" t="n"/>
      <c r="E460" s="25" t="n"/>
      <c r="F460" s="26" t="n"/>
      <c r="G460" s="25" t="n"/>
      <c r="H460" s="25" t="n"/>
      <c r="I460" s="26" t="n"/>
      <c r="J460" s="25" t="n"/>
      <c r="K460" s="26" t="n"/>
      <c r="L460" s="25" t="n"/>
      <c r="M460" s="25" t="n"/>
      <c r="N460" s="26" t="n"/>
      <c r="O460" s="25" t="n"/>
      <c r="P460" s="25" t="n"/>
      <c r="Q460" s="26" t="n"/>
      <c r="R460" s="25">
        <f>IF(AND($A460="",$B460=""),"",IF(Q460="Complete","Onboarded",IF(OR(M460="Member",M460="Ambassador"),"Sponsored",IF(K460&lt;&gt;"","Follow-Up",IF(I460&lt;&gt;"","Presented",IF(F460&lt;&gt;"","Contacted","New Lead"))))))</f>
        <v/>
      </c>
      <c r="S460" s="25" t="n"/>
      <c r="T460" s="25">
        <f>IF(MAX(F460,I460,K460)=0,"",TODAY()-MAX(F460,I460,K460))</f>
        <v/>
      </c>
      <c r="U460" s="25" t="n"/>
      <c r="V460" s="25" t="n"/>
      <c r="W460" s="25">
        <f>IF(AND($A460="",$B460=""),"",IF(M460="Ambassador","1 - Ambassador",IF(M460="Member","2 - Member",IF(J460="Completed","3 - Presented",IF(H460&lt;&gt;"","4 - Sent",IF(F460&lt;&gt;"","5 - Contacted","6 - No Activity"))))))</f>
        <v/>
      </c>
      <c r="X460" s="25">
        <f>IF(AND($A460="",$B460=""),9999999+(ROW()-4),VALUE(LEFT($W460,1))*10000+(ROW()-4))</f>
        <v/>
      </c>
    </row>
    <row r="461" ht="15" customHeight="1" s="20">
      <c r="A461" s="25" t="n"/>
      <c r="B461" s="25" t="n"/>
      <c r="C461" s="25" t="n"/>
      <c r="D461" s="25" t="n"/>
      <c r="E461" s="25" t="n"/>
      <c r="F461" s="26" t="n"/>
      <c r="G461" s="25" t="n"/>
      <c r="H461" s="25" t="n"/>
      <c r="I461" s="26" t="n"/>
      <c r="J461" s="25" t="n"/>
      <c r="K461" s="26" t="n"/>
      <c r="L461" s="25" t="n"/>
      <c r="M461" s="25" t="n"/>
      <c r="N461" s="26" t="n"/>
      <c r="O461" s="25" t="n"/>
      <c r="P461" s="25" t="n"/>
      <c r="Q461" s="26" t="n"/>
      <c r="R461" s="25">
        <f>IF(AND($A461="",$B461=""),"",IF(Q461="Complete","Onboarded",IF(OR(M461="Member",M461="Ambassador"),"Sponsored",IF(K461&lt;&gt;"","Follow-Up",IF(I461&lt;&gt;"","Presented",IF(F461&lt;&gt;"","Contacted","New Lead"))))))</f>
        <v/>
      </c>
      <c r="S461" s="25" t="n"/>
      <c r="T461" s="25">
        <f>IF(MAX(F461,I461,K461)=0,"",TODAY()-MAX(F461,I461,K461))</f>
        <v/>
      </c>
      <c r="U461" s="25" t="n"/>
      <c r="V461" s="25" t="n"/>
      <c r="W461" s="25">
        <f>IF(AND($A461="",$B461=""),"",IF(M461="Ambassador","1 - Ambassador",IF(M461="Member","2 - Member",IF(J461="Completed","3 - Presented",IF(H461&lt;&gt;"","4 - Sent",IF(F461&lt;&gt;"","5 - Contacted","6 - No Activity"))))))</f>
        <v/>
      </c>
      <c r="X461" s="25">
        <f>IF(AND($A461="",$B461=""),9999999+(ROW()-4),VALUE(LEFT($W461,1))*10000+(ROW()-4))</f>
        <v/>
      </c>
    </row>
    <row r="462" ht="15" customHeight="1" s="20">
      <c r="A462" s="25" t="n"/>
      <c r="B462" s="25" t="n"/>
      <c r="C462" s="25" t="n"/>
      <c r="D462" s="25" t="n"/>
      <c r="E462" s="25" t="n"/>
      <c r="F462" s="26" t="n"/>
      <c r="G462" s="25" t="n"/>
      <c r="H462" s="25" t="n"/>
      <c r="I462" s="26" t="n"/>
      <c r="J462" s="25" t="n"/>
      <c r="K462" s="26" t="n"/>
      <c r="L462" s="25" t="n"/>
      <c r="M462" s="25" t="n"/>
      <c r="N462" s="26" t="n"/>
      <c r="O462" s="25" t="n"/>
      <c r="P462" s="25" t="n"/>
      <c r="Q462" s="26" t="n"/>
      <c r="R462" s="25">
        <f>IF(AND($A462="",$B462=""),"",IF(Q462="Complete","Onboarded",IF(OR(M462="Member",M462="Ambassador"),"Sponsored",IF(K462&lt;&gt;"","Follow-Up",IF(I462&lt;&gt;"","Presented",IF(F462&lt;&gt;"","Contacted","New Lead"))))))</f>
        <v/>
      </c>
      <c r="S462" s="25" t="n"/>
      <c r="T462" s="25">
        <f>IF(MAX(F462,I462,K462)=0,"",TODAY()-MAX(F462,I462,K462))</f>
        <v/>
      </c>
      <c r="U462" s="25" t="n"/>
      <c r="V462" s="25" t="n"/>
      <c r="W462" s="25">
        <f>IF(AND($A462="",$B462=""),"",IF(M462="Ambassador","1 - Ambassador",IF(M462="Member","2 - Member",IF(J462="Completed","3 - Presented",IF(H462&lt;&gt;"","4 - Sent",IF(F462&lt;&gt;"","5 - Contacted","6 - No Activity"))))))</f>
        <v/>
      </c>
      <c r="X462" s="25">
        <f>IF(AND($A462="",$B462=""),9999999+(ROW()-4),VALUE(LEFT($W462,1))*10000+(ROW()-4))</f>
        <v/>
      </c>
    </row>
    <row r="463" ht="15" customHeight="1" s="20">
      <c r="A463" s="25" t="n"/>
      <c r="B463" s="25" t="n"/>
      <c r="C463" s="25" t="n"/>
      <c r="D463" s="25" t="n"/>
      <c r="E463" s="25" t="n"/>
      <c r="F463" s="26" t="n"/>
      <c r="G463" s="25" t="n"/>
      <c r="H463" s="25" t="n"/>
      <c r="I463" s="26" t="n"/>
      <c r="J463" s="25" t="n"/>
      <c r="K463" s="26" t="n"/>
      <c r="L463" s="25" t="n"/>
      <c r="M463" s="25" t="n"/>
      <c r="N463" s="26" t="n"/>
      <c r="O463" s="25" t="n"/>
      <c r="P463" s="25" t="n"/>
      <c r="Q463" s="26" t="n"/>
      <c r="R463" s="25">
        <f>IF(AND($A463="",$B463=""),"",IF(Q463="Complete","Onboarded",IF(OR(M463="Member",M463="Ambassador"),"Sponsored",IF(K463&lt;&gt;"","Follow-Up",IF(I463&lt;&gt;"","Presented",IF(F463&lt;&gt;"","Contacted","New Lead"))))))</f>
        <v/>
      </c>
      <c r="S463" s="25" t="n"/>
      <c r="T463" s="25">
        <f>IF(MAX(F463,I463,K463)=0,"",TODAY()-MAX(F463,I463,K463))</f>
        <v/>
      </c>
      <c r="U463" s="25" t="n"/>
      <c r="V463" s="25" t="n"/>
      <c r="W463" s="25">
        <f>IF(AND($A463="",$B463=""),"",IF(M463="Ambassador","1 - Ambassador",IF(M463="Member","2 - Member",IF(J463="Completed","3 - Presented",IF(H463&lt;&gt;"","4 - Sent",IF(F463&lt;&gt;"","5 - Contacted","6 - No Activity"))))))</f>
        <v/>
      </c>
      <c r="X463" s="25">
        <f>IF(AND($A463="",$B463=""),9999999+(ROW()-4),VALUE(LEFT($W463,1))*10000+(ROW()-4))</f>
        <v/>
      </c>
    </row>
    <row r="464" ht="15" customHeight="1" s="20">
      <c r="A464" s="25" t="n"/>
      <c r="B464" s="25" t="n"/>
      <c r="C464" s="25" t="n"/>
      <c r="D464" s="25" t="n"/>
      <c r="E464" s="25" t="n"/>
      <c r="F464" s="26" t="n"/>
      <c r="G464" s="25" t="n"/>
      <c r="H464" s="25" t="n"/>
      <c r="I464" s="26" t="n"/>
      <c r="J464" s="25" t="n"/>
      <c r="K464" s="26" t="n"/>
      <c r="L464" s="25" t="n"/>
      <c r="M464" s="25" t="n"/>
      <c r="N464" s="26" t="n"/>
      <c r="O464" s="25" t="n"/>
      <c r="P464" s="25" t="n"/>
      <c r="Q464" s="26" t="n"/>
      <c r="R464" s="25">
        <f>IF(AND($A464="",$B464=""),"",IF(Q464="Complete","Onboarded",IF(OR(M464="Member",M464="Ambassador"),"Sponsored",IF(K464&lt;&gt;"","Follow-Up",IF(I464&lt;&gt;"","Presented",IF(F464&lt;&gt;"","Contacted","New Lead"))))))</f>
        <v/>
      </c>
      <c r="S464" s="25" t="n"/>
      <c r="T464" s="25">
        <f>IF(MAX(F464,I464,K464)=0,"",TODAY()-MAX(F464,I464,K464))</f>
        <v/>
      </c>
      <c r="U464" s="25" t="n"/>
      <c r="V464" s="25" t="n"/>
      <c r="W464" s="25">
        <f>IF(AND($A464="",$B464=""),"",IF(M464="Ambassador","1 - Ambassador",IF(M464="Member","2 - Member",IF(J464="Completed","3 - Presented",IF(H464&lt;&gt;"","4 - Sent",IF(F464&lt;&gt;"","5 - Contacted","6 - No Activity"))))))</f>
        <v/>
      </c>
      <c r="X464" s="25">
        <f>IF(AND($A464="",$B464=""),9999999+(ROW()-4),VALUE(LEFT($W464,1))*10000+(ROW()-4))</f>
        <v/>
      </c>
    </row>
    <row r="465" ht="15" customHeight="1" s="20">
      <c r="A465" s="25" t="n"/>
      <c r="B465" s="25" t="n"/>
      <c r="C465" s="25" t="n"/>
      <c r="D465" s="25" t="n"/>
      <c r="E465" s="25" t="n"/>
      <c r="F465" s="26" t="n"/>
      <c r="G465" s="25" t="n"/>
      <c r="H465" s="25" t="n"/>
      <c r="I465" s="26" t="n"/>
      <c r="J465" s="25" t="n"/>
      <c r="K465" s="26" t="n"/>
      <c r="L465" s="25" t="n"/>
      <c r="M465" s="25" t="n"/>
      <c r="N465" s="26" t="n"/>
      <c r="O465" s="25" t="n"/>
      <c r="P465" s="25" t="n"/>
      <c r="Q465" s="26" t="n"/>
      <c r="R465" s="25">
        <f>IF(AND($A465="",$B465=""),"",IF(Q465="Complete","Onboarded",IF(OR(M465="Member",M465="Ambassador"),"Sponsored",IF(K465&lt;&gt;"","Follow-Up",IF(I465&lt;&gt;"","Presented",IF(F465&lt;&gt;"","Contacted","New Lead"))))))</f>
        <v/>
      </c>
      <c r="S465" s="25" t="n"/>
      <c r="T465" s="25">
        <f>IF(MAX(F465,I465,K465)=0,"",TODAY()-MAX(F465,I465,K465))</f>
        <v/>
      </c>
      <c r="U465" s="25" t="n"/>
      <c r="V465" s="25" t="n"/>
      <c r="W465" s="25">
        <f>IF(AND($A465="",$B465=""),"",IF(M465="Ambassador","1 - Ambassador",IF(M465="Member","2 - Member",IF(J465="Completed","3 - Presented",IF(H465&lt;&gt;"","4 - Sent",IF(F465&lt;&gt;"","5 - Contacted","6 - No Activity"))))))</f>
        <v/>
      </c>
      <c r="X465" s="25">
        <f>IF(AND($A465="",$B465=""),9999999+(ROW()-4),VALUE(LEFT($W465,1))*10000+(ROW()-4))</f>
        <v/>
      </c>
    </row>
    <row r="466" ht="15" customHeight="1" s="20">
      <c r="A466" s="25" t="n"/>
      <c r="B466" s="25" t="n"/>
      <c r="C466" s="25" t="n"/>
      <c r="D466" s="25" t="n"/>
      <c r="E466" s="25" t="n"/>
      <c r="F466" s="26" t="n"/>
      <c r="G466" s="25" t="n"/>
      <c r="H466" s="25" t="n"/>
      <c r="I466" s="26" t="n"/>
      <c r="J466" s="25" t="n"/>
      <c r="K466" s="26" t="n"/>
      <c r="L466" s="25" t="n"/>
      <c r="M466" s="25" t="n"/>
      <c r="N466" s="26" t="n"/>
      <c r="O466" s="25" t="n"/>
      <c r="P466" s="25" t="n"/>
      <c r="Q466" s="26" t="n"/>
      <c r="R466" s="25">
        <f>IF(AND($A466="",$B466=""),"",IF(Q466="Complete","Onboarded",IF(OR(M466="Member",M466="Ambassador"),"Sponsored",IF(K466&lt;&gt;"","Follow-Up",IF(I466&lt;&gt;"","Presented",IF(F466&lt;&gt;"","Contacted","New Lead"))))))</f>
        <v/>
      </c>
      <c r="S466" s="25" t="n"/>
      <c r="T466" s="25">
        <f>IF(MAX(F466,I466,K466)=0,"",TODAY()-MAX(F466,I466,K466))</f>
        <v/>
      </c>
      <c r="U466" s="25" t="n"/>
      <c r="V466" s="25" t="n"/>
      <c r="W466" s="25">
        <f>IF(AND($A466="",$B466=""),"",IF(M466="Ambassador","1 - Ambassador",IF(M466="Member","2 - Member",IF(J466="Completed","3 - Presented",IF(H466&lt;&gt;"","4 - Sent",IF(F466&lt;&gt;"","5 - Contacted","6 - No Activity"))))))</f>
        <v/>
      </c>
      <c r="X466" s="25">
        <f>IF(AND($A466="",$B466=""),9999999+(ROW()-4),VALUE(LEFT($W466,1))*10000+(ROW()-4))</f>
        <v/>
      </c>
    </row>
    <row r="467" ht="15" customHeight="1" s="20">
      <c r="A467" s="25" t="n"/>
      <c r="B467" s="25" t="n"/>
      <c r="C467" s="25" t="n"/>
      <c r="D467" s="25" t="n"/>
      <c r="E467" s="25" t="n"/>
      <c r="F467" s="26" t="n"/>
      <c r="G467" s="25" t="n"/>
      <c r="H467" s="25" t="n"/>
      <c r="I467" s="26" t="n"/>
      <c r="J467" s="25" t="n"/>
      <c r="K467" s="26" t="n"/>
      <c r="L467" s="25" t="n"/>
      <c r="M467" s="25" t="n"/>
      <c r="N467" s="26" t="n"/>
      <c r="O467" s="25" t="n"/>
      <c r="P467" s="25" t="n"/>
      <c r="Q467" s="26" t="n"/>
      <c r="R467" s="25">
        <f>IF(AND($A467="",$B467=""),"",IF(Q467="Complete","Onboarded",IF(OR(M467="Member",M467="Ambassador"),"Sponsored",IF(K467&lt;&gt;"","Follow-Up",IF(I467&lt;&gt;"","Presented",IF(F467&lt;&gt;"","Contacted","New Lead"))))))</f>
        <v/>
      </c>
      <c r="S467" s="25" t="n"/>
      <c r="T467" s="25">
        <f>IF(MAX(F467,I467,K467)=0,"",TODAY()-MAX(F467,I467,K467))</f>
        <v/>
      </c>
      <c r="U467" s="25" t="n"/>
      <c r="V467" s="25" t="n"/>
      <c r="W467" s="25">
        <f>IF(AND($A467="",$B467=""),"",IF(M467="Ambassador","1 - Ambassador",IF(M467="Member","2 - Member",IF(J467="Completed","3 - Presented",IF(H467&lt;&gt;"","4 - Sent",IF(F467&lt;&gt;"","5 - Contacted","6 - No Activity"))))))</f>
        <v/>
      </c>
      <c r="X467" s="25">
        <f>IF(AND($A467="",$B467=""),9999999+(ROW()-4),VALUE(LEFT($W467,1))*10000+(ROW()-4))</f>
        <v/>
      </c>
    </row>
    <row r="468" ht="15" customHeight="1" s="20">
      <c r="A468" s="25" t="n"/>
      <c r="B468" s="25" t="n"/>
      <c r="C468" s="25" t="n"/>
      <c r="D468" s="25" t="n"/>
      <c r="E468" s="25" t="n"/>
      <c r="F468" s="26" t="n"/>
      <c r="G468" s="25" t="n"/>
      <c r="H468" s="25" t="n"/>
      <c r="I468" s="26" t="n"/>
      <c r="J468" s="25" t="n"/>
      <c r="K468" s="26" t="n"/>
      <c r="L468" s="25" t="n"/>
      <c r="M468" s="25" t="n"/>
      <c r="N468" s="26" t="n"/>
      <c r="O468" s="25" t="n"/>
      <c r="P468" s="25" t="n"/>
      <c r="Q468" s="26" t="n"/>
      <c r="R468" s="25">
        <f>IF(AND($A468="",$B468=""),"",IF(Q468="Complete","Onboarded",IF(OR(M468="Member",M468="Ambassador"),"Sponsored",IF(K468&lt;&gt;"","Follow-Up",IF(I468&lt;&gt;"","Presented",IF(F468&lt;&gt;"","Contacted","New Lead"))))))</f>
        <v/>
      </c>
      <c r="S468" s="25" t="n"/>
      <c r="T468" s="25">
        <f>IF(MAX(F468,I468,K468)=0,"",TODAY()-MAX(F468,I468,K468))</f>
        <v/>
      </c>
      <c r="U468" s="25" t="n"/>
      <c r="V468" s="25" t="n"/>
      <c r="W468" s="25">
        <f>IF(AND($A468="",$B468=""),"",IF(M468="Ambassador","1 - Ambassador",IF(M468="Member","2 - Member",IF(J468="Completed","3 - Presented",IF(H468&lt;&gt;"","4 - Sent",IF(F468&lt;&gt;"","5 - Contacted","6 - No Activity"))))))</f>
        <v/>
      </c>
      <c r="X468" s="25">
        <f>IF(AND($A468="",$B468=""),9999999+(ROW()-4),VALUE(LEFT($W468,1))*10000+(ROW()-4))</f>
        <v/>
      </c>
    </row>
    <row r="469" ht="15" customHeight="1" s="20">
      <c r="A469" s="25" t="n"/>
      <c r="B469" s="25" t="n"/>
      <c r="C469" s="25" t="n"/>
      <c r="D469" s="25" t="n"/>
      <c r="E469" s="25" t="n"/>
      <c r="F469" s="26" t="n"/>
      <c r="G469" s="25" t="n"/>
      <c r="H469" s="25" t="n"/>
      <c r="I469" s="26" t="n"/>
      <c r="J469" s="25" t="n"/>
      <c r="K469" s="26" t="n"/>
      <c r="L469" s="25" t="n"/>
      <c r="M469" s="25" t="n"/>
      <c r="N469" s="26" t="n"/>
      <c r="O469" s="25" t="n"/>
      <c r="P469" s="25" t="n"/>
      <c r="Q469" s="26" t="n"/>
      <c r="R469" s="25">
        <f>IF(AND($A469="",$B469=""),"",IF(Q469="Complete","Onboarded",IF(OR(M469="Member",M469="Ambassador"),"Sponsored",IF(K469&lt;&gt;"","Follow-Up",IF(I469&lt;&gt;"","Presented",IF(F469&lt;&gt;"","Contacted","New Lead"))))))</f>
        <v/>
      </c>
      <c r="S469" s="25" t="n"/>
      <c r="T469" s="25">
        <f>IF(MAX(F469,I469,K469)=0,"",TODAY()-MAX(F469,I469,K469))</f>
        <v/>
      </c>
      <c r="U469" s="25" t="n"/>
      <c r="V469" s="25" t="n"/>
      <c r="W469" s="25">
        <f>IF(AND($A469="",$B469=""),"",IF(M469="Ambassador","1 - Ambassador",IF(M469="Member","2 - Member",IF(J469="Completed","3 - Presented",IF(H469&lt;&gt;"","4 - Sent",IF(F469&lt;&gt;"","5 - Contacted","6 - No Activity"))))))</f>
        <v/>
      </c>
      <c r="X469" s="25">
        <f>IF(AND($A469="",$B469=""),9999999+(ROW()-4),VALUE(LEFT($W469,1))*10000+(ROW()-4))</f>
        <v/>
      </c>
    </row>
    <row r="470" ht="15" customHeight="1" s="20">
      <c r="A470" s="25" t="n"/>
      <c r="B470" s="25" t="n"/>
      <c r="C470" s="25" t="n"/>
      <c r="D470" s="25" t="n"/>
      <c r="E470" s="25" t="n"/>
      <c r="F470" s="26" t="n"/>
      <c r="G470" s="25" t="n"/>
      <c r="H470" s="25" t="n"/>
      <c r="I470" s="26" t="n"/>
      <c r="J470" s="25" t="n"/>
      <c r="K470" s="26" t="n"/>
      <c r="L470" s="25" t="n"/>
      <c r="M470" s="25" t="n"/>
      <c r="N470" s="26" t="n"/>
      <c r="O470" s="25" t="n"/>
      <c r="P470" s="25" t="n"/>
      <c r="Q470" s="26" t="n"/>
      <c r="R470" s="25">
        <f>IF(AND($A470="",$B470=""),"",IF(Q470="Complete","Onboarded",IF(OR(M470="Member",M470="Ambassador"),"Sponsored",IF(K470&lt;&gt;"","Follow-Up",IF(I470&lt;&gt;"","Presented",IF(F470&lt;&gt;"","Contacted","New Lead"))))))</f>
        <v/>
      </c>
      <c r="S470" s="25" t="n"/>
      <c r="T470" s="25">
        <f>IF(MAX(F470,I470,K470)=0,"",TODAY()-MAX(F470,I470,K470))</f>
        <v/>
      </c>
      <c r="U470" s="25" t="n"/>
      <c r="V470" s="25" t="n"/>
      <c r="W470" s="25">
        <f>IF(AND($A470="",$B470=""),"",IF(M470="Ambassador","1 - Ambassador",IF(M470="Member","2 - Member",IF(J470="Completed","3 - Presented",IF(H470&lt;&gt;"","4 - Sent",IF(F470&lt;&gt;"","5 - Contacted","6 - No Activity"))))))</f>
        <v/>
      </c>
      <c r="X470" s="25">
        <f>IF(AND($A470="",$B470=""),9999999+(ROW()-4),VALUE(LEFT($W470,1))*10000+(ROW()-4))</f>
        <v/>
      </c>
    </row>
    <row r="471" ht="15" customHeight="1" s="20">
      <c r="A471" s="25" t="n"/>
      <c r="B471" s="25" t="n"/>
      <c r="C471" s="25" t="n"/>
      <c r="D471" s="25" t="n"/>
      <c r="E471" s="25" t="n"/>
      <c r="F471" s="26" t="n"/>
      <c r="G471" s="25" t="n"/>
      <c r="H471" s="25" t="n"/>
      <c r="I471" s="26" t="n"/>
      <c r="J471" s="25" t="n"/>
      <c r="K471" s="26" t="n"/>
      <c r="L471" s="25" t="n"/>
      <c r="M471" s="25" t="n"/>
      <c r="N471" s="26" t="n"/>
      <c r="O471" s="25" t="n"/>
      <c r="P471" s="25" t="n"/>
      <c r="Q471" s="26" t="n"/>
      <c r="R471" s="25">
        <f>IF(AND($A471="",$B471=""),"",IF(Q471="Complete","Onboarded",IF(OR(M471="Member",M471="Ambassador"),"Sponsored",IF(K471&lt;&gt;"","Follow-Up",IF(I471&lt;&gt;"","Presented",IF(F471&lt;&gt;"","Contacted","New Lead"))))))</f>
        <v/>
      </c>
      <c r="S471" s="25" t="n"/>
      <c r="T471" s="25">
        <f>IF(MAX(F471,I471,K471)=0,"",TODAY()-MAX(F471,I471,K471))</f>
        <v/>
      </c>
      <c r="U471" s="25" t="n"/>
      <c r="V471" s="25" t="n"/>
      <c r="W471" s="25">
        <f>IF(AND($A471="",$B471=""),"",IF(M471="Ambassador","1 - Ambassador",IF(M471="Member","2 - Member",IF(J471="Completed","3 - Presented",IF(H471&lt;&gt;"","4 - Sent",IF(F471&lt;&gt;"","5 - Contacted","6 - No Activity"))))))</f>
        <v/>
      </c>
      <c r="X471" s="25">
        <f>IF(AND($A471="",$B471=""),9999999+(ROW()-4),VALUE(LEFT($W471,1))*10000+(ROW()-4))</f>
        <v/>
      </c>
    </row>
    <row r="472" ht="15" customHeight="1" s="20">
      <c r="A472" s="25" t="n"/>
      <c r="B472" s="25" t="n"/>
      <c r="C472" s="25" t="n"/>
      <c r="D472" s="25" t="n"/>
      <c r="E472" s="25" t="n"/>
      <c r="F472" s="26" t="n"/>
      <c r="G472" s="25" t="n"/>
      <c r="H472" s="25" t="n"/>
      <c r="I472" s="26" t="n"/>
      <c r="J472" s="25" t="n"/>
      <c r="K472" s="26" t="n"/>
      <c r="L472" s="25" t="n"/>
      <c r="M472" s="25" t="n"/>
      <c r="N472" s="26" t="n"/>
      <c r="O472" s="25" t="n"/>
      <c r="P472" s="25" t="n"/>
      <c r="Q472" s="26" t="n"/>
      <c r="R472" s="25">
        <f>IF(AND($A472="",$B472=""),"",IF(Q472="Complete","Onboarded",IF(OR(M472="Member",M472="Ambassador"),"Sponsored",IF(K472&lt;&gt;"","Follow-Up",IF(I472&lt;&gt;"","Presented",IF(F472&lt;&gt;"","Contacted","New Lead"))))))</f>
        <v/>
      </c>
      <c r="S472" s="25" t="n"/>
      <c r="T472" s="25">
        <f>IF(MAX(F472,I472,K472)=0,"",TODAY()-MAX(F472,I472,K472))</f>
        <v/>
      </c>
      <c r="U472" s="25" t="n"/>
      <c r="V472" s="25" t="n"/>
      <c r="W472" s="25">
        <f>IF(AND($A472="",$B472=""),"",IF(M472="Ambassador","1 - Ambassador",IF(M472="Member","2 - Member",IF(J472="Completed","3 - Presented",IF(H472&lt;&gt;"","4 - Sent",IF(F472&lt;&gt;"","5 - Contacted","6 - No Activity"))))))</f>
        <v/>
      </c>
      <c r="X472" s="25">
        <f>IF(AND($A472="",$B472=""),9999999+(ROW()-4),VALUE(LEFT($W472,1))*10000+(ROW()-4))</f>
        <v/>
      </c>
    </row>
    <row r="473" ht="15" customHeight="1" s="20">
      <c r="A473" s="25" t="n"/>
      <c r="B473" s="25" t="n"/>
      <c r="C473" s="25" t="n"/>
      <c r="D473" s="25" t="n"/>
      <c r="E473" s="25" t="n"/>
      <c r="F473" s="26" t="n"/>
      <c r="G473" s="25" t="n"/>
      <c r="H473" s="25" t="n"/>
      <c r="I473" s="26" t="n"/>
      <c r="J473" s="25" t="n"/>
      <c r="K473" s="26" t="n"/>
      <c r="L473" s="25" t="n"/>
      <c r="M473" s="25" t="n"/>
      <c r="N473" s="26" t="n"/>
      <c r="O473" s="25" t="n"/>
      <c r="P473" s="25" t="n"/>
      <c r="Q473" s="26" t="n"/>
      <c r="R473" s="25">
        <f>IF(AND($A473="",$B473=""),"",IF(Q473="Complete","Onboarded",IF(OR(M473="Member",M473="Ambassador"),"Sponsored",IF(K473&lt;&gt;"","Follow-Up",IF(I473&lt;&gt;"","Presented",IF(F473&lt;&gt;"","Contacted","New Lead"))))))</f>
        <v/>
      </c>
      <c r="S473" s="25" t="n"/>
      <c r="T473" s="25">
        <f>IF(MAX(F473,I473,K473)=0,"",TODAY()-MAX(F473,I473,K473))</f>
        <v/>
      </c>
      <c r="U473" s="25" t="n"/>
      <c r="V473" s="25" t="n"/>
      <c r="W473" s="25">
        <f>IF(AND($A473="",$B473=""),"",IF(M473="Ambassador","1 - Ambassador",IF(M473="Member","2 - Member",IF(J473="Completed","3 - Presented",IF(H473&lt;&gt;"","4 - Sent",IF(F473&lt;&gt;"","5 - Contacted","6 - No Activity"))))))</f>
        <v/>
      </c>
      <c r="X473" s="25">
        <f>IF(AND($A473="",$B473=""),9999999+(ROW()-4),VALUE(LEFT($W473,1))*10000+(ROW()-4))</f>
        <v/>
      </c>
    </row>
    <row r="474" ht="15" customHeight="1" s="20">
      <c r="A474" s="25" t="n"/>
      <c r="B474" s="25" t="n"/>
      <c r="C474" s="25" t="n"/>
      <c r="D474" s="25" t="n"/>
      <c r="E474" s="25" t="n"/>
      <c r="F474" s="26" t="n"/>
      <c r="G474" s="25" t="n"/>
      <c r="H474" s="25" t="n"/>
      <c r="I474" s="26" t="n"/>
      <c r="J474" s="25" t="n"/>
      <c r="K474" s="26" t="n"/>
      <c r="L474" s="25" t="n"/>
      <c r="M474" s="25" t="n"/>
      <c r="N474" s="26" t="n"/>
      <c r="O474" s="25" t="n"/>
      <c r="P474" s="25" t="n"/>
      <c r="Q474" s="26" t="n"/>
      <c r="R474" s="25">
        <f>IF(AND($A474="",$B474=""),"",IF(Q474="Complete","Onboarded",IF(OR(M474="Member",M474="Ambassador"),"Sponsored",IF(K474&lt;&gt;"","Follow-Up",IF(I474&lt;&gt;"","Presented",IF(F474&lt;&gt;"","Contacted","New Lead"))))))</f>
        <v/>
      </c>
      <c r="S474" s="25" t="n"/>
      <c r="T474" s="25">
        <f>IF(MAX(F474,I474,K474)=0,"",TODAY()-MAX(F474,I474,K474))</f>
        <v/>
      </c>
      <c r="U474" s="25" t="n"/>
      <c r="V474" s="25" t="n"/>
      <c r="W474" s="25">
        <f>IF(AND($A474="",$B474=""),"",IF(M474="Ambassador","1 - Ambassador",IF(M474="Member","2 - Member",IF(J474="Completed","3 - Presented",IF(H474&lt;&gt;"","4 - Sent",IF(F474&lt;&gt;"","5 - Contacted","6 - No Activity"))))))</f>
        <v/>
      </c>
      <c r="X474" s="25">
        <f>IF(AND($A474="",$B474=""),9999999+(ROW()-4),VALUE(LEFT($W474,1))*10000+(ROW()-4))</f>
        <v/>
      </c>
    </row>
    <row r="475" ht="15" customHeight="1" s="20">
      <c r="A475" s="25" t="n"/>
      <c r="B475" s="25" t="n"/>
      <c r="C475" s="25" t="n"/>
      <c r="D475" s="25" t="n"/>
      <c r="E475" s="25" t="n"/>
      <c r="F475" s="26" t="n"/>
      <c r="G475" s="25" t="n"/>
      <c r="H475" s="25" t="n"/>
      <c r="I475" s="26" t="n"/>
      <c r="J475" s="25" t="n"/>
      <c r="K475" s="26" t="n"/>
      <c r="L475" s="25" t="n"/>
      <c r="M475" s="25" t="n"/>
      <c r="N475" s="26" t="n"/>
      <c r="O475" s="25" t="n"/>
      <c r="P475" s="25" t="n"/>
      <c r="Q475" s="26" t="n"/>
      <c r="R475" s="25">
        <f>IF(AND($A475="",$B475=""),"",IF(Q475="Complete","Onboarded",IF(OR(M475="Member",M475="Ambassador"),"Sponsored",IF(K475&lt;&gt;"","Follow-Up",IF(I475&lt;&gt;"","Presented",IF(F475&lt;&gt;"","Contacted","New Lead"))))))</f>
        <v/>
      </c>
      <c r="S475" s="25" t="n"/>
      <c r="T475" s="25">
        <f>IF(MAX(F475,I475,K475)=0,"",TODAY()-MAX(F475,I475,K475))</f>
        <v/>
      </c>
      <c r="U475" s="25" t="n"/>
      <c r="V475" s="25" t="n"/>
      <c r="W475" s="25">
        <f>IF(AND($A475="",$B475=""),"",IF(M475="Ambassador","1 - Ambassador",IF(M475="Member","2 - Member",IF(J475="Completed","3 - Presented",IF(H475&lt;&gt;"","4 - Sent",IF(F475&lt;&gt;"","5 - Contacted","6 - No Activity"))))))</f>
        <v/>
      </c>
      <c r="X475" s="25">
        <f>IF(AND($A475="",$B475=""),9999999+(ROW()-4),VALUE(LEFT($W475,1))*10000+(ROW()-4))</f>
        <v/>
      </c>
    </row>
    <row r="476" ht="15" customHeight="1" s="20">
      <c r="A476" s="25" t="n"/>
      <c r="B476" s="25" t="n"/>
      <c r="C476" s="25" t="n"/>
      <c r="D476" s="25" t="n"/>
      <c r="E476" s="25" t="n"/>
      <c r="F476" s="26" t="n"/>
      <c r="G476" s="25" t="n"/>
      <c r="H476" s="25" t="n"/>
      <c r="I476" s="26" t="n"/>
      <c r="J476" s="25" t="n"/>
      <c r="K476" s="26" t="n"/>
      <c r="L476" s="25" t="n"/>
      <c r="M476" s="25" t="n"/>
      <c r="N476" s="26" t="n"/>
      <c r="O476" s="25" t="n"/>
      <c r="P476" s="25" t="n"/>
      <c r="Q476" s="26" t="n"/>
      <c r="R476" s="25">
        <f>IF(AND($A476="",$B476=""),"",IF(Q476="Complete","Onboarded",IF(OR(M476="Member",M476="Ambassador"),"Sponsored",IF(K476&lt;&gt;"","Follow-Up",IF(I476&lt;&gt;"","Presented",IF(F476&lt;&gt;"","Contacted","New Lead"))))))</f>
        <v/>
      </c>
      <c r="S476" s="25" t="n"/>
      <c r="T476" s="25">
        <f>IF(MAX(F476,I476,K476)=0,"",TODAY()-MAX(F476,I476,K476))</f>
        <v/>
      </c>
      <c r="U476" s="25" t="n"/>
      <c r="V476" s="25" t="n"/>
      <c r="W476" s="25">
        <f>IF(AND($A476="",$B476=""),"",IF(M476="Ambassador","1 - Ambassador",IF(M476="Member","2 - Member",IF(J476="Completed","3 - Presented",IF(H476&lt;&gt;"","4 - Sent",IF(F476&lt;&gt;"","5 - Contacted","6 - No Activity"))))))</f>
        <v/>
      </c>
      <c r="X476" s="25">
        <f>IF(AND($A476="",$B476=""),9999999+(ROW()-4),VALUE(LEFT($W476,1))*10000+(ROW()-4))</f>
        <v/>
      </c>
    </row>
    <row r="477" ht="15" customHeight="1" s="20">
      <c r="A477" s="25" t="n"/>
      <c r="B477" s="25" t="n"/>
      <c r="C477" s="25" t="n"/>
      <c r="D477" s="25" t="n"/>
      <c r="E477" s="25" t="n"/>
      <c r="F477" s="26" t="n"/>
      <c r="G477" s="25" t="n"/>
      <c r="H477" s="25" t="n"/>
      <c r="I477" s="26" t="n"/>
      <c r="J477" s="25" t="n"/>
      <c r="K477" s="26" t="n"/>
      <c r="L477" s="25" t="n"/>
      <c r="M477" s="25" t="n"/>
      <c r="N477" s="26" t="n"/>
      <c r="O477" s="25" t="n"/>
      <c r="P477" s="25" t="n"/>
      <c r="Q477" s="26" t="n"/>
      <c r="R477" s="25">
        <f>IF(AND($A477="",$B477=""),"",IF(Q477="Complete","Onboarded",IF(OR(M477="Member",M477="Ambassador"),"Sponsored",IF(K477&lt;&gt;"","Follow-Up",IF(I477&lt;&gt;"","Presented",IF(F477&lt;&gt;"","Contacted","New Lead"))))))</f>
        <v/>
      </c>
      <c r="S477" s="25" t="n"/>
      <c r="T477" s="25">
        <f>IF(MAX(F477,I477,K477)=0,"",TODAY()-MAX(F477,I477,K477))</f>
        <v/>
      </c>
      <c r="U477" s="25" t="n"/>
      <c r="V477" s="25" t="n"/>
      <c r="W477" s="25">
        <f>IF(AND($A477="",$B477=""),"",IF(M477="Ambassador","1 - Ambassador",IF(M477="Member","2 - Member",IF(J477="Completed","3 - Presented",IF(H477&lt;&gt;"","4 - Sent",IF(F477&lt;&gt;"","5 - Contacted","6 - No Activity"))))))</f>
        <v/>
      </c>
      <c r="X477" s="25">
        <f>IF(AND($A477="",$B477=""),9999999+(ROW()-4),VALUE(LEFT($W477,1))*10000+(ROW()-4))</f>
        <v/>
      </c>
    </row>
    <row r="478" ht="15" customHeight="1" s="20">
      <c r="A478" s="25" t="n"/>
      <c r="B478" s="25" t="n"/>
      <c r="C478" s="25" t="n"/>
      <c r="D478" s="25" t="n"/>
      <c r="E478" s="25" t="n"/>
      <c r="F478" s="26" t="n"/>
      <c r="G478" s="25" t="n"/>
      <c r="H478" s="25" t="n"/>
      <c r="I478" s="26" t="n"/>
      <c r="J478" s="25" t="n"/>
      <c r="K478" s="26" t="n"/>
      <c r="L478" s="25" t="n"/>
      <c r="M478" s="25" t="n"/>
      <c r="N478" s="26" t="n"/>
      <c r="O478" s="25" t="n"/>
      <c r="P478" s="25" t="n"/>
      <c r="Q478" s="26" t="n"/>
      <c r="R478" s="25">
        <f>IF(AND($A478="",$B478=""),"",IF(Q478="Complete","Onboarded",IF(OR(M478="Member",M478="Ambassador"),"Sponsored",IF(K478&lt;&gt;"","Follow-Up",IF(I478&lt;&gt;"","Presented",IF(F478&lt;&gt;"","Contacted","New Lead"))))))</f>
        <v/>
      </c>
      <c r="S478" s="25" t="n"/>
      <c r="T478" s="25">
        <f>IF(MAX(F478,I478,K478)=0,"",TODAY()-MAX(F478,I478,K478))</f>
        <v/>
      </c>
      <c r="U478" s="25" t="n"/>
      <c r="V478" s="25" t="n"/>
      <c r="W478" s="25">
        <f>IF(AND($A478="",$B478=""),"",IF(M478="Ambassador","1 - Ambassador",IF(M478="Member","2 - Member",IF(J478="Completed","3 - Presented",IF(H478&lt;&gt;"","4 - Sent",IF(F478&lt;&gt;"","5 - Contacted","6 - No Activity"))))))</f>
        <v/>
      </c>
      <c r="X478" s="25">
        <f>IF(AND($A478="",$B478=""),9999999+(ROW()-4),VALUE(LEFT($W478,1))*10000+(ROW()-4))</f>
        <v/>
      </c>
    </row>
    <row r="479" ht="15" customHeight="1" s="20">
      <c r="A479" s="25" t="n"/>
      <c r="B479" s="25" t="n"/>
      <c r="C479" s="25" t="n"/>
      <c r="D479" s="25" t="n"/>
      <c r="E479" s="25" t="n"/>
      <c r="F479" s="26" t="n"/>
      <c r="G479" s="25" t="n"/>
      <c r="H479" s="25" t="n"/>
      <c r="I479" s="26" t="n"/>
      <c r="J479" s="25" t="n"/>
      <c r="K479" s="26" t="n"/>
      <c r="L479" s="25" t="n"/>
      <c r="M479" s="25" t="n"/>
      <c r="N479" s="26" t="n"/>
      <c r="O479" s="25" t="n"/>
      <c r="P479" s="25" t="n"/>
      <c r="Q479" s="26" t="n"/>
      <c r="R479" s="25">
        <f>IF(AND($A479="",$B479=""),"",IF(Q479="Complete","Onboarded",IF(OR(M479="Member",M479="Ambassador"),"Sponsored",IF(K479&lt;&gt;"","Follow-Up",IF(I479&lt;&gt;"","Presented",IF(F479&lt;&gt;"","Contacted","New Lead"))))))</f>
        <v/>
      </c>
      <c r="S479" s="25" t="n"/>
      <c r="T479" s="25">
        <f>IF(MAX(F479,I479,K479)=0,"",TODAY()-MAX(F479,I479,K479))</f>
        <v/>
      </c>
      <c r="U479" s="25" t="n"/>
      <c r="V479" s="25" t="n"/>
      <c r="W479" s="25">
        <f>IF(AND($A479="",$B479=""),"",IF(M479="Ambassador","1 - Ambassador",IF(M479="Member","2 - Member",IF(J479="Completed","3 - Presented",IF(H479&lt;&gt;"","4 - Sent",IF(F479&lt;&gt;"","5 - Contacted","6 - No Activity"))))))</f>
        <v/>
      </c>
      <c r="X479" s="25">
        <f>IF(AND($A479="",$B479=""),9999999+(ROW()-4),VALUE(LEFT($W479,1))*10000+(ROW()-4))</f>
        <v/>
      </c>
    </row>
    <row r="480" ht="15" customHeight="1" s="20">
      <c r="A480" s="25" t="n"/>
      <c r="B480" s="25" t="n"/>
      <c r="C480" s="25" t="n"/>
      <c r="D480" s="25" t="n"/>
      <c r="E480" s="25" t="n"/>
      <c r="F480" s="26" t="n"/>
      <c r="G480" s="25" t="n"/>
      <c r="H480" s="25" t="n"/>
      <c r="I480" s="26" t="n"/>
      <c r="J480" s="25" t="n"/>
      <c r="K480" s="26" t="n"/>
      <c r="L480" s="25" t="n"/>
      <c r="M480" s="25" t="n"/>
      <c r="N480" s="26" t="n"/>
      <c r="O480" s="25" t="n"/>
      <c r="P480" s="25" t="n"/>
      <c r="Q480" s="26" t="n"/>
      <c r="R480" s="25">
        <f>IF(AND($A480="",$B480=""),"",IF(Q480="Complete","Onboarded",IF(OR(M480="Member",M480="Ambassador"),"Sponsored",IF(K480&lt;&gt;"","Follow-Up",IF(I480&lt;&gt;"","Presented",IF(F480&lt;&gt;"","Contacted","New Lead"))))))</f>
        <v/>
      </c>
      <c r="S480" s="25" t="n"/>
      <c r="T480" s="25">
        <f>IF(MAX(F480,I480,K480)=0,"",TODAY()-MAX(F480,I480,K480))</f>
        <v/>
      </c>
      <c r="U480" s="25" t="n"/>
      <c r="V480" s="25" t="n"/>
      <c r="W480" s="25">
        <f>IF(AND($A480="",$B480=""),"",IF(M480="Ambassador","1 - Ambassador",IF(M480="Member","2 - Member",IF(J480="Completed","3 - Presented",IF(H480&lt;&gt;"","4 - Sent",IF(F480&lt;&gt;"","5 - Contacted","6 - No Activity"))))))</f>
        <v/>
      </c>
      <c r="X480" s="25">
        <f>IF(AND($A480="",$B480=""),9999999+(ROW()-4),VALUE(LEFT($W480,1))*10000+(ROW()-4))</f>
        <v/>
      </c>
    </row>
    <row r="481" ht="15" customHeight="1" s="20">
      <c r="A481" s="25" t="n"/>
      <c r="B481" s="25" t="n"/>
      <c r="C481" s="25" t="n"/>
      <c r="D481" s="25" t="n"/>
      <c r="E481" s="25" t="n"/>
      <c r="F481" s="26" t="n"/>
      <c r="G481" s="25" t="n"/>
      <c r="H481" s="25" t="n"/>
      <c r="I481" s="26" t="n"/>
      <c r="J481" s="25" t="n"/>
      <c r="K481" s="26" t="n"/>
      <c r="L481" s="25" t="n"/>
      <c r="M481" s="25" t="n"/>
      <c r="N481" s="26" t="n"/>
      <c r="O481" s="25" t="n"/>
      <c r="P481" s="25" t="n"/>
      <c r="Q481" s="26" t="n"/>
      <c r="R481" s="25">
        <f>IF(AND($A481="",$B481=""),"",IF(Q481="Complete","Onboarded",IF(OR(M481="Member",M481="Ambassador"),"Sponsored",IF(K481&lt;&gt;"","Follow-Up",IF(I481&lt;&gt;"","Presented",IF(F481&lt;&gt;"","Contacted","New Lead"))))))</f>
        <v/>
      </c>
      <c r="S481" s="25" t="n"/>
      <c r="T481" s="25">
        <f>IF(MAX(F481,I481,K481)=0,"",TODAY()-MAX(F481,I481,K481))</f>
        <v/>
      </c>
      <c r="U481" s="25" t="n"/>
      <c r="V481" s="25" t="n"/>
      <c r="W481" s="25">
        <f>IF(AND($A481="",$B481=""),"",IF(M481="Ambassador","1 - Ambassador",IF(M481="Member","2 - Member",IF(J481="Completed","3 - Presented",IF(H481&lt;&gt;"","4 - Sent",IF(F481&lt;&gt;"","5 - Contacted","6 - No Activity"))))))</f>
        <v/>
      </c>
      <c r="X481" s="25">
        <f>IF(AND($A481="",$B481=""),9999999+(ROW()-4),VALUE(LEFT($W481,1))*10000+(ROW()-4))</f>
        <v/>
      </c>
    </row>
    <row r="482" ht="15" customHeight="1" s="20">
      <c r="A482" s="25" t="n"/>
      <c r="B482" s="25" t="n"/>
      <c r="C482" s="25" t="n"/>
      <c r="D482" s="25" t="n"/>
      <c r="E482" s="25" t="n"/>
      <c r="F482" s="26" t="n"/>
      <c r="G482" s="25" t="n"/>
      <c r="H482" s="25" t="n"/>
      <c r="I482" s="26" t="n"/>
      <c r="J482" s="25" t="n"/>
      <c r="K482" s="26" t="n"/>
      <c r="L482" s="25" t="n"/>
      <c r="M482" s="25" t="n"/>
      <c r="N482" s="26" t="n"/>
      <c r="O482" s="25" t="n"/>
      <c r="P482" s="25" t="n"/>
      <c r="Q482" s="26" t="n"/>
      <c r="R482" s="25">
        <f>IF(AND($A482="",$B482=""),"",IF(Q482="Complete","Onboarded",IF(OR(M482="Member",M482="Ambassador"),"Sponsored",IF(K482&lt;&gt;"","Follow-Up",IF(I482&lt;&gt;"","Presented",IF(F482&lt;&gt;"","Contacted","New Lead"))))))</f>
        <v/>
      </c>
      <c r="S482" s="25" t="n"/>
      <c r="T482" s="25">
        <f>IF(MAX(F482,I482,K482)=0,"",TODAY()-MAX(F482,I482,K482))</f>
        <v/>
      </c>
      <c r="U482" s="25" t="n"/>
      <c r="V482" s="25" t="n"/>
      <c r="W482" s="25">
        <f>IF(AND($A482="",$B482=""),"",IF(M482="Ambassador","1 - Ambassador",IF(M482="Member","2 - Member",IF(J482="Completed","3 - Presented",IF(H482&lt;&gt;"","4 - Sent",IF(F482&lt;&gt;"","5 - Contacted","6 - No Activity"))))))</f>
        <v/>
      </c>
      <c r="X482" s="25">
        <f>IF(AND($A482="",$B482=""),9999999+(ROW()-4),VALUE(LEFT($W482,1))*10000+(ROW()-4))</f>
        <v/>
      </c>
    </row>
    <row r="483" ht="15" customHeight="1" s="20">
      <c r="A483" s="25" t="n"/>
      <c r="B483" s="25" t="n"/>
      <c r="C483" s="25" t="n"/>
      <c r="D483" s="25" t="n"/>
      <c r="E483" s="25" t="n"/>
      <c r="F483" s="26" t="n"/>
      <c r="G483" s="25" t="n"/>
      <c r="H483" s="25" t="n"/>
      <c r="I483" s="26" t="n"/>
      <c r="J483" s="25" t="n"/>
      <c r="K483" s="26" t="n"/>
      <c r="L483" s="25" t="n"/>
      <c r="M483" s="25" t="n"/>
      <c r="N483" s="26" t="n"/>
      <c r="O483" s="25" t="n"/>
      <c r="P483" s="25" t="n"/>
      <c r="Q483" s="26" t="n"/>
      <c r="R483" s="25">
        <f>IF(AND($A483="",$B483=""),"",IF(Q483="Complete","Onboarded",IF(OR(M483="Member",M483="Ambassador"),"Sponsored",IF(K483&lt;&gt;"","Follow-Up",IF(I483&lt;&gt;"","Presented",IF(F483&lt;&gt;"","Contacted","New Lead"))))))</f>
        <v/>
      </c>
      <c r="S483" s="25" t="n"/>
      <c r="T483" s="25">
        <f>IF(MAX(F483,I483,K483)=0,"",TODAY()-MAX(F483,I483,K483))</f>
        <v/>
      </c>
      <c r="U483" s="25" t="n"/>
      <c r="V483" s="25" t="n"/>
      <c r="W483" s="25">
        <f>IF(AND($A483="",$B483=""),"",IF(M483="Ambassador","1 - Ambassador",IF(M483="Member","2 - Member",IF(J483="Completed","3 - Presented",IF(H483&lt;&gt;"","4 - Sent",IF(F483&lt;&gt;"","5 - Contacted","6 - No Activity"))))))</f>
        <v/>
      </c>
      <c r="X483" s="25">
        <f>IF(AND($A483="",$B483=""),9999999+(ROW()-4),VALUE(LEFT($W483,1))*10000+(ROW()-4))</f>
        <v/>
      </c>
    </row>
    <row r="484" ht="15" customHeight="1" s="20">
      <c r="A484" s="25" t="n"/>
      <c r="B484" s="25" t="n"/>
      <c r="C484" s="25" t="n"/>
      <c r="D484" s="25" t="n"/>
      <c r="E484" s="25" t="n"/>
      <c r="F484" s="26" t="n"/>
      <c r="G484" s="25" t="n"/>
      <c r="H484" s="25" t="n"/>
      <c r="I484" s="26" t="n"/>
      <c r="J484" s="25" t="n"/>
      <c r="K484" s="26" t="n"/>
      <c r="L484" s="25" t="n"/>
      <c r="M484" s="25" t="n"/>
      <c r="N484" s="26" t="n"/>
      <c r="O484" s="25" t="n"/>
      <c r="P484" s="25" t="n"/>
      <c r="Q484" s="26" t="n"/>
      <c r="R484" s="25">
        <f>IF(AND($A484="",$B484=""),"",IF(Q484="Complete","Onboarded",IF(OR(M484="Member",M484="Ambassador"),"Sponsored",IF(K484&lt;&gt;"","Follow-Up",IF(I484&lt;&gt;"","Presented",IF(F484&lt;&gt;"","Contacted","New Lead"))))))</f>
        <v/>
      </c>
      <c r="S484" s="25" t="n"/>
      <c r="T484" s="25">
        <f>IF(MAX(F484,I484,K484)=0,"",TODAY()-MAX(F484,I484,K484))</f>
        <v/>
      </c>
      <c r="U484" s="25" t="n"/>
      <c r="V484" s="25" t="n"/>
      <c r="W484" s="25">
        <f>IF(AND($A484="",$B484=""),"",IF(M484="Ambassador","1 - Ambassador",IF(M484="Member","2 - Member",IF(J484="Completed","3 - Presented",IF(H484&lt;&gt;"","4 - Sent",IF(F484&lt;&gt;"","5 - Contacted","6 - No Activity"))))))</f>
        <v/>
      </c>
      <c r="X484" s="25">
        <f>IF(AND($A484="",$B484=""),9999999+(ROW()-4),VALUE(LEFT($W484,1))*10000+(ROW()-4))</f>
        <v/>
      </c>
    </row>
    <row r="485" ht="15" customHeight="1" s="20">
      <c r="A485" s="25" t="n"/>
      <c r="B485" s="25" t="n"/>
      <c r="C485" s="25" t="n"/>
      <c r="D485" s="25" t="n"/>
      <c r="E485" s="25" t="n"/>
      <c r="F485" s="26" t="n"/>
      <c r="G485" s="25" t="n"/>
      <c r="H485" s="25" t="n"/>
      <c r="I485" s="26" t="n"/>
      <c r="J485" s="25" t="n"/>
      <c r="K485" s="26" t="n"/>
      <c r="L485" s="25" t="n"/>
      <c r="M485" s="25" t="n"/>
      <c r="N485" s="26" t="n"/>
      <c r="O485" s="25" t="n"/>
      <c r="P485" s="25" t="n"/>
      <c r="Q485" s="26" t="n"/>
      <c r="R485" s="25">
        <f>IF(AND($A485="",$B485=""),"",IF(Q485="Complete","Onboarded",IF(OR(M485="Member",M485="Ambassador"),"Sponsored",IF(K485&lt;&gt;"","Follow-Up",IF(I485&lt;&gt;"","Presented",IF(F485&lt;&gt;"","Contacted","New Lead"))))))</f>
        <v/>
      </c>
      <c r="S485" s="25" t="n"/>
      <c r="T485" s="25">
        <f>IF(MAX(F485,I485,K485)=0,"",TODAY()-MAX(F485,I485,K485))</f>
        <v/>
      </c>
      <c r="U485" s="25" t="n"/>
      <c r="V485" s="25" t="n"/>
      <c r="W485" s="25">
        <f>IF(AND($A485="",$B485=""),"",IF(M485="Ambassador","1 - Ambassador",IF(M485="Member","2 - Member",IF(J485="Completed","3 - Presented",IF(H485&lt;&gt;"","4 - Sent",IF(F485&lt;&gt;"","5 - Contacted","6 - No Activity"))))))</f>
        <v/>
      </c>
      <c r="X485" s="25">
        <f>IF(AND($A485="",$B485=""),9999999+(ROW()-4),VALUE(LEFT($W485,1))*10000+(ROW()-4))</f>
        <v/>
      </c>
    </row>
    <row r="486" ht="15" customHeight="1" s="20">
      <c r="A486" s="25" t="n"/>
      <c r="B486" s="25" t="n"/>
      <c r="C486" s="25" t="n"/>
      <c r="D486" s="25" t="n"/>
      <c r="E486" s="25" t="n"/>
      <c r="F486" s="26" t="n"/>
      <c r="G486" s="25" t="n"/>
      <c r="H486" s="25" t="n"/>
      <c r="I486" s="26" t="n"/>
      <c r="J486" s="25" t="n"/>
      <c r="K486" s="26" t="n"/>
      <c r="L486" s="25" t="n"/>
      <c r="M486" s="25" t="n"/>
      <c r="N486" s="26" t="n"/>
      <c r="O486" s="25" t="n"/>
      <c r="P486" s="25" t="n"/>
      <c r="Q486" s="26" t="n"/>
      <c r="R486" s="25">
        <f>IF(AND($A486="",$B486=""),"",IF(Q486="Complete","Onboarded",IF(OR(M486="Member",M486="Ambassador"),"Sponsored",IF(K486&lt;&gt;"","Follow-Up",IF(I486&lt;&gt;"","Presented",IF(F486&lt;&gt;"","Contacted","New Lead"))))))</f>
        <v/>
      </c>
      <c r="S486" s="25" t="n"/>
      <c r="T486" s="25">
        <f>IF(MAX(F486,I486,K486)=0,"",TODAY()-MAX(F486,I486,K486))</f>
        <v/>
      </c>
      <c r="U486" s="25" t="n"/>
      <c r="V486" s="25" t="n"/>
      <c r="W486" s="25">
        <f>IF(AND($A486="",$B486=""),"",IF(M486="Ambassador","1 - Ambassador",IF(M486="Member","2 - Member",IF(J486="Completed","3 - Presented",IF(H486&lt;&gt;"","4 - Sent",IF(F486&lt;&gt;"","5 - Contacted","6 - No Activity"))))))</f>
        <v/>
      </c>
      <c r="X486" s="25">
        <f>IF(AND($A486="",$B486=""),9999999+(ROW()-4),VALUE(LEFT($W486,1))*10000+(ROW()-4))</f>
        <v/>
      </c>
    </row>
    <row r="487" ht="15" customHeight="1" s="20">
      <c r="A487" s="25" t="n"/>
      <c r="B487" s="25" t="n"/>
      <c r="C487" s="25" t="n"/>
      <c r="D487" s="25" t="n"/>
      <c r="E487" s="25" t="n"/>
      <c r="F487" s="26" t="n"/>
      <c r="G487" s="25" t="n"/>
      <c r="H487" s="25" t="n"/>
      <c r="I487" s="26" t="n"/>
      <c r="J487" s="25" t="n"/>
      <c r="K487" s="26" t="n"/>
      <c r="L487" s="25" t="n"/>
      <c r="M487" s="25" t="n"/>
      <c r="N487" s="26" t="n"/>
      <c r="O487" s="25" t="n"/>
      <c r="P487" s="25" t="n"/>
      <c r="Q487" s="26" t="n"/>
      <c r="R487" s="25">
        <f>IF(AND($A487="",$B487=""),"",IF(Q487="Complete","Onboarded",IF(OR(M487="Member",M487="Ambassador"),"Sponsored",IF(K487&lt;&gt;"","Follow-Up",IF(I487&lt;&gt;"","Presented",IF(F487&lt;&gt;"","Contacted","New Lead"))))))</f>
        <v/>
      </c>
      <c r="S487" s="25" t="n"/>
      <c r="T487" s="25">
        <f>IF(MAX(F487,I487,K487)=0,"",TODAY()-MAX(F487,I487,K487))</f>
        <v/>
      </c>
      <c r="U487" s="25" t="n"/>
      <c r="V487" s="25" t="n"/>
      <c r="W487" s="25">
        <f>IF(AND($A487="",$B487=""),"",IF(M487="Ambassador","1 - Ambassador",IF(M487="Member","2 - Member",IF(J487="Completed","3 - Presented",IF(H487&lt;&gt;"","4 - Sent",IF(F487&lt;&gt;"","5 - Contacted","6 - No Activity"))))))</f>
        <v/>
      </c>
      <c r="X487" s="25">
        <f>IF(AND($A487="",$B487=""),9999999+(ROW()-4),VALUE(LEFT($W487,1))*10000+(ROW()-4))</f>
        <v/>
      </c>
    </row>
    <row r="488" ht="15" customHeight="1" s="20">
      <c r="A488" s="25" t="n"/>
      <c r="B488" s="25" t="n"/>
      <c r="C488" s="25" t="n"/>
      <c r="D488" s="25" t="n"/>
      <c r="E488" s="25" t="n"/>
      <c r="F488" s="26" t="n"/>
      <c r="G488" s="25" t="n"/>
      <c r="H488" s="25" t="n"/>
      <c r="I488" s="26" t="n"/>
      <c r="J488" s="25" t="n"/>
      <c r="K488" s="26" t="n"/>
      <c r="L488" s="25" t="n"/>
      <c r="M488" s="25" t="n"/>
      <c r="N488" s="26" t="n"/>
      <c r="O488" s="25" t="n"/>
      <c r="P488" s="25" t="n"/>
      <c r="Q488" s="26" t="n"/>
      <c r="R488" s="25">
        <f>IF(AND($A488="",$B488=""),"",IF(Q488="Complete","Onboarded",IF(OR(M488="Member",M488="Ambassador"),"Sponsored",IF(K488&lt;&gt;"","Follow-Up",IF(I488&lt;&gt;"","Presented",IF(F488&lt;&gt;"","Contacted","New Lead"))))))</f>
        <v/>
      </c>
      <c r="S488" s="25" t="n"/>
      <c r="T488" s="25">
        <f>IF(MAX(F488,I488,K488)=0,"",TODAY()-MAX(F488,I488,K488))</f>
        <v/>
      </c>
      <c r="U488" s="25" t="n"/>
      <c r="V488" s="25" t="n"/>
      <c r="W488" s="25">
        <f>IF(AND($A488="",$B488=""),"",IF(M488="Ambassador","1 - Ambassador",IF(M488="Member","2 - Member",IF(J488="Completed","3 - Presented",IF(H488&lt;&gt;"","4 - Sent",IF(F488&lt;&gt;"","5 - Contacted","6 - No Activity"))))))</f>
        <v/>
      </c>
      <c r="X488" s="25">
        <f>IF(AND($A488="",$B488=""),9999999+(ROW()-4),VALUE(LEFT($W488,1))*10000+(ROW()-4))</f>
        <v/>
      </c>
    </row>
    <row r="489" ht="15" customHeight="1" s="20">
      <c r="A489" s="25" t="n"/>
      <c r="B489" s="25" t="n"/>
      <c r="C489" s="25" t="n"/>
      <c r="D489" s="25" t="n"/>
      <c r="E489" s="25" t="n"/>
      <c r="F489" s="26" t="n"/>
      <c r="G489" s="25" t="n"/>
      <c r="H489" s="25" t="n"/>
      <c r="I489" s="26" t="n"/>
      <c r="J489" s="25" t="n"/>
      <c r="K489" s="26" t="n"/>
      <c r="L489" s="25" t="n"/>
      <c r="M489" s="25" t="n"/>
      <c r="N489" s="26" t="n"/>
      <c r="O489" s="25" t="n"/>
      <c r="P489" s="25" t="n"/>
      <c r="Q489" s="26" t="n"/>
      <c r="R489" s="25">
        <f>IF(AND($A489="",$B489=""),"",IF(Q489="Complete","Onboarded",IF(OR(M489="Member",M489="Ambassador"),"Sponsored",IF(K489&lt;&gt;"","Follow-Up",IF(I489&lt;&gt;"","Presented",IF(F489&lt;&gt;"","Contacted","New Lead"))))))</f>
        <v/>
      </c>
      <c r="S489" s="25" t="n"/>
      <c r="T489" s="25">
        <f>IF(MAX(F489,I489,K489)=0,"",TODAY()-MAX(F489,I489,K489))</f>
        <v/>
      </c>
      <c r="U489" s="25" t="n"/>
      <c r="V489" s="25" t="n"/>
      <c r="W489" s="25">
        <f>IF(AND($A489="",$B489=""),"",IF(M489="Ambassador","1 - Ambassador",IF(M489="Member","2 - Member",IF(J489="Completed","3 - Presented",IF(H489&lt;&gt;"","4 - Sent",IF(F489&lt;&gt;"","5 - Contacted","6 - No Activity"))))))</f>
        <v/>
      </c>
      <c r="X489" s="25">
        <f>IF(AND($A489="",$B489=""),9999999+(ROW()-4),VALUE(LEFT($W489,1))*10000+(ROW()-4))</f>
        <v/>
      </c>
    </row>
    <row r="490" ht="15" customHeight="1" s="20">
      <c r="A490" s="25" t="n"/>
      <c r="B490" s="25" t="n"/>
      <c r="C490" s="25" t="n"/>
      <c r="D490" s="25" t="n"/>
      <c r="E490" s="25" t="n"/>
      <c r="F490" s="26" t="n"/>
      <c r="G490" s="25" t="n"/>
      <c r="H490" s="25" t="n"/>
      <c r="I490" s="26" t="n"/>
      <c r="J490" s="25" t="n"/>
      <c r="K490" s="26" t="n"/>
      <c r="L490" s="25" t="n"/>
      <c r="M490" s="25" t="n"/>
      <c r="N490" s="26" t="n"/>
      <c r="O490" s="25" t="n"/>
      <c r="P490" s="25" t="n"/>
      <c r="Q490" s="26" t="n"/>
      <c r="R490" s="25">
        <f>IF(AND($A490="",$B490=""),"",IF(Q490="Complete","Onboarded",IF(OR(M490="Member",M490="Ambassador"),"Sponsored",IF(K490&lt;&gt;"","Follow-Up",IF(I490&lt;&gt;"","Presented",IF(F490&lt;&gt;"","Contacted","New Lead"))))))</f>
        <v/>
      </c>
      <c r="S490" s="25" t="n"/>
      <c r="T490" s="25">
        <f>IF(MAX(F490,I490,K490)=0,"",TODAY()-MAX(F490,I490,K490))</f>
        <v/>
      </c>
      <c r="U490" s="25" t="n"/>
      <c r="V490" s="25" t="n"/>
      <c r="W490" s="25">
        <f>IF(AND($A490="",$B490=""),"",IF(M490="Ambassador","1 - Ambassador",IF(M490="Member","2 - Member",IF(J490="Completed","3 - Presented",IF(H490&lt;&gt;"","4 - Sent",IF(F490&lt;&gt;"","5 - Contacted","6 - No Activity"))))))</f>
        <v/>
      </c>
      <c r="X490" s="25">
        <f>IF(AND($A490="",$B490=""),9999999+(ROW()-4),VALUE(LEFT($W490,1))*10000+(ROW()-4))</f>
        <v/>
      </c>
    </row>
    <row r="491" ht="15" customHeight="1" s="20">
      <c r="A491" s="25" t="n"/>
      <c r="B491" s="25" t="n"/>
      <c r="C491" s="25" t="n"/>
      <c r="D491" s="25" t="n"/>
      <c r="E491" s="25" t="n"/>
      <c r="F491" s="26" t="n"/>
      <c r="G491" s="25" t="n"/>
      <c r="H491" s="25" t="n"/>
      <c r="I491" s="26" t="n"/>
      <c r="J491" s="25" t="n"/>
      <c r="K491" s="26" t="n"/>
      <c r="L491" s="25" t="n"/>
      <c r="M491" s="25" t="n"/>
      <c r="N491" s="26" t="n"/>
      <c r="O491" s="25" t="n"/>
      <c r="P491" s="25" t="n"/>
      <c r="Q491" s="26" t="n"/>
      <c r="R491" s="25">
        <f>IF(AND($A491="",$B491=""),"",IF(Q491="Complete","Onboarded",IF(OR(M491="Member",M491="Ambassador"),"Sponsored",IF(K491&lt;&gt;"","Follow-Up",IF(I491&lt;&gt;"","Presented",IF(F491&lt;&gt;"","Contacted","New Lead"))))))</f>
        <v/>
      </c>
      <c r="S491" s="25" t="n"/>
      <c r="T491" s="25">
        <f>IF(MAX(F491,I491,K491)=0,"",TODAY()-MAX(F491,I491,K491))</f>
        <v/>
      </c>
      <c r="U491" s="25" t="n"/>
      <c r="V491" s="25" t="n"/>
      <c r="W491" s="25">
        <f>IF(AND($A491="",$B491=""),"",IF(M491="Ambassador","1 - Ambassador",IF(M491="Member","2 - Member",IF(J491="Completed","3 - Presented",IF(H491&lt;&gt;"","4 - Sent",IF(F491&lt;&gt;"","5 - Contacted","6 - No Activity"))))))</f>
        <v/>
      </c>
      <c r="X491" s="25">
        <f>IF(AND($A491="",$B491=""),9999999+(ROW()-4),VALUE(LEFT($W491,1))*10000+(ROW()-4))</f>
        <v/>
      </c>
    </row>
    <row r="492" ht="15" customHeight="1" s="20">
      <c r="A492" s="25" t="n"/>
      <c r="B492" s="25" t="n"/>
      <c r="C492" s="25" t="n"/>
      <c r="D492" s="25" t="n"/>
      <c r="E492" s="25" t="n"/>
      <c r="F492" s="26" t="n"/>
      <c r="G492" s="25" t="n"/>
      <c r="H492" s="25" t="n"/>
      <c r="I492" s="26" t="n"/>
      <c r="J492" s="25" t="n"/>
      <c r="K492" s="26" t="n"/>
      <c r="L492" s="25" t="n"/>
      <c r="M492" s="25" t="n"/>
      <c r="N492" s="26" t="n"/>
      <c r="O492" s="25" t="n"/>
      <c r="P492" s="25" t="n"/>
      <c r="Q492" s="26" t="n"/>
      <c r="R492" s="25">
        <f>IF(AND($A492="",$B492=""),"",IF(Q492="Complete","Onboarded",IF(OR(M492="Member",M492="Ambassador"),"Sponsored",IF(K492&lt;&gt;"","Follow-Up",IF(I492&lt;&gt;"","Presented",IF(F492&lt;&gt;"","Contacted","New Lead"))))))</f>
        <v/>
      </c>
      <c r="S492" s="25" t="n"/>
      <c r="T492" s="25">
        <f>IF(MAX(F492,I492,K492)=0,"",TODAY()-MAX(F492,I492,K492))</f>
        <v/>
      </c>
      <c r="U492" s="25" t="n"/>
      <c r="V492" s="25" t="n"/>
      <c r="W492" s="25">
        <f>IF(AND($A492="",$B492=""),"",IF(M492="Ambassador","1 - Ambassador",IF(M492="Member","2 - Member",IF(J492="Completed","3 - Presented",IF(H492&lt;&gt;"","4 - Sent",IF(F492&lt;&gt;"","5 - Contacted","6 - No Activity"))))))</f>
        <v/>
      </c>
      <c r="X492" s="25">
        <f>IF(AND($A492="",$B492=""),9999999+(ROW()-4),VALUE(LEFT($W492,1))*10000+(ROW()-4))</f>
        <v/>
      </c>
    </row>
    <row r="493" ht="15" customHeight="1" s="20">
      <c r="A493" s="25" t="n"/>
      <c r="B493" s="25" t="n"/>
      <c r="C493" s="25" t="n"/>
      <c r="D493" s="25" t="n"/>
      <c r="E493" s="25" t="n"/>
      <c r="F493" s="26" t="n"/>
      <c r="G493" s="25" t="n"/>
      <c r="H493" s="25" t="n"/>
      <c r="I493" s="26" t="n"/>
      <c r="J493" s="25" t="n"/>
      <c r="K493" s="26" t="n"/>
      <c r="L493" s="25" t="n"/>
      <c r="M493" s="25" t="n"/>
      <c r="N493" s="26" t="n"/>
      <c r="O493" s="25" t="n"/>
      <c r="P493" s="25" t="n"/>
      <c r="Q493" s="26" t="n"/>
      <c r="R493" s="25">
        <f>IF(AND($A493="",$B493=""),"",IF(Q493="Complete","Onboarded",IF(OR(M493="Member",M493="Ambassador"),"Sponsored",IF(K493&lt;&gt;"","Follow-Up",IF(I493&lt;&gt;"","Presented",IF(F493&lt;&gt;"","Contacted","New Lead"))))))</f>
        <v/>
      </c>
      <c r="S493" s="25" t="n"/>
      <c r="T493" s="25">
        <f>IF(MAX(F493,I493,K493)=0,"",TODAY()-MAX(F493,I493,K493))</f>
        <v/>
      </c>
      <c r="U493" s="25" t="n"/>
      <c r="V493" s="25" t="n"/>
      <c r="W493" s="25">
        <f>IF(AND($A493="",$B493=""),"",IF(M493="Ambassador","1 - Ambassador",IF(M493="Member","2 - Member",IF(J493="Completed","3 - Presented",IF(H493&lt;&gt;"","4 - Sent",IF(F493&lt;&gt;"","5 - Contacted","6 - No Activity"))))))</f>
        <v/>
      </c>
      <c r="X493" s="25">
        <f>IF(AND($A493="",$B493=""),9999999+(ROW()-4),VALUE(LEFT($W493,1))*10000+(ROW()-4))</f>
        <v/>
      </c>
    </row>
    <row r="494" ht="15" customHeight="1" s="20">
      <c r="A494" s="25" t="n"/>
      <c r="B494" s="25" t="n"/>
      <c r="C494" s="25" t="n"/>
      <c r="D494" s="25" t="n"/>
      <c r="E494" s="25" t="n"/>
      <c r="F494" s="26" t="n"/>
      <c r="G494" s="25" t="n"/>
      <c r="H494" s="25" t="n"/>
      <c r="I494" s="26" t="n"/>
      <c r="J494" s="25" t="n"/>
      <c r="K494" s="26" t="n"/>
      <c r="L494" s="25" t="n"/>
      <c r="M494" s="25" t="n"/>
      <c r="N494" s="26" t="n"/>
      <c r="O494" s="25" t="n"/>
      <c r="P494" s="25" t="n"/>
      <c r="Q494" s="26" t="n"/>
      <c r="R494" s="25">
        <f>IF(AND($A494="",$B494=""),"",IF(Q494="Complete","Onboarded",IF(OR(M494="Member",M494="Ambassador"),"Sponsored",IF(K494&lt;&gt;"","Follow-Up",IF(I494&lt;&gt;"","Presented",IF(F494&lt;&gt;"","Contacted","New Lead"))))))</f>
        <v/>
      </c>
      <c r="S494" s="25" t="n"/>
      <c r="T494" s="25">
        <f>IF(MAX(F494,I494,K494)=0,"",TODAY()-MAX(F494,I494,K494))</f>
        <v/>
      </c>
      <c r="U494" s="25" t="n"/>
      <c r="V494" s="25" t="n"/>
      <c r="W494" s="25">
        <f>IF(AND($A494="",$B494=""),"",IF(M494="Ambassador","1 - Ambassador",IF(M494="Member","2 - Member",IF(J494="Completed","3 - Presented",IF(H494&lt;&gt;"","4 - Sent",IF(F494&lt;&gt;"","5 - Contacted","6 - No Activity"))))))</f>
        <v/>
      </c>
      <c r="X494" s="25">
        <f>IF(AND($A494="",$B494=""),9999999+(ROW()-4),VALUE(LEFT($W494,1))*10000+(ROW()-4))</f>
        <v/>
      </c>
    </row>
    <row r="495" ht="15" customHeight="1" s="20">
      <c r="A495" s="25" t="n"/>
      <c r="B495" s="25" t="n"/>
      <c r="C495" s="25" t="n"/>
      <c r="D495" s="25" t="n"/>
      <c r="E495" s="25" t="n"/>
      <c r="F495" s="26" t="n"/>
      <c r="G495" s="25" t="n"/>
      <c r="H495" s="25" t="n"/>
      <c r="I495" s="26" t="n"/>
      <c r="J495" s="25" t="n"/>
      <c r="K495" s="26" t="n"/>
      <c r="L495" s="25" t="n"/>
      <c r="M495" s="25" t="n"/>
      <c r="N495" s="26" t="n"/>
      <c r="O495" s="25" t="n"/>
      <c r="P495" s="25" t="n"/>
      <c r="Q495" s="26" t="n"/>
      <c r="R495" s="25">
        <f>IF(AND($A495="",$B495=""),"",IF(Q495="Complete","Onboarded",IF(OR(M495="Member",M495="Ambassador"),"Sponsored",IF(K495&lt;&gt;"","Follow-Up",IF(I495&lt;&gt;"","Presented",IF(F495&lt;&gt;"","Contacted","New Lead"))))))</f>
        <v/>
      </c>
      <c r="S495" s="25" t="n"/>
      <c r="T495" s="25">
        <f>IF(MAX(F495,I495,K495)=0,"",TODAY()-MAX(F495,I495,K495))</f>
        <v/>
      </c>
      <c r="U495" s="25" t="n"/>
      <c r="V495" s="25" t="n"/>
      <c r="W495" s="25">
        <f>IF(AND($A495="",$B495=""),"",IF(M495="Ambassador","1 - Ambassador",IF(M495="Member","2 - Member",IF(J495="Completed","3 - Presented",IF(H495&lt;&gt;"","4 - Sent",IF(F495&lt;&gt;"","5 - Contacted","6 - No Activity"))))))</f>
        <v/>
      </c>
      <c r="X495" s="25">
        <f>IF(AND($A495="",$B495=""),9999999+(ROW()-4),VALUE(LEFT($W495,1))*10000+(ROW()-4))</f>
        <v/>
      </c>
    </row>
    <row r="496" ht="15" customHeight="1" s="20">
      <c r="A496" s="25" t="n"/>
      <c r="B496" s="25" t="n"/>
      <c r="C496" s="25" t="n"/>
      <c r="D496" s="25" t="n"/>
      <c r="E496" s="25" t="n"/>
      <c r="F496" s="26" t="n"/>
      <c r="G496" s="25" t="n"/>
      <c r="H496" s="25" t="n"/>
      <c r="I496" s="26" t="n"/>
      <c r="J496" s="25" t="n"/>
      <c r="K496" s="26" t="n"/>
      <c r="L496" s="25" t="n"/>
      <c r="M496" s="25" t="n"/>
      <c r="N496" s="26" t="n"/>
      <c r="O496" s="25" t="n"/>
      <c r="P496" s="25" t="n"/>
      <c r="Q496" s="26" t="n"/>
      <c r="R496" s="25">
        <f>IF(AND($A496="",$B496=""),"",IF(Q496="Complete","Onboarded",IF(OR(M496="Member",M496="Ambassador"),"Sponsored",IF(K496&lt;&gt;"","Follow-Up",IF(I496&lt;&gt;"","Presented",IF(F496&lt;&gt;"","Contacted","New Lead"))))))</f>
        <v/>
      </c>
      <c r="S496" s="25" t="n"/>
      <c r="T496" s="25">
        <f>IF(MAX(F496,I496,K496)=0,"",TODAY()-MAX(F496,I496,K496))</f>
        <v/>
      </c>
      <c r="U496" s="25" t="n"/>
      <c r="V496" s="25" t="n"/>
      <c r="W496" s="25">
        <f>IF(AND($A496="",$B496=""),"",IF(M496="Ambassador","1 - Ambassador",IF(M496="Member","2 - Member",IF(J496="Completed","3 - Presented",IF(H496&lt;&gt;"","4 - Sent",IF(F496&lt;&gt;"","5 - Contacted","6 - No Activity"))))))</f>
        <v/>
      </c>
      <c r="X496" s="25">
        <f>IF(AND($A496="",$B496=""),9999999+(ROW()-4),VALUE(LEFT($W496,1))*10000+(ROW()-4))</f>
        <v/>
      </c>
    </row>
    <row r="497" ht="15" customHeight="1" s="20">
      <c r="A497" s="25" t="n"/>
      <c r="B497" s="25" t="n"/>
      <c r="C497" s="25" t="n"/>
      <c r="D497" s="25" t="n"/>
      <c r="E497" s="25" t="n"/>
      <c r="F497" s="26" t="n"/>
      <c r="G497" s="25" t="n"/>
      <c r="H497" s="25" t="n"/>
      <c r="I497" s="26" t="n"/>
      <c r="J497" s="25" t="n"/>
      <c r="K497" s="26" t="n"/>
      <c r="L497" s="25" t="n"/>
      <c r="M497" s="25" t="n"/>
      <c r="N497" s="26" t="n"/>
      <c r="O497" s="25" t="n"/>
      <c r="P497" s="25" t="n"/>
      <c r="Q497" s="26" t="n"/>
      <c r="R497" s="25">
        <f>IF(AND($A497="",$B497=""),"",IF(Q497="Complete","Onboarded",IF(OR(M497="Member",M497="Ambassador"),"Sponsored",IF(K497&lt;&gt;"","Follow-Up",IF(I497&lt;&gt;"","Presented",IF(F497&lt;&gt;"","Contacted","New Lead"))))))</f>
        <v/>
      </c>
      <c r="S497" s="25" t="n"/>
      <c r="T497" s="25">
        <f>IF(MAX(F497,I497,K497)=0,"",TODAY()-MAX(F497,I497,K497))</f>
        <v/>
      </c>
      <c r="U497" s="25" t="n"/>
      <c r="V497" s="25" t="n"/>
      <c r="W497" s="25">
        <f>IF(AND($A497="",$B497=""),"",IF(M497="Ambassador","1 - Ambassador",IF(M497="Member","2 - Member",IF(J497="Completed","3 - Presented",IF(H497&lt;&gt;"","4 - Sent",IF(F497&lt;&gt;"","5 - Contacted","6 - No Activity"))))))</f>
        <v/>
      </c>
      <c r="X497" s="25">
        <f>IF(AND($A497="",$B497=""),9999999+(ROW()-4),VALUE(LEFT($W497,1))*10000+(ROW()-4))</f>
        <v/>
      </c>
    </row>
    <row r="498" ht="15" customHeight="1" s="20">
      <c r="A498" s="25" t="n"/>
      <c r="B498" s="25" t="n"/>
      <c r="C498" s="25" t="n"/>
      <c r="D498" s="25" t="n"/>
      <c r="E498" s="25" t="n"/>
      <c r="F498" s="26" t="n"/>
      <c r="G498" s="25" t="n"/>
      <c r="H498" s="25" t="n"/>
      <c r="I498" s="26" t="n"/>
      <c r="J498" s="25" t="n"/>
      <c r="K498" s="26" t="n"/>
      <c r="L498" s="25" t="n"/>
      <c r="M498" s="25" t="n"/>
      <c r="N498" s="26" t="n"/>
      <c r="O498" s="25" t="n"/>
      <c r="P498" s="25" t="n"/>
      <c r="Q498" s="26" t="n"/>
      <c r="R498" s="25">
        <f>IF(AND($A498="",$B498=""),"",IF(Q498="Complete","Onboarded",IF(OR(M498="Member",M498="Ambassador"),"Sponsored",IF(K498&lt;&gt;"","Follow-Up",IF(I498&lt;&gt;"","Presented",IF(F498&lt;&gt;"","Contacted","New Lead"))))))</f>
        <v/>
      </c>
      <c r="S498" s="25" t="n"/>
      <c r="T498" s="25">
        <f>IF(MAX(F498,I498,K498)=0,"",TODAY()-MAX(F498,I498,K498))</f>
        <v/>
      </c>
      <c r="U498" s="25" t="n"/>
      <c r="V498" s="25" t="n"/>
      <c r="W498" s="25">
        <f>IF(AND($A498="",$B498=""),"",IF(M498="Ambassador","1 - Ambassador",IF(M498="Member","2 - Member",IF(J498="Completed","3 - Presented",IF(H498&lt;&gt;"","4 - Sent",IF(F498&lt;&gt;"","5 - Contacted","6 - No Activity"))))))</f>
        <v/>
      </c>
      <c r="X498" s="25">
        <f>IF(AND($A498="",$B498=""),9999999+(ROW()-4),VALUE(LEFT($W498,1))*10000+(ROW()-4))</f>
        <v/>
      </c>
    </row>
    <row r="499" ht="15" customHeight="1" s="20">
      <c r="A499" s="25" t="n"/>
      <c r="B499" s="25" t="n"/>
      <c r="C499" s="25" t="n"/>
      <c r="D499" s="25" t="n"/>
      <c r="E499" s="25" t="n"/>
      <c r="F499" s="26" t="n"/>
      <c r="G499" s="25" t="n"/>
      <c r="H499" s="25" t="n"/>
      <c r="I499" s="26" t="n"/>
      <c r="J499" s="25" t="n"/>
      <c r="K499" s="26" t="n"/>
      <c r="L499" s="25" t="n"/>
      <c r="M499" s="25" t="n"/>
      <c r="N499" s="26" t="n"/>
      <c r="O499" s="25" t="n"/>
      <c r="P499" s="25" t="n"/>
      <c r="Q499" s="26" t="n"/>
      <c r="R499" s="25">
        <f>IF(AND($A499="",$B499=""),"",IF(Q499="Complete","Onboarded",IF(OR(M499="Member",M499="Ambassador"),"Sponsored",IF(K499&lt;&gt;"","Follow-Up",IF(I499&lt;&gt;"","Presented",IF(F499&lt;&gt;"","Contacted","New Lead"))))))</f>
        <v/>
      </c>
      <c r="S499" s="25" t="n"/>
      <c r="T499" s="25">
        <f>IF(MAX(F499,I499,K499)=0,"",TODAY()-MAX(F499,I499,K499))</f>
        <v/>
      </c>
      <c r="U499" s="25" t="n"/>
      <c r="V499" s="25" t="n"/>
      <c r="W499" s="25">
        <f>IF(AND($A499="",$B499=""),"",IF(M499="Ambassador","1 - Ambassador",IF(M499="Member","2 - Member",IF(J499="Completed","3 - Presented",IF(H499&lt;&gt;"","4 - Sent",IF(F499&lt;&gt;"","5 - Contacted","6 - No Activity"))))))</f>
        <v/>
      </c>
      <c r="X499" s="25">
        <f>IF(AND($A499="",$B499=""),9999999+(ROW()-4),VALUE(LEFT($W499,1))*10000+(ROW()-4))</f>
        <v/>
      </c>
    </row>
    <row r="500" ht="15" customHeight="1" s="20">
      <c r="A500" s="25" t="n"/>
      <c r="B500" s="25" t="n"/>
      <c r="C500" s="25" t="n"/>
      <c r="D500" s="25" t="n"/>
      <c r="E500" s="25" t="n"/>
      <c r="F500" s="26" t="n"/>
      <c r="G500" s="25" t="n"/>
      <c r="H500" s="25" t="n"/>
      <c r="I500" s="26" t="n"/>
      <c r="J500" s="25" t="n"/>
      <c r="K500" s="26" t="n"/>
      <c r="L500" s="25" t="n"/>
      <c r="M500" s="25" t="n"/>
      <c r="N500" s="26" t="n"/>
      <c r="O500" s="25" t="n"/>
      <c r="P500" s="25" t="n"/>
      <c r="Q500" s="26" t="n"/>
      <c r="R500" s="25">
        <f>IF(AND($A500="",$B500=""),"",IF(Q500="Complete","Onboarded",IF(OR(M500="Member",M500="Ambassador"),"Sponsored",IF(K500&lt;&gt;"","Follow-Up",IF(I500&lt;&gt;"","Presented",IF(F500&lt;&gt;"","Contacted","New Lead"))))))</f>
        <v/>
      </c>
      <c r="S500" s="25" t="n"/>
      <c r="T500" s="25">
        <f>IF(MAX(F500,I500,K500)=0,"",TODAY()-MAX(F500,I500,K500))</f>
        <v/>
      </c>
      <c r="U500" s="25" t="n"/>
      <c r="V500" s="25" t="n"/>
      <c r="W500" s="25">
        <f>IF(AND($A500="",$B500=""),"",IF(M500="Ambassador","1 - Ambassador",IF(M500="Member","2 - Member",IF(J500="Completed","3 - Presented",IF(H500&lt;&gt;"","4 - Sent",IF(F500&lt;&gt;"","5 - Contacted","6 - No Activity"))))))</f>
        <v/>
      </c>
      <c r="X500" s="25">
        <f>IF(AND($A500="",$B500=""),9999999+(ROW()-4),VALUE(LEFT($W500,1))*10000+(ROW()-4))</f>
        <v/>
      </c>
    </row>
    <row r="501" ht="15" customHeight="1" s="20">
      <c r="A501" s="25" t="n"/>
      <c r="B501" s="25" t="n"/>
      <c r="C501" s="25" t="n"/>
      <c r="D501" s="25" t="n"/>
      <c r="E501" s="25" t="n"/>
      <c r="F501" s="26" t="n"/>
      <c r="G501" s="25" t="n"/>
      <c r="H501" s="25" t="n"/>
      <c r="I501" s="26" t="n"/>
      <c r="J501" s="25" t="n"/>
      <c r="K501" s="26" t="n"/>
      <c r="L501" s="25" t="n"/>
      <c r="M501" s="25" t="n"/>
      <c r="N501" s="26" t="n"/>
      <c r="O501" s="25" t="n"/>
      <c r="P501" s="25" t="n"/>
      <c r="Q501" s="26" t="n"/>
      <c r="R501" s="25">
        <f>IF(AND($A501="",$B501=""),"",IF(Q501="Complete","Onboarded",IF(OR(M501="Member",M501="Ambassador"),"Sponsored",IF(K501&lt;&gt;"","Follow-Up",IF(I501&lt;&gt;"","Presented",IF(F501&lt;&gt;"","Contacted","New Lead"))))))</f>
        <v/>
      </c>
      <c r="S501" s="25" t="n"/>
      <c r="T501" s="25">
        <f>IF(MAX(F501,I501,K501)=0,"",TODAY()-MAX(F501,I501,K501))</f>
        <v/>
      </c>
      <c r="U501" s="25" t="n"/>
      <c r="V501" s="25" t="n"/>
      <c r="W501" s="25">
        <f>IF(AND($A501="",$B501=""),"",IF(M501="Ambassador","1 - Ambassador",IF(M501="Member","2 - Member",IF(J501="Completed","3 - Presented",IF(H501&lt;&gt;"","4 - Sent",IF(F501&lt;&gt;"","5 - Contacted","6 - No Activity"))))))</f>
        <v/>
      </c>
      <c r="X501" s="25">
        <f>IF(AND($A501="",$B501=""),9999999+(ROW()-4),VALUE(LEFT($W501,1))*10000+(ROW()-4))</f>
        <v/>
      </c>
    </row>
    <row r="502" ht="15" customHeight="1" s="20">
      <c r="A502" s="25" t="n"/>
      <c r="B502" s="25" t="n"/>
      <c r="C502" s="25" t="n"/>
      <c r="D502" s="25" t="n"/>
      <c r="E502" s="25" t="n"/>
      <c r="F502" s="26" t="n"/>
      <c r="G502" s="25" t="n"/>
      <c r="H502" s="25" t="n"/>
      <c r="I502" s="26" t="n"/>
      <c r="J502" s="25" t="n"/>
      <c r="K502" s="26" t="n"/>
      <c r="L502" s="25" t="n"/>
      <c r="M502" s="25" t="n"/>
      <c r="N502" s="26" t="n"/>
      <c r="O502" s="25" t="n"/>
      <c r="P502" s="25" t="n"/>
      <c r="Q502" s="26" t="n"/>
      <c r="R502" s="25">
        <f>IF(AND($A502="",$B502=""),"",IF(Q502="Complete","Onboarded",IF(OR(M502="Member",M502="Ambassador"),"Sponsored",IF(K502&lt;&gt;"","Follow-Up",IF(I502&lt;&gt;"","Presented",IF(F502&lt;&gt;"","Contacted","New Lead"))))))</f>
        <v/>
      </c>
      <c r="S502" s="25" t="n"/>
      <c r="T502" s="25">
        <f>IF(MAX(F502,I502,K502)=0,"",TODAY()-MAX(F502,I502,K502))</f>
        <v/>
      </c>
      <c r="U502" s="25" t="n"/>
      <c r="V502" s="25" t="n"/>
      <c r="W502" s="25">
        <f>IF(AND($A502="",$B502=""),"",IF(M502="Ambassador","1 - Ambassador",IF(M502="Member","2 - Member",IF(J502="Completed","3 - Presented",IF(H502&lt;&gt;"","4 - Sent",IF(F502&lt;&gt;"","5 - Contacted","6 - No Activity"))))))</f>
        <v/>
      </c>
      <c r="X502" s="25">
        <f>IF(AND($A502="",$B502=""),9999999+(ROW()-4),VALUE(LEFT($W502,1))*10000+(ROW()-4))</f>
        <v/>
      </c>
    </row>
    <row r="503" ht="15" customHeight="1" s="20">
      <c r="A503" s="25" t="n"/>
      <c r="B503" s="25" t="n"/>
      <c r="C503" s="25" t="n"/>
      <c r="D503" s="25" t="n"/>
      <c r="E503" s="25" t="n"/>
      <c r="F503" s="26" t="n"/>
      <c r="G503" s="25" t="n"/>
      <c r="H503" s="25" t="n"/>
      <c r="I503" s="26" t="n"/>
      <c r="J503" s="25" t="n"/>
      <c r="K503" s="26" t="n"/>
      <c r="L503" s="25" t="n"/>
      <c r="M503" s="25" t="n"/>
      <c r="N503" s="26" t="n"/>
      <c r="O503" s="25" t="n"/>
      <c r="P503" s="25" t="n"/>
      <c r="Q503" s="26" t="n"/>
      <c r="R503" s="25">
        <f>IF(AND($A503="",$B503=""),"",IF(Q503="Complete","Onboarded",IF(OR(M503="Member",M503="Ambassador"),"Sponsored",IF(K503&lt;&gt;"","Follow-Up",IF(I503&lt;&gt;"","Presented",IF(F503&lt;&gt;"","Contacted","New Lead"))))))</f>
        <v/>
      </c>
      <c r="S503" s="25" t="n"/>
      <c r="T503" s="25">
        <f>IF(MAX(F503,I503,K503)=0,"",TODAY()-MAX(F503,I503,K503))</f>
        <v/>
      </c>
      <c r="U503" s="25" t="n"/>
      <c r="V503" s="25" t="n"/>
      <c r="W503" s="25">
        <f>IF(AND($A503="",$B503=""),"",IF(M503="Ambassador","1 - Ambassador",IF(M503="Member","2 - Member",IF(J503="Completed","3 - Presented",IF(H503&lt;&gt;"","4 - Sent",IF(F503&lt;&gt;"","5 - Contacted","6 - No Activity"))))))</f>
        <v/>
      </c>
      <c r="X503" s="25">
        <f>IF(AND($A503="",$B503=""),9999999+(ROW()-4),VALUE(LEFT($W503,1))*10000+(ROW()-4))</f>
        <v/>
      </c>
    </row>
    <row r="504" ht="15" customHeight="1" s="20">
      <c r="A504" s="25" t="n"/>
      <c r="B504" s="25" t="n"/>
      <c r="C504" s="25" t="n"/>
      <c r="D504" s="25" t="n"/>
      <c r="E504" s="25" t="n"/>
      <c r="F504" s="26" t="n"/>
      <c r="G504" s="25" t="n"/>
      <c r="H504" s="25" t="n"/>
      <c r="I504" s="26" t="n"/>
      <c r="J504" s="25" t="n"/>
      <c r="K504" s="26" t="n"/>
      <c r="L504" s="25" t="n"/>
      <c r="M504" s="25" t="n"/>
      <c r="N504" s="26" t="n"/>
      <c r="O504" s="25" t="n"/>
      <c r="P504" s="25" t="n"/>
      <c r="Q504" s="26" t="n"/>
      <c r="R504" s="25">
        <f>IF(AND($A504="",$B504=""),"",IF(Q504="Complete","Onboarded",IF(OR(M504="Member",M504="Ambassador"),"Sponsored",IF(K504&lt;&gt;"","Follow-Up",IF(I504&lt;&gt;"","Presented",IF(F504&lt;&gt;"","Contacted","New Lead"))))))</f>
        <v/>
      </c>
      <c r="S504" s="25" t="n"/>
      <c r="T504" s="25">
        <f>IF(MAX(F504,I504,K504)=0,"",TODAY()-MAX(F504,I504,K504))</f>
        <v/>
      </c>
      <c r="U504" s="25" t="n"/>
      <c r="V504" s="25" t="n"/>
      <c r="W504" s="25">
        <f>IF(AND($A504="",$B504=""),"",IF(M504="Ambassador","1 - Ambassador",IF(M504="Member","2 - Member",IF(J504="Completed","3 - Presented",IF(H504&lt;&gt;"","4 - Sent",IF(F504&lt;&gt;"","5 - Contacted","6 - No Activity"))))))</f>
        <v/>
      </c>
      <c r="X504" s="25">
        <f>IF(AND($A504="",$B504=""),9999999+(ROW()-4),VALUE(LEFT($W504,1))*10000+(ROW()-4))</f>
        <v/>
      </c>
    </row>
    <row r="505" ht="15" customHeight="1" s="20">
      <c r="A505" s="25" t="n"/>
      <c r="B505" s="25" t="n"/>
      <c r="C505" s="25" t="n"/>
      <c r="D505" s="25" t="n"/>
      <c r="E505" s="25" t="n"/>
      <c r="F505" s="26" t="n"/>
      <c r="G505" s="25" t="n"/>
      <c r="H505" s="25" t="n"/>
      <c r="I505" s="26" t="n"/>
      <c r="J505" s="25" t="n"/>
      <c r="K505" s="26" t="n"/>
      <c r="L505" s="25" t="n"/>
      <c r="M505" s="25" t="n"/>
      <c r="N505" s="26" t="n"/>
      <c r="O505" s="25" t="n"/>
      <c r="P505" s="25" t="n"/>
      <c r="Q505" s="26" t="n"/>
      <c r="R505" s="25">
        <f>IF(AND($A505="",$B505=""),"",IF(Q505="Complete","Onboarded",IF(OR(M505="Member",M505="Ambassador"),"Sponsored",IF(K505&lt;&gt;"","Follow-Up",IF(I505&lt;&gt;"","Presented",IF(F505&lt;&gt;"","Contacted","New Lead"))))))</f>
        <v/>
      </c>
      <c r="S505" s="25" t="n"/>
      <c r="T505" s="25">
        <f>IF(MAX(F505,I505,K505)=0,"",TODAY()-MAX(F505,I505,K505))</f>
        <v/>
      </c>
      <c r="U505" s="25" t="n"/>
      <c r="V505" s="25" t="n"/>
      <c r="W505" s="25">
        <f>IF(AND($A505="",$B505=""),"",IF(M505="Ambassador","1 - Ambassador",IF(M505="Member","2 - Member",IF(J505="Completed","3 - Presented",IF(H505&lt;&gt;"","4 - Sent",IF(F505&lt;&gt;"","5 - Contacted","6 - No Activity"))))))</f>
        <v/>
      </c>
      <c r="X505" s="25">
        <f>IF(AND($A505="",$B505=""),9999999+(ROW()-4),VALUE(LEFT($W505,1))*10000+(ROW()-4))</f>
        <v/>
      </c>
    </row>
    <row r="506" ht="15" customHeight="1" s="20">
      <c r="A506" s="25" t="n"/>
      <c r="B506" s="25" t="n"/>
      <c r="C506" s="25" t="n"/>
      <c r="D506" s="25" t="n"/>
      <c r="E506" s="25" t="n"/>
      <c r="F506" s="26" t="n"/>
      <c r="G506" s="25" t="n"/>
      <c r="H506" s="25" t="n"/>
      <c r="I506" s="26" t="n"/>
      <c r="J506" s="25" t="n"/>
      <c r="K506" s="26" t="n"/>
      <c r="L506" s="25" t="n"/>
      <c r="M506" s="25" t="n"/>
      <c r="N506" s="26" t="n"/>
      <c r="O506" s="25" t="n"/>
      <c r="P506" s="25" t="n"/>
      <c r="Q506" s="26" t="n"/>
      <c r="R506" s="25">
        <f>IF(AND($A506="",$B506=""),"",IF(Q506="Complete","Onboarded",IF(OR(M506="Member",M506="Ambassador"),"Sponsored",IF(K506&lt;&gt;"","Follow-Up",IF(I506&lt;&gt;"","Presented",IF(F506&lt;&gt;"","Contacted","New Lead"))))))</f>
        <v/>
      </c>
      <c r="S506" s="25" t="n"/>
      <c r="T506" s="25">
        <f>IF(MAX(F506,I506,K506)=0,"",TODAY()-MAX(F506,I506,K506))</f>
        <v/>
      </c>
      <c r="U506" s="25" t="n"/>
      <c r="V506" s="25" t="n"/>
      <c r="W506" s="25">
        <f>IF(AND($A506="",$B506=""),"",IF(M506="Ambassador","1 - Ambassador",IF(M506="Member","2 - Member",IF(J506="Completed","3 - Presented",IF(H506&lt;&gt;"","4 - Sent",IF(F506&lt;&gt;"","5 - Contacted","6 - No Activity"))))))</f>
        <v/>
      </c>
      <c r="X506" s="25">
        <f>IF(AND($A506="",$B506=""),9999999+(ROW()-4),VALUE(LEFT($W506,1))*10000+(ROW()-4))</f>
        <v/>
      </c>
    </row>
    <row r="507" ht="15" customHeight="1" s="20">
      <c r="A507" s="25" t="n"/>
      <c r="B507" s="25" t="n"/>
      <c r="C507" s="25" t="n"/>
      <c r="D507" s="25" t="n"/>
      <c r="E507" s="25" t="n"/>
      <c r="F507" s="26" t="n"/>
      <c r="G507" s="25" t="n"/>
      <c r="H507" s="25" t="n"/>
      <c r="I507" s="26" t="n"/>
      <c r="J507" s="25" t="n"/>
      <c r="K507" s="26" t="n"/>
      <c r="L507" s="25" t="n"/>
      <c r="M507" s="25" t="n"/>
      <c r="N507" s="26" t="n"/>
      <c r="O507" s="25" t="n"/>
      <c r="P507" s="25" t="n"/>
      <c r="Q507" s="26" t="n"/>
      <c r="R507" s="25">
        <f>IF(AND($A507="",$B507=""),"",IF(Q507="Complete","Onboarded",IF(OR(M507="Member",M507="Ambassador"),"Sponsored",IF(K507&lt;&gt;"","Follow-Up",IF(I507&lt;&gt;"","Presented",IF(F507&lt;&gt;"","Contacted","New Lead"))))))</f>
        <v/>
      </c>
      <c r="S507" s="25" t="n"/>
      <c r="T507" s="25">
        <f>IF(MAX(F507,I507,K507)=0,"",TODAY()-MAX(F507,I507,K507))</f>
        <v/>
      </c>
      <c r="U507" s="25" t="n"/>
      <c r="V507" s="25" t="n"/>
      <c r="W507" s="25">
        <f>IF(AND($A507="",$B507=""),"",IF(M507="Ambassador","1 - Ambassador",IF(M507="Member","2 - Member",IF(J507="Completed","3 - Presented",IF(H507&lt;&gt;"","4 - Sent",IF(F507&lt;&gt;"","5 - Contacted","6 - No Activity"))))))</f>
        <v/>
      </c>
      <c r="X507" s="25">
        <f>IF(AND($A507="",$B507=""),9999999+(ROW()-4),VALUE(LEFT($W507,1))*10000+(ROW()-4))</f>
        <v/>
      </c>
    </row>
    <row r="508" ht="15" customHeight="1" s="20">
      <c r="A508" s="25" t="n"/>
      <c r="B508" s="25" t="n"/>
      <c r="C508" s="25" t="n"/>
      <c r="D508" s="25" t="n"/>
      <c r="E508" s="25" t="n"/>
      <c r="F508" s="26" t="n"/>
      <c r="G508" s="25" t="n"/>
      <c r="H508" s="25" t="n"/>
      <c r="I508" s="26" t="n"/>
      <c r="J508" s="25" t="n"/>
      <c r="K508" s="26" t="n"/>
      <c r="L508" s="25" t="n"/>
      <c r="M508" s="25" t="n"/>
      <c r="N508" s="26" t="n"/>
      <c r="O508" s="25" t="n"/>
      <c r="P508" s="25" t="n"/>
      <c r="Q508" s="26" t="n"/>
      <c r="R508" s="25">
        <f>IF(AND($A508="",$B508=""),"",IF(Q508="Complete","Onboarded",IF(OR(M508="Member",M508="Ambassador"),"Sponsored",IF(K508&lt;&gt;"","Follow-Up",IF(I508&lt;&gt;"","Presented",IF(F508&lt;&gt;"","Contacted","New Lead"))))))</f>
        <v/>
      </c>
      <c r="S508" s="25" t="n"/>
      <c r="T508" s="25">
        <f>IF(MAX(F508,I508,K508)=0,"",TODAY()-MAX(F508,I508,K508))</f>
        <v/>
      </c>
      <c r="U508" s="25" t="n"/>
      <c r="V508" s="25" t="n"/>
      <c r="W508" s="25">
        <f>IF(AND($A508="",$B508=""),"",IF(M508="Ambassador","1 - Ambassador",IF(M508="Member","2 - Member",IF(J508="Completed","3 - Presented",IF(H508&lt;&gt;"","4 - Sent",IF(F508&lt;&gt;"","5 - Contacted","6 - No Activity"))))))</f>
        <v/>
      </c>
      <c r="X508" s="25">
        <f>IF(AND($A508="",$B508=""),9999999+(ROW()-4),VALUE(LEFT($W508,1))*10000+(ROW()-4))</f>
        <v/>
      </c>
    </row>
    <row r="509" ht="15" customHeight="1" s="20">
      <c r="A509" s="25" t="n"/>
      <c r="B509" s="25" t="n"/>
      <c r="C509" s="25" t="n"/>
      <c r="D509" s="25" t="n"/>
      <c r="E509" s="25" t="n"/>
      <c r="F509" s="26" t="n"/>
      <c r="G509" s="25" t="n"/>
      <c r="H509" s="25" t="n"/>
      <c r="I509" s="26" t="n"/>
      <c r="J509" s="25" t="n"/>
      <c r="K509" s="26" t="n"/>
      <c r="L509" s="25" t="n"/>
      <c r="M509" s="25" t="n"/>
      <c r="N509" s="26" t="n"/>
      <c r="O509" s="25" t="n"/>
      <c r="P509" s="25" t="n"/>
      <c r="Q509" s="26" t="n"/>
      <c r="R509" s="25">
        <f>IF(AND($A509="",$B509=""),"",IF(Q509="Complete","Onboarded",IF(OR(M509="Member",M509="Ambassador"),"Sponsored",IF(K509&lt;&gt;"","Follow-Up",IF(I509&lt;&gt;"","Presented",IF(F509&lt;&gt;"","Contacted","New Lead"))))))</f>
        <v/>
      </c>
      <c r="S509" s="25" t="n"/>
      <c r="T509" s="25">
        <f>IF(MAX(F509,I509,K509)=0,"",TODAY()-MAX(F509,I509,K509))</f>
        <v/>
      </c>
      <c r="U509" s="25" t="n"/>
      <c r="V509" s="25" t="n"/>
      <c r="W509" s="25">
        <f>IF(AND($A509="",$B509=""),"",IF(M509="Ambassador","1 - Ambassador",IF(M509="Member","2 - Member",IF(J509="Completed","3 - Presented",IF(H509&lt;&gt;"","4 - Sent",IF(F509&lt;&gt;"","5 - Contacted","6 - No Activity"))))))</f>
        <v/>
      </c>
      <c r="X509" s="25">
        <f>IF(AND($A509="",$B509=""),9999999+(ROW()-4),VALUE(LEFT($W509,1))*10000+(ROW()-4))</f>
        <v/>
      </c>
    </row>
    <row r="510" ht="15" customHeight="1" s="20">
      <c r="A510" s="25" t="n"/>
      <c r="B510" s="25" t="n"/>
      <c r="C510" s="25" t="n"/>
      <c r="D510" s="25" t="n"/>
      <c r="E510" s="25" t="n"/>
      <c r="F510" s="26" t="n"/>
      <c r="G510" s="25" t="n"/>
      <c r="H510" s="25" t="n"/>
      <c r="I510" s="26" t="n"/>
      <c r="J510" s="25" t="n"/>
      <c r="K510" s="26" t="n"/>
      <c r="L510" s="25" t="n"/>
      <c r="M510" s="25" t="n"/>
      <c r="N510" s="26" t="n"/>
      <c r="O510" s="25" t="n"/>
      <c r="P510" s="25" t="n"/>
      <c r="Q510" s="26" t="n"/>
      <c r="R510" s="25">
        <f>IF(AND($A510="",$B510=""),"",IF(Q510="Complete","Onboarded",IF(OR(M510="Member",M510="Ambassador"),"Sponsored",IF(K510&lt;&gt;"","Follow-Up",IF(I510&lt;&gt;"","Presented",IF(F510&lt;&gt;"","Contacted","New Lead"))))))</f>
        <v/>
      </c>
      <c r="S510" s="25" t="n"/>
      <c r="T510" s="25">
        <f>IF(MAX(F510,I510,K510)=0,"",TODAY()-MAX(F510,I510,K510))</f>
        <v/>
      </c>
      <c r="U510" s="25" t="n"/>
      <c r="V510" s="25" t="n"/>
      <c r="W510" s="25">
        <f>IF(AND($A510="",$B510=""),"",IF(M510="Ambassador","1 - Ambassador",IF(M510="Member","2 - Member",IF(J510="Completed","3 - Presented",IF(H510&lt;&gt;"","4 - Sent",IF(F510&lt;&gt;"","5 - Contacted","6 - No Activity"))))))</f>
        <v/>
      </c>
      <c r="X510" s="25">
        <f>IF(AND($A510="",$B510=""),9999999+(ROW()-4),VALUE(LEFT($W510,1))*10000+(ROW()-4))</f>
        <v/>
      </c>
    </row>
    <row r="511" ht="15" customHeight="1" s="20">
      <c r="A511" s="25" t="n"/>
      <c r="B511" s="25" t="n"/>
      <c r="C511" s="25" t="n"/>
      <c r="D511" s="25" t="n"/>
      <c r="E511" s="25" t="n"/>
      <c r="F511" s="26" t="n"/>
      <c r="G511" s="25" t="n"/>
      <c r="H511" s="25" t="n"/>
      <c r="I511" s="26" t="n"/>
      <c r="J511" s="25" t="n"/>
      <c r="K511" s="26" t="n"/>
      <c r="L511" s="25" t="n"/>
      <c r="M511" s="25" t="n"/>
      <c r="N511" s="26" t="n"/>
      <c r="O511" s="25" t="n"/>
      <c r="P511" s="25" t="n"/>
      <c r="Q511" s="26" t="n"/>
      <c r="R511" s="25">
        <f>IF(AND($A511="",$B511=""),"",IF(Q511="Complete","Onboarded",IF(OR(M511="Member",M511="Ambassador"),"Sponsored",IF(K511&lt;&gt;"","Follow-Up",IF(I511&lt;&gt;"","Presented",IF(F511&lt;&gt;"","Contacted","New Lead"))))))</f>
        <v/>
      </c>
      <c r="S511" s="25" t="n"/>
      <c r="T511" s="25">
        <f>IF(MAX(F511,I511,K511)=0,"",TODAY()-MAX(F511,I511,K511))</f>
        <v/>
      </c>
      <c r="U511" s="25" t="n"/>
      <c r="V511" s="25" t="n"/>
      <c r="W511" s="25">
        <f>IF(AND($A511="",$B511=""),"",IF(M511="Ambassador","1 - Ambassador",IF(M511="Member","2 - Member",IF(J511="Completed","3 - Presented",IF(H511&lt;&gt;"","4 - Sent",IF(F511&lt;&gt;"","5 - Contacted","6 - No Activity"))))))</f>
        <v/>
      </c>
      <c r="X511" s="25">
        <f>IF(AND($A511="",$B511=""),9999999+(ROW()-4),VALUE(LEFT($W511,1))*10000+(ROW()-4))</f>
        <v/>
      </c>
    </row>
    <row r="512" ht="15" customHeight="1" s="20">
      <c r="A512" s="25" t="n"/>
      <c r="B512" s="25" t="n"/>
      <c r="C512" s="25" t="n"/>
      <c r="D512" s="25" t="n"/>
      <c r="E512" s="25" t="n"/>
      <c r="F512" s="26" t="n"/>
      <c r="G512" s="25" t="n"/>
      <c r="H512" s="25" t="n"/>
      <c r="I512" s="26" t="n"/>
      <c r="J512" s="25" t="n"/>
      <c r="K512" s="26" t="n"/>
      <c r="L512" s="25" t="n"/>
      <c r="M512" s="25" t="n"/>
      <c r="N512" s="26" t="n"/>
      <c r="O512" s="25" t="n"/>
      <c r="P512" s="25" t="n"/>
      <c r="Q512" s="26" t="n"/>
      <c r="R512" s="25">
        <f>IF(AND($A512="",$B512=""),"",IF(Q512="Complete","Onboarded",IF(OR(M512="Member",M512="Ambassador"),"Sponsored",IF(K512&lt;&gt;"","Follow-Up",IF(I512&lt;&gt;"","Presented",IF(F512&lt;&gt;"","Contacted","New Lead"))))))</f>
        <v/>
      </c>
      <c r="S512" s="25" t="n"/>
      <c r="T512" s="25">
        <f>IF(MAX(F512,I512,K512)=0,"",TODAY()-MAX(F512,I512,K512))</f>
        <v/>
      </c>
      <c r="U512" s="25" t="n"/>
      <c r="V512" s="25" t="n"/>
      <c r="W512" s="25">
        <f>IF(AND($A512="",$B512=""),"",IF(M512="Ambassador","1 - Ambassador",IF(M512="Member","2 - Member",IF(J512="Completed","3 - Presented",IF(H512&lt;&gt;"","4 - Sent",IF(F512&lt;&gt;"","5 - Contacted","6 - No Activity"))))))</f>
        <v/>
      </c>
      <c r="X512" s="25">
        <f>IF(AND($A512="",$B512=""),9999999+(ROW()-4),VALUE(LEFT($W512,1))*10000+(ROW()-4))</f>
        <v/>
      </c>
    </row>
    <row r="513" ht="15" customHeight="1" s="20">
      <c r="A513" s="25" t="n"/>
      <c r="B513" s="25" t="n"/>
      <c r="C513" s="25" t="n"/>
      <c r="D513" s="25" t="n"/>
      <c r="E513" s="25" t="n"/>
      <c r="F513" s="26" t="n"/>
      <c r="G513" s="25" t="n"/>
      <c r="H513" s="25" t="n"/>
      <c r="I513" s="26" t="n"/>
      <c r="J513" s="25" t="n"/>
      <c r="K513" s="26" t="n"/>
      <c r="L513" s="25" t="n"/>
      <c r="M513" s="25" t="n"/>
      <c r="N513" s="26" t="n"/>
      <c r="O513" s="25" t="n"/>
      <c r="P513" s="25" t="n"/>
      <c r="Q513" s="26" t="n"/>
      <c r="R513" s="25">
        <f>IF(AND($A513="",$B513=""),"",IF(Q513="Complete","Onboarded",IF(OR(M513="Member",M513="Ambassador"),"Sponsored",IF(K513&lt;&gt;"","Follow-Up",IF(I513&lt;&gt;"","Presented",IF(F513&lt;&gt;"","Contacted","New Lead"))))))</f>
        <v/>
      </c>
      <c r="S513" s="25" t="n"/>
      <c r="T513" s="25">
        <f>IF(MAX(F513,I513,K513)=0,"",TODAY()-MAX(F513,I513,K513))</f>
        <v/>
      </c>
      <c r="U513" s="25" t="n"/>
      <c r="V513" s="25" t="n"/>
      <c r="W513" s="25">
        <f>IF(AND($A513="",$B513=""),"",IF(M513="Ambassador","1 - Ambassador",IF(M513="Member","2 - Member",IF(J513="Completed","3 - Presented",IF(H513&lt;&gt;"","4 - Sent",IF(F513&lt;&gt;"","5 - Contacted","6 - No Activity"))))))</f>
        <v/>
      </c>
      <c r="X513" s="25">
        <f>IF(AND($A513="",$B513=""),9999999+(ROW()-4),VALUE(LEFT($W513,1))*10000+(ROW()-4))</f>
        <v/>
      </c>
    </row>
    <row r="514" ht="15" customHeight="1" s="20">
      <c r="A514" s="25" t="n"/>
      <c r="B514" s="25" t="n"/>
      <c r="C514" s="25" t="n"/>
      <c r="D514" s="25" t="n"/>
      <c r="E514" s="25" t="n"/>
      <c r="F514" s="26" t="n"/>
      <c r="G514" s="25" t="n"/>
      <c r="H514" s="25" t="n"/>
      <c r="I514" s="26" t="n"/>
      <c r="J514" s="25" t="n"/>
      <c r="K514" s="26" t="n"/>
      <c r="L514" s="25" t="n"/>
      <c r="M514" s="25" t="n"/>
      <c r="N514" s="26" t="n"/>
      <c r="O514" s="25" t="n"/>
      <c r="P514" s="25" t="n"/>
      <c r="Q514" s="26" t="n"/>
      <c r="R514" s="25">
        <f>IF(AND($A514="",$B514=""),"",IF(Q514="Complete","Onboarded",IF(OR(M514="Member",M514="Ambassador"),"Sponsored",IF(K514&lt;&gt;"","Follow-Up",IF(I514&lt;&gt;"","Presented",IF(F514&lt;&gt;"","Contacted","New Lead"))))))</f>
        <v/>
      </c>
      <c r="S514" s="25" t="n"/>
      <c r="T514" s="25">
        <f>IF(MAX(F514,I514,K514)=0,"",TODAY()-MAX(F514,I514,K514))</f>
        <v/>
      </c>
      <c r="U514" s="25" t="n"/>
      <c r="V514" s="25" t="n"/>
      <c r="W514" s="25">
        <f>IF(AND($A514="",$B514=""),"",IF(M514="Ambassador","1 - Ambassador",IF(M514="Member","2 - Member",IF(J514="Completed","3 - Presented",IF(H514&lt;&gt;"","4 - Sent",IF(F514&lt;&gt;"","5 - Contacted","6 - No Activity"))))))</f>
        <v/>
      </c>
      <c r="X514" s="25">
        <f>IF(AND($A514="",$B514=""),9999999+(ROW()-4),VALUE(LEFT($W514,1))*10000+(ROW()-4))</f>
        <v/>
      </c>
    </row>
    <row r="515" ht="15" customHeight="1" s="20">
      <c r="A515" s="25" t="n"/>
      <c r="B515" s="25" t="n"/>
      <c r="C515" s="25" t="n"/>
      <c r="D515" s="25" t="n"/>
      <c r="E515" s="25" t="n"/>
      <c r="F515" s="26" t="n"/>
      <c r="G515" s="25" t="n"/>
      <c r="H515" s="25" t="n"/>
      <c r="I515" s="26" t="n"/>
      <c r="J515" s="25" t="n"/>
      <c r="K515" s="26" t="n"/>
      <c r="L515" s="25" t="n"/>
      <c r="M515" s="25" t="n"/>
      <c r="N515" s="26" t="n"/>
      <c r="O515" s="25" t="n"/>
      <c r="P515" s="25" t="n"/>
      <c r="Q515" s="26" t="n"/>
      <c r="R515" s="25">
        <f>IF(AND($A515="",$B515=""),"",IF(Q515="Complete","Onboarded",IF(OR(M515="Member",M515="Ambassador"),"Sponsored",IF(K515&lt;&gt;"","Follow-Up",IF(I515&lt;&gt;"","Presented",IF(F515&lt;&gt;"","Contacted","New Lead"))))))</f>
        <v/>
      </c>
      <c r="S515" s="25" t="n"/>
      <c r="T515" s="25">
        <f>IF(MAX(F515,I515,K515)=0,"",TODAY()-MAX(F515,I515,K515))</f>
        <v/>
      </c>
      <c r="U515" s="25" t="n"/>
      <c r="V515" s="25" t="n"/>
      <c r="W515" s="25">
        <f>IF(AND($A515="",$B515=""),"",IF(M515="Ambassador","1 - Ambassador",IF(M515="Member","2 - Member",IF(J515="Completed","3 - Presented",IF(H515&lt;&gt;"","4 - Sent",IF(F515&lt;&gt;"","5 - Contacted","6 - No Activity"))))))</f>
        <v/>
      </c>
      <c r="X515" s="25">
        <f>IF(AND($A515="",$B515=""),9999999+(ROW()-4),VALUE(LEFT($W515,1))*10000+(ROW()-4))</f>
        <v/>
      </c>
    </row>
    <row r="516" ht="15" customHeight="1" s="20">
      <c r="A516" s="25" t="n"/>
      <c r="B516" s="25" t="n"/>
      <c r="C516" s="25" t="n"/>
      <c r="D516" s="25" t="n"/>
      <c r="E516" s="25" t="n"/>
      <c r="F516" s="26" t="n"/>
      <c r="G516" s="25" t="n"/>
      <c r="H516" s="25" t="n"/>
      <c r="I516" s="26" t="n"/>
      <c r="J516" s="25" t="n"/>
      <c r="K516" s="26" t="n"/>
      <c r="L516" s="25" t="n"/>
      <c r="M516" s="25" t="n"/>
      <c r="N516" s="26" t="n"/>
      <c r="O516" s="25" t="n"/>
      <c r="P516" s="25" t="n"/>
      <c r="Q516" s="26" t="n"/>
      <c r="R516" s="25">
        <f>IF(AND($A516="",$B516=""),"",IF(Q516="Complete","Onboarded",IF(OR(M516="Member",M516="Ambassador"),"Sponsored",IF(K516&lt;&gt;"","Follow-Up",IF(I516&lt;&gt;"","Presented",IF(F516&lt;&gt;"","Contacted","New Lead"))))))</f>
        <v/>
      </c>
      <c r="S516" s="25" t="n"/>
      <c r="T516" s="25">
        <f>IF(MAX(F516,I516,K516)=0,"",TODAY()-MAX(F516,I516,K516))</f>
        <v/>
      </c>
      <c r="U516" s="25" t="n"/>
      <c r="V516" s="25" t="n"/>
      <c r="W516" s="25">
        <f>IF(AND($A516="",$B516=""),"",IF(M516="Ambassador","1 - Ambassador",IF(M516="Member","2 - Member",IF(J516="Completed","3 - Presented",IF(H516&lt;&gt;"","4 - Sent",IF(F516&lt;&gt;"","5 - Contacted","6 - No Activity"))))))</f>
        <v/>
      </c>
      <c r="X516" s="25">
        <f>IF(AND($A516="",$B516=""),9999999+(ROW()-4),VALUE(LEFT($W516,1))*10000+(ROW()-4))</f>
        <v/>
      </c>
    </row>
    <row r="517" ht="15" customHeight="1" s="20">
      <c r="A517" s="25" t="n"/>
      <c r="B517" s="25" t="n"/>
      <c r="C517" s="25" t="n"/>
      <c r="D517" s="25" t="n"/>
      <c r="E517" s="25" t="n"/>
      <c r="F517" s="26" t="n"/>
      <c r="G517" s="25" t="n"/>
      <c r="H517" s="25" t="n"/>
      <c r="I517" s="26" t="n"/>
      <c r="J517" s="25" t="n"/>
      <c r="K517" s="26" t="n"/>
      <c r="L517" s="25" t="n"/>
      <c r="M517" s="25" t="n"/>
      <c r="N517" s="26" t="n"/>
      <c r="O517" s="25" t="n"/>
      <c r="P517" s="25" t="n"/>
      <c r="Q517" s="26" t="n"/>
      <c r="R517" s="25">
        <f>IF(AND($A517="",$B517=""),"",IF(Q517="Complete","Onboarded",IF(OR(M517="Member",M517="Ambassador"),"Sponsored",IF(K517&lt;&gt;"","Follow-Up",IF(I517&lt;&gt;"","Presented",IF(F517&lt;&gt;"","Contacted","New Lead"))))))</f>
        <v/>
      </c>
      <c r="S517" s="25" t="n"/>
      <c r="T517" s="25">
        <f>IF(MAX(F517,I517,K517)=0,"",TODAY()-MAX(F517,I517,K517))</f>
        <v/>
      </c>
      <c r="U517" s="25" t="n"/>
      <c r="V517" s="25" t="n"/>
      <c r="W517" s="25">
        <f>IF(AND($A517="",$B517=""),"",IF(M517="Ambassador","1 - Ambassador",IF(M517="Member","2 - Member",IF(J517="Completed","3 - Presented",IF(H517&lt;&gt;"","4 - Sent",IF(F517&lt;&gt;"","5 - Contacted","6 - No Activity"))))))</f>
        <v/>
      </c>
      <c r="X517" s="25">
        <f>IF(AND($A517="",$B517=""),9999999+(ROW()-4),VALUE(LEFT($W517,1))*10000+(ROW()-4))</f>
        <v/>
      </c>
    </row>
    <row r="518" ht="15" customHeight="1" s="20">
      <c r="A518" s="25" t="n"/>
      <c r="B518" s="25" t="n"/>
      <c r="C518" s="25" t="n"/>
      <c r="D518" s="25" t="n"/>
      <c r="E518" s="25" t="n"/>
      <c r="F518" s="26" t="n"/>
      <c r="G518" s="25" t="n"/>
      <c r="H518" s="25" t="n"/>
      <c r="I518" s="26" t="n"/>
      <c r="J518" s="25" t="n"/>
      <c r="K518" s="26" t="n"/>
      <c r="L518" s="25" t="n"/>
      <c r="M518" s="25" t="n"/>
      <c r="N518" s="26" t="n"/>
      <c r="O518" s="25" t="n"/>
      <c r="P518" s="25" t="n"/>
      <c r="Q518" s="26" t="n"/>
      <c r="R518" s="25">
        <f>IF(AND($A518="",$B518=""),"",IF(Q518="Complete","Onboarded",IF(OR(M518="Member",M518="Ambassador"),"Sponsored",IF(K518&lt;&gt;"","Follow-Up",IF(I518&lt;&gt;"","Presented",IF(F518&lt;&gt;"","Contacted","New Lead"))))))</f>
        <v/>
      </c>
      <c r="S518" s="25" t="n"/>
      <c r="T518" s="25">
        <f>IF(MAX(F518,I518,K518)=0,"",TODAY()-MAX(F518,I518,K518))</f>
        <v/>
      </c>
      <c r="U518" s="25" t="n"/>
      <c r="V518" s="25" t="n"/>
      <c r="W518" s="25">
        <f>IF(AND($A518="",$B518=""),"",IF(M518="Ambassador","1 - Ambassador",IF(M518="Member","2 - Member",IF(J518="Completed","3 - Presented",IF(H518&lt;&gt;"","4 - Sent",IF(F518&lt;&gt;"","5 - Contacted","6 - No Activity"))))))</f>
        <v/>
      </c>
      <c r="X518" s="25">
        <f>IF(AND($A518="",$B518=""),9999999+(ROW()-4),VALUE(LEFT($W518,1))*10000+(ROW()-4))</f>
        <v/>
      </c>
    </row>
    <row r="519" ht="15" customHeight="1" s="20">
      <c r="A519" s="25" t="n"/>
      <c r="B519" s="25" t="n"/>
      <c r="C519" s="25" t="n"/>
      <c r="D519" s="25" t="n"/>
      <c r="E519" s="25" t="n"/>
      <c r="F519" s="26" t="n"/>
      <c r="G519" s="25" t="n"/>
      <c r="H519" s="25" t="n"/>
      <c r="I519" s="26" t="n"/>
      <c r="J519" s="25" t="n"/>
      <c r="K519" s="26" t="n"/>
      <c r="L519" s="25" t="n"/>
      <c r="M519" s="25" t="n"/>
      <c r="N519" s="26" t="n"/>
      <c r="O519" s="25" t="n"/>
      <c r="P519" s="25" t="n"/>
      <c r="Q519" s="26" t="n"/>
      <c r="R519" s="25">
        <f>IF(AND($A519="",$B519=""),"",IF(Q519="Complete","Onboarded",IF(OR(M519="Member",M519="Ambassador"),"Sponsored",IF(K519&lt;&gt;"","Follow-Up",IF(I519&lt;&gt;"","Presented",IF(F519&lt;&gt;"","Contacted","New Lead"))))))</f>
        <v/>
      </c>
      <c r="S519" s="25" t="n"/>
      <c r="T519" s="25">
        <f>IF(MAX(F519,I519,K519)=0,"",TODAY()-MAX(F519,I519,K519))</f>
        <v/>
      </c>
      <c r="U519" s="25" t="n"/>
      <c r="V519" s="25" t="n"/>
      <c r="W519" s="25">
        <f>IF(AND($A519="",$B519=""),"",IF(M519="Ambassador","1 - Ambassador",IF(M519="Member","2 - Member",IF(J519="Completed","3 - Presented",IF(H519&lt;&gt;"","4 - Sent",IF(F519&lt;&gt;"","5 - Contacted","6 - No Activity"))))))</f>
        <v/>
      </c>
      <c r="X519" s="25">
        <f>IF(AND($A519="",$B519=""),9999999+(ROW()-4),VALUE(LEFT($W519,1))*10000+(ROW()-4))</f>
        <v/>
      </c>
    </row>
    <row r="520" ht="15" customHeight="1" s="20">
      <c r="A520" s="25" t="n"/>
      <c r="B520" s="25" t="n"/>
      <c r="C520" s="25" t="n"/>
      <c r="D520" s="25" t="n"/>
      <c r="E520" s="25" t="n"/>
      <c r="F520" s="26" t="n"/>
      <c r="G520" s="25" t="n"/>
      <c r="H520" s="25" t="n"/>
      <c r="I520" s="26" t="n"/>
      <c r="J520" s="25" t="n"/>
      <c r="K520" s="26" t="n"/>
      <c r="L520" s="25" t="n"/>
      <c r="M520" s="25" t="n"/>
      <c r="N520" s="26" t="n"/>
      <c r="O520" s="25" t="n"/>
      <c r="P520" s="25" t="n"/>
      <c r="Q520" s="26" t="n"/>
      <c r="R520" s="25">
        <f>IF(AND($A520="",$B520=""),"",IF(Q520="Complete","Onboarded",IF(OR(M520="Member",M520="Ambassador"),"Sponsored",IF(K520&lt;&gt;"","Follow-Up",IF(I520&lt;&gt;"","Presented",IF(F520&lt;&gt;"","Contacted","New Lead"))))))</f>
        <v/>
      </c>
      <c r="S520" s="25" t="n"/>
      <c r="T520" s="25">
        <f>IF(MAX(F520,I520,K520)=0,"",TODAY()-MAX(F520,I520,K520))</f>
        <v/>
      </c>
      <c r="U520" s="25" t="n"/>
      <c r="V520" s="25" t="n"/>
      <c r="W520" s="25">
        <f>IF(AND($A520="",$B520=""),"",IF(M520="Ambassador","1 - Ambassador",IF(M520="Member","2 - Member",IF(J520="Completed","3 - Presented",IF(H520&lt;&gt;"","4 - Sent",IF(F520&lt;&gt;"","5 - Contacted","6 - No Activity"))))))</f>
        <v/>
      </c>
      <c r="X520" s="25">
        <f>IF(AND($A520="",$B520=""),9999999+(ROW()-4),VALUE(LEFT($W520,1))*10000+(ROW()-4))</f>
        <v/>
      </c>
    </row>
    <row r="521" ht="15" customHeight="1" s="20">
      <c r="A521" s="25" t="n"/>
      <c r="B521" s="25" t="n"/>
      <c r="C521" s="25" t="n"/>
      <c r="D521" s="25" t="n"/>
      <c r="E521" s="25" t="n"/>
      <c r="F521" s="26" t="n"/>
      <c r="G521" s="25" t="n"/>
      <c r="H521" s="25" t="n"/>
      <c r="I521" s="26" t="n"/>
      <c r="J521" s="25" t="n"/>
      <c r="K521" s="26" t="n"/>
      <c r="L521" s="25" t="n"/>
      <c r="M521" s="25" t="n"/>
      <c r="N521" s="26" t="n"/>
      <c r="O521" s="25" t="n"/>
      <c r="P521" s="25" t="n"/>
      <c r="Q521" s="26" t="n"/>
      <c r="R521" s="25">
        <f>IF(AND($A521="",$B521=""),"",IF(Q521="Complete","Onboarded",IF(OR(M521="Member",M521="Ambassador"),"Sponsored",IF(K521&lt;&gt;"","Follow-Up",IF(I521&lt;&gt;"","Presented",IF(F521&lt;&gt;"","Contacted","New Lead"))))))</f>
        <v/>
      </c>
      <c r="S521" s="25" t="n"/>
      <c r="T521" s="25">
        <f>IF(MAX(F521,I521,K521)=0,"",TODAY()-MAX(F521,I521,K521))</f>
        <v/>
      </c>
      <c r="U521" s="25" t="n"/>
      <c r="V521" s="25" t="n"/>
      <c r="W521" s="25">
        <f>IF(AND($A521="",$B521=""),"",IF(M521="Ambassador","1 - Ambassador",IF(M521="Member","2 - Member",IF(J521="Completed","3 - Presented",IF(H521&lt;&gt;"","4 - Sent",IF(F521&lt;&gt;"","5 - Contacted","6 - No Activity"))))))</f>
        <v/>
      </c>
      <c r="X521" s="25">
        <f>IF(AND($A521="",$B521=""),9999999+(ROW()-4),VALUE(LEFT($W521,1))*10000+(ROW()-4))</f>
        <v/>
      </c>
    </row>
    <row r="522" ht="15" customHeight="1" s="20">
      <c r="A522" s="25" t="n"/>
      <c r="B522" s="25" t="n"/>
      <c r="C522" s="25" t="n"/>
      <c r="D522" s="25" t="n"/>
      <c r="E522" s="25" t="n"/>
      <c r="F522" s="26" t="n"/>
      <c r="G522" s="25" t="n"/>
      <c r="H522" s="25" t="n"/>
      <c r="I522" s="26" t="n"/>
      <c r="J522" s="25" t="n"/>
      <c r="K522" s="26" t="n"/>
      <c r="L522" s="25" t="n"/>
      <c r="M522" s="25" t="n"/>
      <c r="N522" s="26" t="n"/>
      <c r="O522" s="25" t="n"/>
      <c r="P522" s="25" t="n"/>
      <c r="Q522" s="26" t="n"/>
      <c r="R522" s="25">
        <f>IF(AND($A522="",$B522=""),"",IF(Q522="Complete","Onboarded",IF(OR(M522="Member",M522="Ambassador"),"Sponsored",IF(K522&lt;&gt;"","Follow-Up",IF(I522&lt;&gt;"","Presented",IF(F522&lt;&gt;"","Contacted","New Lead"))))))</f>
        <v/>
      </c>
      <c r="S522" s="25" t="n"/>
      <c r="T522" s="25">
        <f>IF(MAX(F522,I522,K522)=0,"",TODAY()-MAX(F522,I522,K522))</f>
        <v/>
      </c>
      <c r="U522" s="25" t="n"/>
      <c r="V522" s="25" t="n"/>
      <c r="W522" s="25">
        <f>IF(AND($A522="",$B522=""),"",IF(M522="Ambassador","1 - Ambassador",IF(M522="Member","2 - Member",IF(J522="Completed","3 - Presented",IF(H522&lt;&gt;"","4 - Sent",IF(F522&lt;&gt;"","5 - Contacted","6 - No Activity"))))))</f>
        <v/>
      </c>
      <c r="X522" s="25">
        <f>IF(AND($A522="",$B522=""),9999999+(ROW()-4),VALUE(LEFT($W522,1))*10000+(ROW()-4))</f>
        <v/>
      </c>
    </row>
    <row r="523" ht="15" customHeight="1" s="20">
      <c r="A523" s="25" t="n"/>
      <c r="B523" s="25" t="n"/>
      <c r="C523" s="25" t="n"/>
      <c r="D523" s="25" t="n"/>
      <c r="E523" s="25" t="n"/>
      <c r="F523" s="26" t="n"/>
      <c r="G523" s="25" t="n"/>
      <c r="H523" s="25" t="n"/>
      <c r="I523" s="26" t="n"/>
      <c r="J523" s="25" t="n"/>
      <c r="K523" s="26" t="n"/>
      <c r="L523" s="25" t="n"/>
      <c r="M523" s="25" t="n"/>
      <c r="N523" s="26" t="n"/>
      <c r="O523" s="25" t="n"/>
      <c r="P523" s="25" t="n"/>
      <c r="Q523" s="26" t="n"/>
      <c r="R523" s="25">
        <f>IF(AND($A523="",$B523=""),"",IF(Q523="Complete","Onboarded",IF(OR(M523="Member",M523="Ambassador"),"Sponsored",IF(K523&lt;&gt;"","Follow-Up",IF(I523&lt;&gt;"","Presented",IF(F523&lt;&gt;"","Contacted","New Lead"))))))</f>
        <v/>
      </c>
      <c r="S523" s="25" t="n"/>
      <c r="T523" s="25">
        <f>IF(MAX(F523,I523,K523)=0,"",TODAY()-MAX(F523,I523,K523))</f>
        <v/>
      </c>
      <c r="U523" s="25" t="n"/>
      <c r="V523" s="25" t="n"/>
      <c r="W523" s="25">
        <f>IF(AND($A523="",$B523=""),"",IF(M523="Ambassador","1 - Ambassador",IF(M523="Member","2 - Member",IF(J523="Completed","3 - Presented",IF(H523&lt;&gt;"","4 - Sent",IF(F523&lt;&gt;"","5 - Contacted","6 - No Activity"))))))</f>
        <v/>
      </c>
      <c r="X523" s="25">
        <f>IF(AND($A523="",$B523=""),9999999+(ROW()-4),VALUE(LEFT($W523,1))*10000+(ROW()-4))</f>
        <v/>
      </c>
    </row>
    <row r="524" ht="15" customHeight="1" s="20">
      <c r="A524" s="25" t="n"/>
      <c r="B524" s="25" t="n"/>
      <c r="C524" s="25" t="n"/>
      <c r="D524" s="25" t="n"/>
      <c r="E524" s="25" t="n"/>
      <c r="F524" s="26" t="n"/>
      <c r="G524" s="25" t="n"/>
      <c r="H524" s="25" t="n"/>
      <c r="I524" s="26" t="n"/>
      <c r="J524" s="25" t="n"/>
      <c r="K524" s="26" t="n"/>
      <c r="L524" s="25" t="n"/>
      <c r="M524" s="25" t="n"/>
      <c r="N524" s="26" t="n"/>
      <c r="O524" s="25" t="n"/>
      <c r="P524" s="25" t="n"/>
      <c r="Q524" s="26" t="n"/>
      <c r="R524" s="25">
        <f>IF(AND($A524="",$B524=""),"",IF(Q524="Complete","Onboarded",IF(OR(M524="Member",M524="Ambassador"),"Sponsored",IF(K524&lt;&gt;"","Follow-Up",IF(I524&lt;&gt;"","Presented",IF(F524&lt;&gt;"","Contacted","New Lead"))))))</f>
        <v/>
      </c>
      <c r="S524" s="25" t="n"/>
      <c r="T524" s="25">
        <f>IF(MAX(F524,I524,K524)=0,"",TODAY()-MAX(F524,I524,K524))</f>
        <v/>
      </c>
      <c r="U524" s="25" t="n"/>
      <c r="V524" s="25" t="n"/>
      <c r="W524" s="25">
        <f>IF(AND($A524="",$B524=""),"",IF(M524="Ambassador","1 - Ambassador",IF(M524="Member","2 - Member",IF(J524="Completed","3 - Presented",IF(H524&lt;&gt;"","4 - Sent",IF(F524&lt;&gt;"","5 - Contacted","6 - No Activity"))))))</f>
        <v/>
      </c>
      <c r="X524" s="25">
        <f>IF(AND($A524="",$B524=""),9999999+(ROW()-4),VALUE(LEFT($W524,1))*10000+(ROW()-4))</f>
        <v/>
      </c>
    </row>
    <row r="525" ht="15" customHeight="1" s="20">
      <c r="A525" s="25" t="n"/>
      <c r="B525" s="25" t="n"/>
      <c r="C525" s="25" t="n"/>
      <c r="D525" s="25" t="n"/>
      <c r="E525" s="25" t="n"/>
      <c r="F525" s="26" t="n"/>
      <c r="G525" s="25" t="n"/>
      <c r="H525" s="25" t="n"/>
      <c r="I525" s="26" t="n"/>
      <c r="J525" s="25" t="n"/>
      <c r="K525" s="26" t="n"/>
      <c r="L525" s="25" t="n"/>
      <c r="M525" s="25" t="n"/>
      <c r="N525" s="26" t="n"/>
      <c r="O525" s="25" t="n"/>
      <c r="P525" s="25" t="n"/>
      <c r="Q525" s="26" t="n"/>
      <c r="R525" s="25">
        <f>IF(AND($A525="",$B525=""),"",IF(Q525="Complete","Onboarded",IF(OR(M525="Member",M525="Ambassador"),"Sponsored",IF(K525&lt;&gt;"","Follow-Up",IF(I525&lt;&gt;"","Presented",IF(F525&lt;&gt;"","Contacted","New Lead"))))))</f>
        <v/>
      </c>
      <c r="S525" s="25" t="n"/>
      <c r="T525" s="25">
        <f>IF(MAX(F525,I525,K525)=0,"",TODAY()-MAX(F525,I525,K525))</f>
        <v/>
      </c>
      <c r="U525" s="25" t="n"/>
      <c r="V525" s="25" t="n"/>
      <c r="W525" s="25">
        <f>IF(AND($A525="",$B525=""),"",IF(M525="Ambassador","1 - Ambassador",IF(M525="Member","2 - Member",IF(J525="Completed","3 - Presented",IF(H525&lt;&gt;"","4 - Sent",IF(F525&lt;&gt;"","5 - Contacted","6 - No Activity"))))))</f>
        <v/>
      </c>
      <c r="X525" s="25">
        <f>IF(AND($A525="",$B525=""),9999999+(ROW()-4),VALUE(LEFT($W525,1))*10000+(ROW()-4))</f>
        <v/>
      </c>
    </row>
    <row r="526" ht="15" customHeight="1" s="20">
      <c r="A526" s="25" t="n"/>
      <c r="B526" s="25" t="n"/>
      <c r="C526" s="25" t="n"/>
      <c r="D526" s="25" t="n"/>
      <c r="E526" s="25" t="n"/>
      <c r="F526" s="26" t="n"/>
      <c r="G526" s="25" t="n"/>
      <c r="H526" s="25" t="n"/>
      <c r="I526" s="26" t="n"/>
      <c r="J526" s="25" t="n"/>
      <c r="K526" s="26" t="n"/>
      <c r="L526" s="25" t="n"/>
      <c r="M526" s="25" t="n"/>
      <c r="N526" s="26" t="n"/>
      <c r="O526" s="25" t="n"/>
      <c r="P526" s="25" t="n"/>
      <c r="Q526" s="26" t="n"/>
      <c r="R526" s="25">
        <f>IF(AND($A526="",$B526=""),"",IF(Q526="Complete","Onboarded",IF(OR(M526="Member",M526="Ambassador"),"Sponsored",IF(K526&lt;&gt;"","Follow-Up",IF(I526&lt;&gt;"","Presented",IF(F526&lt;&gt;"","Contacted","New Lead"))))))</f>
        <v/>
      </c>
      <c r="S526" s="25" t="n"/>
      <c r="T526" s="25">
        <f>IF(MAX(F526,I526,K526)=0,"",TODAY()-MAX(F526,I526,K526))</f>
        <v/>
      </c>
      <c r="U526" s="25" t="n"/>
      <c r="V526" s="25" t="n"/>
      <c r="W526" s="25">
        <f>IF(AND($A526="",$B526=""),"",IF(M526="Ambassador","1 - Ambassador",IF(M526="Member","2 - Member",IF(J526="Completed","3 - Presented",IF(H526&lt;&gt;"","4 - Sent",IF(F526&lt;&gt;"","5 - Contacted","6 - No Activity"))))))</f>
        <v/>
      </c>
      <c r="X526" s="25">
        <f>IF(AND($A526="",$B526=""),9999999+(ROW()-4),VALUE(LEFT($W526,1))*10000+(ROW()-4))</f>
        <v/>
      </c>
    </row>
    <row r="527" ht="15" customHeight="1" s="20">
      <c r="A527" s="25" t="n"/>
      <c r="B527" s="25" t="n"/>
      <c r="C527" s="25" t="n"/>
      <c r="D527" s="25" t="n"/>
      <c r="E527" s="25" t="n"/>
      <c r="F527" s="26" t="n"/>
      <c r="G527" s="25" t="n"/>
      <c r="H527" s="25" t="n"/>
      <c r="I527" s="26" t="n"/>
      <c r="J527" s="25" t="n"/>
      <c r="K527" s="26" t="n"/>
      <c r="L527" s="25" t="n"/>
      <c r="M527" s="25" t="n"/>
      <c r="N527" s="26" t="n"/>
      <c r="O527" s="25" t="n"/>
      <c r="P527" s="25" t="n"/>
      <c r="Q527" s="26" t="n"/>
      <c r="R527" s="25">
        <f>IF(AND($A527="",$B527=""),"",IF(Q527="Complete","Onboarded",IF(OR(M527="Member",M527="Ambassador"),"Sponsored",IF(K527&lt;&gt;"","Follow-Up",IF(I527&lt;&gt;"","Presented",IF(F527&lt;&gt;"","Contacted","New Lead"))))))</f>
        <v/>
      </c>
      <c r="S527" s="25" t="n"/>
      <c r="T527" s="25">
        <f>IF(MAX(F527,I527,K527)=0,"",TODAY()-MAX(F527,I527,K527))</f>
        <v/>
      </c>
      <c r="U527" s="25" t="n"/>
      <c r="V527" s="25" t="n"/>
      <c r="W527" s="25">
        <f>IF(AND($A527="",$B527=""),"",IF(M527="Ambassador","1 - Ambassador",IF(M527="Member","2 - Member",IF(J527="Completed","3 - Presented",IF(H527&lt;&gt;"","4 - Sent",IF(F527&lt;&gt;"","5 - Contacted","6 - No Activity"))))))</f>
        <v/>
      </c>
      <c r="X527" s="25">
        <f>IF(AND($A527="",$B527=""),9999999+(ROW()-4),VALUE(LEFT($W527,1))*10000+(ROW()-4))</f>
        <v/>
      </c>
    </row>
    <row r="528" ht="15" customHeight="1" s="20">
      <c r="A528" s="25" t="n"/>
      <c r="B528" s="25" t="n"/>
      <c r="C528" s="25" t="n"/>
      <c r="D528" s="25" t="n"/>
      <c r="E528" s="25" t="n"/>
      <c r="F528" s="26" t="n"/>
      <c r="G528" s="25" t="n"/>
      <c r="H528" s="25" t="n"/>
      <c r="I528" s="26" t="n"/>
      <c r="J528" s="25" t="n"/>
      <c r="K528" s="26" t="n"/>
      <c r="L528" s="25" t="n"/>
      <c r="M528" s="25" t="n"/>
      <c r="N528" s="26" t="n"/>
      <c r="O528" s="25" t="n"/>
      <c r="P528" s="25" t="n"/>
      <c r="Q528" s="26" t="n"/>
      <c r="R528" s="25">
        <f>IF(AND($A528="",$B528=""),"",IF(Q528="Complete","Onboarded",IF(OR(M528="Member",M528="Ambassador"),"Sponsored",IF(K528&lt;&gt;"","Follow-Up",IF(I528&lt;&gt;"","Presented",IF(F528&lt;&gt;"","Contacted","New Lead"))))))</f>
        <v/>
      </c>
      <c r="S528" s="25" t="n"/>
      <c r="T528" s="25">
        <f>IF(MAX(F528,I528,K528)=0,"",TODAY()-MAX(F528,I528,K528))</f>
        <v/>
      </c>
      <c r="U528" s="25" t="n"/>
      <c r="V528" s="25" t="n"/>
      <c r="W528" s="25">
        <f>IF(AND($A528="",$B528=""),"",IF(M528="Ambassador","1 - Ambassador",IF(M528="Member","2 - Member",IF(J528="Completed","3 - Presented",IF(H528&lt;&gt;"","4 - Sent",IF(F528&lt;&gt;"","5 - Contacted","6 - No Activity"))))))</f>
        <v/>
      </c>
      <c r="X528" s="25">
        <f>IF(AND($A528="",$B528=""),9999999+(ROW()-4),VALUE(LEFT($W528,1))*10000+(ROW()-4))</f>
        <v/>
      </c>
    </row>
    <row r="529" ht="15" customHeight="1" s="20">
      <c r="A529" s="25" t="n"/>
      <c r="B529" s="25" t="n"/>
      <c r="C529" s="25" t="n"/>
      <c r="D529" s="25" t="n"/>
      <c r="E529" s="25" t="n"/>
      <c r="F529" s="26" t="n"/>
      <c r="G529" s="25" t="n"/>
      <c r="H529" s="25" t="n"/>
      <c r="I529" s="26" t="n"/>
      <c r="J529" s="25" t="n"/>
      <c r="K529" s="26" t="n"/>
      <c r="L529" s="25" t="n"/>
      <c r="M529" s="25" t="n"/>
      <c r="N529" s="26" t="n"/>
      <c r="O529" s="25" t="n"/>
      <c r="P529" s="25" t="n"/>
      <c r="Q529" s="26" t="n"/>
      <c r="R529" s="25">
        <f>IF(AND($A529="",$B529=""),"",IF(Q529="Complete","Onboarded",IF(OR(M529="Member",M529="Ambassador"),"Sponsored",IF(K529&lt;&gt;"","Follow-Up",IF(I529&lt;&gt;"","Presented",IF(F529&lt;&gt;"","Contacted","New Lead"))))))</f>
        <v/>
      </c>
      <c r="S529" s="25" t="n"/>
      <c r="T529" s="25">
        <f>IF(MAX(F529,I529,K529)=0,"",TODAY()-MAX(F529,I529,K529))</f>
        <v/>
      </c>
      <c r="U529" s="25" t="n"/>
      <c r="V529" s="25" t="n"/>
      <c r="W529" s="25">
        <f>IF(AND($A529="",$B529=""),"",IF(M529="Ambassador","1 - Ambassador",IF(M529="Member","2 - Member",IF(J529="Completed","3 - Presented",IF(H529&lt;&gt;"","4 - Sent",IF(F529&lt;&gt;"","5 - Contacted","6 - No Activity"))))))</f>
        <v/>
      </c>
      <c r="X529" s="25">
        <f>IF(AND($A529="",$B529=""),9999999+(ROW()-4),VALUE(LEFT($W529,1))*10000+(ROW()-4))</f>
        <v/>
      </c>
    </row>
    <row r="530" ht="15" customHeight="1" s="20">
      <c r="A530" s="25" t="n"/>
      <c r="B530" s="25" t="n"/>
      <c r="C530" s="25" t="n"/>
      <c r="D530" s="25" t="n"/>
      <c r="E530" s="25" t="n"/>
      <c r="F530" s="26" t="n"/>
      <c r="G530" s="25" t="n"/>
      <c r="H530" s="25" t="n"/>
      <c r="I530" s="26" t="n"/>
      <c r="J530" s="25" t="n"/>
      <c r="K530" s="26" t="n"/>
      <c r="L530" s="25" t="n"/>
      <c r="M530" s="25" t="n"/>
      <c r="N530" s="26" t="n"/>
      <c r="O530" s="25" t="n"/>
      <c r="P530" s="25" t="n"/>
      <c r="Q530" s="26" t="n"/>
      <c r="R530" s="25">
        <f>IF(AND($A530="",$B530=""),"",IF(Q530="Complete","Onboarded",IF(OR(M530="Member",M530="Ambassador"),"Sponsored",IF(K530&lt;&gt;"","Follow-Up",IF(I530&lt;&gt;"","Presented",IF(F530&lt;&gt;"","Contacted","New Lead"))))))</f>
        <v/>
      </c>
      <c r="S530" s="25" t="n"/>
      <c r="T530" s="25">
        <f>IF(MAX(F530,I530,K530)=0,"",TODAY()-MAX(F530,I530,K530))</f>
        <v/>
      </c>
      <c r="U530" s="25" t="n"/>
      <c r="V530" s="25" t="n"/>
      <c r="W530" s="25">
        <f>IF(AND($A530="",$B530=""),"",IF(M530="Ambassador","1 - Ambassador",IF(M530="Member","2 - Member",IF(J530="Completed","3 - Presented",IF(H530&lt;&gt;"","4 - Sent",IF(F530&lt;&gt;"","5 - Contacted","6 - No Activity"))))))</f>
        <v/>
      </c>
      <c r="X530" s="25">
        <f>IF(AND($A530="",$B530=""),9999999+(ROW()-4),VALUE(LEFT($W530,1))*10000+(ROW()-4))</f>
        <v/>
      </c>
    </row>
    <row r="531" ht="15" customHeight="1" s="20">
      <c r="A531" s="25" t="n"/>
      <c r="B531" s="25" t="n"/>
      <c r="C531" s="25" t="n"/>
      <c r="D531" s="25" t="n"/>
      <c r="E531" s="25" t="n"/>
      <c r="F531" s="26" t="n"/>
      <c r="G531" s="25" t="n"/>
      <c r="H531" s="25" t="n"/>
      <c r="I531" s="26" t="n"/>
      <c r="J531" s="25" t="n"/>
      <c r="K531" s="26" t="n"/>
      <c r="L531" s="25" t="n"/>
      <c r="M531" s="25" t="n"/>
      <c r="N531" s="26" t="n"/>
      <c r="O531" s="25" t="n"/>
      <c r="P531" s="25" t="n"/>
      <c r="Q531" s="26" t="n"/>
      <c r="R531" s="25">
        <f>IF(AND($A531="",$B531=""),"",IF(Q531="Complete","Onboarded",IF(OR(M531="Member",M531="Ambassador"),"Sponsored",IF(K531&lt;&gt;"","Follow-Up",IF(I531&lt;&gt;"","Presented",IF(F531&lt;&gt;"","Contacted","New Lead"))))))</f>
        <v/>
      </c>
      <c r="S531" s="25" t="n"/>
      <c r="T531" s="25">
        <f>IF(MAX(F531,I531,K531)=0,"",TODAY()-MAX(F531,I531,K531))</f>
        <v/>
      </c>
      <c r="U531" s="25" t="n"/>
      <c r="V531" s="25" t="n"/>
      <c r="W531" s="25">
        <f>IF(AND($A531="",$B531=""),"",IF(M531="Ambassador","1 - Ambassador",IF(M531="Member","2 - Member",IF(J531="Completed","3 - Presented",IF(H531&lt;&gt;"","4 - Sent",IF(F531&lt;&gt;"","5 - Contacted","6 - No Activity"))))))</f>
        <v/>
      </c>
      <c r="X531" s="25">
        <f>IF(AND($A531="",$B531=""),9999999+(ROW()-4),VALUE(LEFT($W531,1))*10000+(ROW()-4))</f>
        <v/>
      </c>
    </row>
    <row r="532" ht="15" customHeight="1" s="20">
      <c r="A532" s="25" t="n"/>
      <c r="B532" s="25" t="n"/>
      <c r="C532" s="25" t="n"/>
      <c r="D532" s="25" t="n"/>
      <c r="E532" s="25" t="n"/>
      <c r="F532" s="26" t="n"/>
      <c r="G532" s="25" t="n"/>
      <c r="H532" s="25" t="n"/>
      <c r="I532" s="26" t="n"/>
      <c r="J532" s="25" t="n"/>
      <c r="K532" s="26" t="n"/>
      <c r="L532" s="25" t="n"/>
      <c r="M532" s="25" t="n"/>
      <c r="N532" s="26" t="n"/>
      <c r="O532" s="25" t="n"/>
      <c r="P532" s="25" t="n"/>
      <c r="Q532" s="26" t="n"/>
      <c r="R532" s="25">
        <f>IF(AND($A532="",$B532=""),"",IF(Q532="Complete","Onboarded",IF(OR(M532="Member",M532="Ambassador"),"Sponsored",IF(K532&lt;&gt;"","Follow-Up",IF(I532&lt;&gt;"","Presented",IF(F532&lt;&gt;"","Contacted","New Lead"))))))</f>
        <v/>
      </c>
      <c r="S532" s="25" t="n"/>
      <c r="T532" s="25">
        <f>IF(MAX(F532,I532,K532)=0,"",TODAY()-MAX(F532,I532,K532))</f>
        <v/>
      </c>
      <c r="U532" s="25" t="n"/>
      <c r="V532" s="25" t="n"/>
      <c r="W532" s="25">
        <f>IF(AND($A532="",$B532=""),"",IF(M532="Ambassador","1 - Ambassador",IF(M532="Member","2 - Member",IF(J532="Completed","3 - Presented",IF(H532&lt;&gt;"","4 - Sent",IF(F532&lt;&gt;"","5 - Contacted","6 - No Activity"))))))</f>
        <v/>
      </c>
      <c r="X532" s="25">
        <f>IF(AND($A532="",$B532=""),9999999+(ROW()-4),VALUE(LEFT($W532,1))*10000+(ROW()-4))</f>
        <v/>
      </c>
    </row>
    <row r="533" ht="15" customHeight="1" s="20">
      <c r="A533" s="25" t="n"/>
      <c r="B533" s="25" t="n"/>
      <c r="C533" s="25" t="n"/>
      <c r="D533" s="25" t="n"/>
      <c r="E533" s="25" t="n"/>
      <c r="F533" s="26" t="n"/>
      <c r="G533" s="25" t="n"/>
      <c r="H533" s="25" t="n"/>
      <c r="I533" s="26" t="n"/>
      <c r="J533" s="25" t="n"/>
      <c r="K533" s="26" t="n"/>
      <c r="L533" s="25" t="n"/>
      <c r="M533" s="25" t="n"/>
      <c r="N533" s="26" t="n"/>
      <c r="O533" s="25" t="n"/>
      <c r="P533" s="25" t="n"/>
      <c r="Q533" s="26" t="n"/>
      <c r="R533" s="25">
        <f>IF(AND($A533="",$B533=""),"",IF(Q533="Complete","Onboarded",IF(OR(M533="Member",M533="Ambassador"),"Sponsored",IF(K533&lt;&gt;"","Follow-Up",IF(I533&lt;&gt;"","Presented",IF(F533&lt;&gt;"","Contacted","New Lead"))))))</f>
        <v/>
      </c>
      <c r="S533" s="25" t="n"/>
      <c r="T533" s="25">
        <f>IF(MAX(F533,I533,K533)=0,"",TODAY()-MAX(F533,I533,K533))</f>
        <v/>
      </c>
      <c r="U533" s="25" t="n"/>
      <c r="V533" s="25" t="n"/>
      <c r="W533" s="25">
        <f>IF(AND($A533="",$B533=""),"",IF(M533="Ambassador","1 - Ambassador",IF(M533="Member","2 - Member",IF(J533="Completed","3 - Presented",IF(H533&lt;&gt;"","4 - Sent",IF(F533&lt;&gt;"","5 - Contacted","6 - No Activity"))))))</f>
        <v/>
      </c>
      <c r="X533" s="25">
        <f>IF(AND($A533="",$B533=""),9999999+(ROW()-4),VALUE(LEFT($W533,1))*10000+(ROW()-4))</f>
        <v/>
      </c>
    </row>
    <row r="534" ht="15" customHeight="1" s="20">
      <c r="A534" s="25" t="n"/>
      <c r="B534" s="25" t="n"/>
      <c r="C534" s="25" t="n"/>
      <c r="D534" s="25" t="n"/>
      <c r="E534" s="25" t="n"/>
      <c r="F534" s="26" t="n"/>
      <c r="G534" s="25" t="n"/>
      <c r="H534" s="25" t="n"/>
      <c r="I534" s="26" t="n"/>
      <c r="J534" s="25" t="n"/>
      <c r="K534" s="26" t="n"/>
      <c r="L534" s="25" t="n"/>
      <c r="M534" s="25" t="n"/>
      <c r="N534" s="26" t="n"/>
      <c r="O534" s="25" t="n"/>
      <c r="P534" s="25" t="n"/>
      <c r="Q534" s="26" t="n"/>
      <c r="R534" s="25">
        <f>IF(AND($A534="",$B534=""),"",IF(Q534="Complete","Onboarded",IF(OR(M534="Member",M534="Ambassador"),"Sponsored",IF(K534&lt;&gt;"","Follow-Up",IF(I534&lt;&gt;"","Presented",IF(F534&lt;&gt;"","Contacted","New Lead"))))))</f>
        <v/>
      </c>
      <c r="S534" s="25" t="n"/>
      <c r="T534" s="25">
        <f>IF(MAX(F534,I534,K534)=0,"",TODAY()-MAX(F534,I534,K534))</f>
        <v/>
      </c>
      <c r="U534" s="25" t="n"/>
      <c r="V534" s="25" t="n"/>
      <c r="W534" s="25">
        <f>IF(AND($A534="",$B534=""),"",IF(M534="Ambassador","1 - Ambassador",IF(M534="Member","2 - Member",IF(J534="Completed","3 - Presented",IF(H534&lt;&gt;"","4 - Sent",IF(F534&lt;&gt;"","5 - Contacted","6 - No Activity"))))))</f>
        <v/>
      </c>
      <c r="X534" s="25">
        <f>IF(AND($A534="",$B534=""),9999999+(ROW()-4),VALUE(LEFT($W534,1))*10000+(ROW()-4))</f>
        <v/>
      </c>
    </row>
    <row r="535" ht="15" customHeight="1" s="20">
      <c r="A535" s="25" t="n"/>
      <c r="B535" s="25" t="n"/>
      <c r="C535" s="25" t="n"/>
      <c r="D535" s="25" t="n"/>
      <c r="E535" s="25" t="n"/>
      <c r="F535" s="26" t="n"/>
      <c r="G535" s="25" t="n"/>
      <c r="H535" s="25" t="n"/>
      <c r="I535" s="26" t="n"/>
      <c r="J535" s="25" t="n"/>
      <c r="K535" s="26" t="n"/>
      <c r="L535" s="25" t="n"/>
      <c r="M535" s="25" t="n"/>
      <c r="N535" s="26" t="n"/>
      <c r="O535" s="25" t="n"/>
      <c r="P535" s="25" t="n"/>
      <c r="Q535" s="26" t="n"/>
      <c r="R535" s="25">
        <f>IF(AND($A535="",$B535=""),"",IF(Q535="Complete","Onboarded",IF(OR(M535="Member",M535="Ambassador"),"Sponsored",IF(K535&lt;&gt;"","Follow-Up",IF(I535&lt;&gt;"","Presented",IF(F535&lt;&gt;"","Contacted","New Lead"))))))</f>
        <v/>
      </c>
      <c r="S535" s="25" t="n"/>
      <c r="T535" s="25">
        <f>IF(MAX(F535,I535,K535)=0,"",TODAY()-MAX(F535,I535,K535))</f>
        <v/>
      </c>
      <c r="U535" s="25" t="n"/>
      <c r="V535" s="25" t="n"/>
      <c r="W535" s="25">
        <f>IF(AND($A535="",$B535=""),"",IF(M535="Ambassador","1 - Ambassador",IF(M535="Member","2 - Member",IF(J535="Completed","3 - Presented",IF(H535&lt;&gt;"","4 - Sent",IF(F535&lt;&gt;"","5 - Contacted","6 - No Activity"))))))</f>
        <v/>
      </c>
      <c r="X535" s="25">
        <f>IF(AND($A535="",$B535=""),9999999+(ROW()-4),VALUE(LEFT($W535,1))*10000+(ROW()-4))</f>
        <v/>
      </c>
    </row>
    <row r="536" ht="15" customHeight="1" s="20">
      <c r="A536" s="25" t="n"/>
      <c r="B536" s="25" t="n"/>
      <c r="C536" s="25" t="n"/>
      <c r="D536" s="25" t="n"/>
      <c r="E536" s="25" t="n"/>
      <c r="F536" s="26" t="n"/>
      <c r="G536" s="25" t="n"/>
      <c r="H536" s="25" t="n"/>
      <c r="I536" s="26" t="n"/>
      <c r="J536" s="25" t="n"/>
      <c r="K536" s="26" t="n"/>
      <c r="L536" s="25" t="n"/>
      <c r="M536" s="25" t="n"/>
      <c r="N536" s="26" t="n"/>
      <c r="O536" s="25" t="n"/>
      <c r="P536" s="25" t="n"/>
      <c r="Q536" s="26" t="n"/>
      <c r="R536" s="25">
        <f>IF(AND($A536="",$B536=""),"",IF(Q536="Complete","Onboarded",IF(OR(M536="Member",M536="Ambassador"),"Sponsored",IF(K536&lt;&gt;"","Follow-Up",IF(I536&lt;&gt;"","Presented",IF(F536&lt;&gt;"","Contacted","New Lead"))))))</f>
        <v/>
      </c>
      <c r="S536" s="25" t="n"/>
      <c r="T536" s="25">
        <f>IF(MAX(F536,I536,K536)=0,"",TODAY()-MAX(F536,I536,K536))</f>
        <v/>
      </c>
      <c r="U536" s="25" t="n"/>
      <c r="V536" s="25" t="n"/>
      <c r="W536" s="25">
        <f>IF(AND($A536="",$B536=""),"",IF(M536="Ambassador","1 - Ambassador",IF(M536="Member","2 - Member",IF(J536="Completed","3 - Presented",IF(H536&lt;&gt;"","4 - Sent",IF(F536&lt;&gt;"","5 - Contacted","6 - No Activity"))))))</f>
        <v/>
      </c>
      <c r="X536" s="25">
        <f>IF(AND($A536="",$B536=""),9999999+(ROW()-4),VALUE(LEFT($W536,1))*10000+(ROW()-4))</f>
        <v/>
      </c>
    </row>
    <row r="537" ht="15" customHeight="1" s="20">
      <c r="A537" s="25" t="n"/>
      <c r="B537" s="25" t="n"/>
      <c r="C537" s="25" t="n"/>
      <c r="D537" s="25" t="n"/>
      <c r="E537" s="25" t="n"/>
      <c r="F537" s="26" t="n"/>
      <c r="G537" s="25" t="n"/>
      <c r="H537" s="25" t="n"/>
      <c r="I537" s="26" t="n"/>
      <c r="J537" s="25" t="n"/>
      <c r="K537" s="26" t="n"/>
      <c r="L537" s="25" t="n"/>
      <c r="M537" s="25" t="n"/>
      <c r="N537" s="26" t="n"/>
      <c r="O537" s="25" t="n"/>
      <c r="P537" s="25" t="n"/>
      <c r="Q537" s="26" t="n"/>
      <c r="R537" s="25">
        <f>IF(AND($A537="",$B537=""),"",IF(Q537="Complete","Onboarded",IF(OR(M537="Member",M537="Ambassador"),"Sponsored",IF(K537&lt;&gt;"","Follow-Up",IF(I537&lt;&gt;"","Presented",IF(F537&lt;&gt;"","Contacted","New Lead"))))))</f>
        <v/>
      </c>
      <c r="S537" s="25" t="n"/>
      <c r="T537" s="25">
        <f>IF(MAX(F537,I537,K537)=0,"",TODAY()-MAX(F537,I537,K537))</f>
        <v/>
      </c>
      <c r="U537" s="25" t="n"/>
      <c r="V537" s="25" t="n"/>
      <c r="W537" s="25">
        <f>IF(AND($A537="",$B537=""),"",IF(M537="Ambassador","1 - Ambassador",IF(M537="Member","2 - Member",IF(J537="Completed","3 - Presented",IF(H537&lt;&gt;"","4 - Sent",IF(F537&lt;&gt;"","5 - Contacted","6 - No Activity"))))))</f>
        <v/>
      </c>
      <c r="X537" s="25">
        <f>IF(AND($A537="",$B537=""),9999999+(ROW()-4),VALUE(LEFT($W537,1))*10000+(ROW()-4))</f>
        <v/>
      </c>
    </row>
    <row r="538" ht="15" customHeight="1" s="20">
      <c r="A538" s="25" t="n"/>
      <c r="B538" s="25" t="n"/>
      <c r="C538" s="25" t="n"/>
      <c r="D538" s="25" t="n"/>
      <c r="E538" s="25" t="n"/>
      <c r="F538" s="26" t="n"/>
      <c r="G538" s="25" t="n"/>
      <c r="H538" s="25" t="n"/>
      <c r="I538" s="26" t="n"/>
      <c r="J538" s="25" t="n"/>
      <c r="K538" s="26" t="n"/>
      <c r="L538" s="25" t="n"/>
      <c r="M538" s="25" t="n"/>
      <c r="N538" s="26" t="n"/>
      <c r="O538" s="25" t="n"/>
      <c r="P538" s="25" t="n"/>
      <c r="Q538" s="26" t="n"/>
      <c r="R538" s="25">
        <f>IF(AND($A538="",$B538=""),"",IF(Q538="Complete","Onboarded",IF(OR(M538="Member",M538="Ambassador"),"Sponsored",IF(K538&lt;&gt;"","Follow-Up",IF(I538&lt;&gt;"","Presented",IF(F538&lt;&gt;"","Contacted","New Lead"))))))</f>
        <v/>
      </c>
      <c r="S538" s="25" t="n"/>
      <c r="T538" s="25">
        <f>IF(MAX(F538,I538,K538)=0,"",TODAY()-MAX(F538,I538,K538))</f>
        <v/>
      </c>
      <c r="U538" s="25" t="n"/>
      <c r="V538" s="25" t="n"/>
      <c r="W538" s="25">
        <f>IF(AND($A538="",$B538=""),"",IF(M538="Ambassador","1 - Ambassador",IF(M538="Member","2 - Member",IF(J538="Completed","3 - Presented",IF(H538&lt;&gt;"","4 - Sent",IF(F538&lt;&gt;"","5 - Contacted","6 - No Activity"))))))</f>
        <v/>
      </c>
      <c r="X538" s="25">
        <f>IF(AND($A538="",$B538=""),9999999+(ROW()-4),VALUE(LEFT($W538,1))*10000+(ROW()-4))</f>
        <v/>
      </c>
    </row>
    <row r="539" ht="15" customHeight="1" s="20">
      <c r="A539" s="25" t="n"/>
      <c r="B539" s="25" t="n"/>
      <c r="C539" s="25" t="n"/>
      <c r="D539" s="25" t="n"/>
      <c r="E539" s="25" t="n"/>
      <c r="F539" s="26" t="n"/>
      <c r="G539" s="25" t="n"/>
      <c r="H539" s="25" t="n"/>
      <c r="I539" s="26" t="n"/>
      <c r="J539" s="25" t="n"/>
      <c r="K539" s="26" t="n"/>
      <c r="L539" s="25" t="n"/>
      <c r="M539" s="25" t="n"/>
      <c r="N539" s="26" t="n"/>
      <c r="O539" s="25" t="n"/>
      <c r="P539" s="25" t="n"/>
      <c r="Q539" s="26" t="n"/>
      <c r="R539" s="25">
        <f>IF(AND($A539="",$B539=""),"",IF(Q539="Complete","Onboarded",IF(OR(M539="Member",M539="Ambassador"),"Sponsored",IF(K539&lt;&gt;"","Follow-Up",IF(I539&lt;&gt;"","Presented",IF(F539&lt;&gt;"","Contacted","New Lead"))))))</f>
        <v/>
      </c>
      <c r="S539" s="25" t="n"/>
      <c r="T539" s="25">
        <f>IF(MAX(F539,I539,K539)=0,"",TODAY()-MAX(F539,I539,K539))</f>
        <v/>
      </c>
      <c r="U539" s="25" t="n"/>
      <c r="V539" s="25" t="n"/>
      <c r="W539" s="25">
        <f>IF(AND($A539="",$B539=""),"",IF(M539="Ambassador","1 - Ambassador",IF(M539="Member","2 - Member",IF(J539="Completed","3 - Presented",IF(H539&lt;&gt;"","4 - Sent",IF(F539&lt;&gt;"","5 - Contacted","6 - No Activity"))))))</f>
        <v/>
      </c>
      <c r="X539" s="25">
        <f>IF(AND($A539="",$B539=""),9999999+(ROW()-4),VALUE(LEFT($W539,1))*10000+(ROW()-4))</f>
        <v/>
      </c>
    </row>
    <row r="540" ht="15" customHeight="1" s="20">
      <c r="A540" s="25" t="n"/>
      <c r="B540" s="25" t="n"/>
      <c r="C540" s="25" t="n"/>
      <c r="D540" s="25" t="n"/>
      <c r="E540" s="25" t="n"/>
      <c r="F540" s="26" t="n"/>
      <c r="G540" s="25" t="n"/>
      <c r="H540" s="25" t="n"/>
      <c r="I540" s="26" t="n"/>
      <c r="J540" s="25" t="n"/>
      <c r="K540" s="26" t="n"/>
      <c r="L540" s="25" t="n"/>
      <c r="M540" s="25" t="n"/>
      <c r="N540" s="26" t="n"/>
      <c r="O540" s="25" t="n"/>
      <c r="P540" s="25" t="n"/>
      <c r="Q540" s="26" t="n"/>
      <c r="R540" s="25">
        <f>IF(AND($A540="",$B540=""),"",IF(Q540="Complete","Onboarded",IF(OR(M540="Member",M540="Ambassador"),"Sponsored",IF(K540&lt;&gt;"","Follow-Up",IF(I540&lt;&gt;"","Presented",IF(F540&lt;&gt;"","Contacted","New Lead"))))))</f>
        <v/>
      </c>
      <c r="S540" s="25" t="n"/>
      <c r="T540" s="25">
        <f>IF(MAX(F540,I540,K540)=0,"",TODAY()-MAX(F540,I540,K540))</f>
        <v/>
      </c>
      <c r="U540" s="25" t="n"/>
      <c r="V540" s="25" t="n"/>
      <c r="W540" s="25">
        <f>IF(AND($A540="",$B540=""),"",IF(M540="Ambassador","1 - Ambassador",IF(M540="Member","2 - Member",IF(J540="Completed","3 - Presented",IF(H540&lt;&gt;"","4 - Sent",IF(F540&lt;&gt;"","5 - Contacted","6 - No Activity"))))))</f>
        <v/>
      </c>
      <c r="X540" s="25">
        <f>IF(AND($A540="",$B540=""),9999999+(ROW()-4),VALUE(LEFT($W540,1))*10000+(ROW()-4))</f>
        <v/>
      </c>
    </row>
    <row r="541" ht="15" customHeight="1" s="20">
      <c r="A541" s="25" t="n"/>
      <c r="B541" s="25" t="n"/>
      <c r="C541" s="25" t="n"/>
      <c r="D541" s="25" t="n"/>
      <c r="E541" s="25" t="n"/>
      <c r="F541" s="26" t="n"/>
      <c r="G541" s="25" t="n"/>
      <c r="H541" s="25" t="n"/>
      <c r="I541" s="26" t="n"/>
      <c r="J541" s="25" t="n"/>
      <c r="K541" s="26" t="n"/>
      <c r="L541" s="25" t="n"/>
      <c r="M541" s="25" t="n"/>
      <c r="N541" s="26" t="n"/>
      <c r="O541" s="25" t="n"/>
      <c r="P541" s="25" t="n"/>
      <c r="Q541" s="26" t="n"/>
      <c r="R541" s="25">
        <f>IF(AND($A541="",$B541=""),"",IF(Q541="Complete","Onboarded",IF(OR(M541="Member",M541="Ambassador"),"Sponsored",IF(K541&lt;&gt;"","Follow-Up",IF(I541&lt;&gt;"","Presented",IF(F541&lt;&gt;"","Contacted","New Lead"))))))</f>
        <v/>
      </c>
      <c r="S541" s="25" t="n"/>
      <c r="T541" s="25">
        <f>IF(MAX(F541,I541,K541)=0,"",TODAY()-MAX(F541,I541,K541))</f>
        <v/>
      </c>
      <c r="U541" s="25" t="n"/>
      <c r="V541" s="25" t="n"/>
      <c r="W541" s="25">
        <f>IF(AND($A541="",$B541=""),"",IF(M541="Ambassador","1 - Ambassador",IF(M541="Member","2 - Member",IF(J541="Completed","3 - Presented",IF(H541&lt;&gt;"","4 - Sent",IF(F541&lt;&gt;"","5 - Contacted","6 - No Activity"))))))</f>
        <v/>
      </c>
      <c r="X541" s="25">
        <f>IF(AND($A541="",$B541=""),9999999+(ROW()-4),VALUE(LEFT($W541,1))*10000+(ROW()-4))</f>
        <v/>
      </c>
    </row>
    <row r="542" ht="15" customHeight="1" s="20">
      <c r="A542" s="25" t="n"/>
      <c r="B542" s="25" t="n"/>
      <c r="C542" s="25" t="n"/>
      <c r="D542" s="25" t="n"/>
      <c r="E542" s="25" t="n"/>
      <c r="F542" s="26" t="n"/>
      <c r="G542" s="25" t="n"/>
      <c r="H542" s="25" t="n"/>
      <c r="I542" s="26" t="n"/>
      <c r="J542" s="25" t="n"/>
      <c r="K542" s="26" t="n"/>
      <c r="L542" s="25" t="n"/>
      <c r="M542" s="25" t="n"/>
      <c r="N542" s="26" t="n"/>
      <c r="O542" s="25" t="n"/>
      <c r="P542" s="25" t="n"/>
      <c r="Q542" s="26" t="n"/>
      <c r="R542" s="25">
        <f>IF(AND($A542="",$B542=""),"",IF(Q542="Complete","Onboarded",IF(OR(M542="Member",M542="Ambassador"),"Sponsored",IF(K542&lt;&gt;"","Follow-Up",IF(I542&lt;&gt;"","Presented",IF(F542&lt;&gt;"","Contacted","New Lead"))))))</f>
        <v/>
      </c>
      <c r="S542" s="25" t="n"/>
      <c r="T542" s="25">
        <f>IF(MAX(F542,I542,K542)=0,"",TODAY()-MAX(F542,I542,K542))</f>
        <v/>
      </c>
      <c r="U542" s="25" t="n"/>
      <c r="V542" s="25" t="n"/>
      <c r="W542" s="25">
        <f>IF(AND($A542="",$B542=""),"",IF(M542="Ambassador","1 - Ambassador",IF(M542="Member","2 - Member",IF(J542="Completed","3 - Presented",IF(H542&lt;&gt;"","4 - Sent",IF(F542&lt;&gt;"","5 - Contacted","6 - No Activity"))))))</f>
        <v/>
      </c>
      <c r="X542" s="25">
        <f>IF(AND($A542="",$B542=""),9999999+(ROW()-4),VALUE(LEFT($W542,1))*10000+(ROW()-4))</f>
        <v/>
      </c>
    </row>
    <row r="543" ht="15" customHeight="1" s="20">
      <c r="A543" s="25" t="n"/>
      <c r="B543" s="25" t="n"/>
      <c r="C543" s="25" t="n"/>
      <c r="D543" s="25" t="n"/>
      <c r="E543" s="25" t="n"/>
      <c r="F543" s="26" t="n"/>
      <c r="G543" s="25" t="n"/>
      <c r="H543" s="25" t="n"/>
      <c r="I543" s="26" t="n"/>
      <c r="J543" s="25" t="n"/>
      <c r="K543" s="26" t="n"/>
      <c r="L543" s="25" t="n"/>
      <c r="M543" s="25" t="n"/>
      <c r="N543" s="26" t="n"/>
      <c r="O543" s="25" t="n"/>
      <c r="P543" s="25" t="n"/>
      <c r="Q543" s="26" t="n"/>
      <c r="R543" s="25">
        <f>IF(AND($A543="",$B543=""),"",IF(Q543="Complete","Onboarded",IF(OR(M543="Member",M543="Ambassador"),"Sponsored",IF(K543&lt;&gt;"","Follow-Up",IF(I543&lt;&gt;"","Presented",IF(F543&lt;&gt;"","Contacted","New Lead"))))))</f>
        <v/>
      </c>
      <c r="S543" s="25" t="n"/>
      <c r="T543" s="25">
        <f>IF(MAX(F543,I543,K543)=0,"",TODAY()-MAX(F543,I543,K543))</f>
        <v/>
      </c>
      <c r="U543" s="25" t="n"/>
      <c r="V543" s="25" t="n"/>
      <c r="W543" s="25">
        <f>IF(AND($A543="",$B543=""),"",IF(M543="Ambassador","1 - Ambassador",IF(M543="Member","2 - Member",IF(J543="Completed","3 - Presented",IF(H543&lt;&gt;"","4 - Sent",IF(F543&lt;&gt;"","5 - Contacted","6 - No Activity"))))))</f>
        <v/>
      </c>
      <c r="X543" s="25">
        <f>IF(AND($A543="",$B543=""),9999999+(ROW()-4),VALUE(LEFT($W543,1))*10000+(ROW()-4))</f>
        <v/>
      </c>
    </row>
    <row r="544" ht="15" customHeight="1" s="20">
      <c r="A544" s="25" t="n"/>
      <c r="B544" s="25" t="n"/>
      <c r="C544" s="25" t="n"/>
      <c r="D544" s="25" t="n"/>
      <c r="E544" s="25" t="n"/>
      <c r="F544" s="26" t="n"/>
      <c r="G544" s="25" t="n"/>
      <c r="H544" s="25" t="n"/>
      <c r="I544" s="26" t="n"/>
      <c r="J544" s="25" t="n"/>
      <c r="K544" s="26" t="n"/>
      <c r="L544" s="25" t="n"/>
      <c r="M544" s="25" t="n"/>
      <c r="N544" s="26" t="n"/>
      <c r="O544" s="25" t="n"/>
      <c r="P544" s="25" t="n"/>
      <c r="Q544" s="26" t="n"/>
      <c r="R544" s="25">
        <f>IF(AND($A544="",$B544=""),"",IF(Q544="Complete","Onboarded",IF(OR(M544="Member",M544="Ambassador"),"Sponsored",IF(K544&lt;&gt;"","Follow-Up",IF(I544&lt;&gt;"","Presented",IF(F544&lt;&gt;"","Contacted","New Lead"))))))</f>
        <v/>
      </c>
      <c r="S544" s="25" t="n"/>
      <c r="T544" s="25">
        <f>IF(MAX(F544,I544,K544)=0,"",TODAY()-MAX(F544,I544,K544))</f>
        <v/>
      </c>
      <c r="U544" s="25" t="n"/>
      <c r="V544" s="25" t="n"/>
      <c r="W544" s="25">
        <f>IF(AND($A544="",$B544=""),"",IF(M544="Ambassador","1 - Ambassador",IF(M544="Member","2 - Member",IF(J544="Completed","3 - Presented",IF(H544&lt;&gt;"","4 - Sent",IF(F544&lt;&gt;"","5 - Contacted","6 - No Activity"))))))</f>
        <v/>
      </c>
      <c r="X544" s="25">
        <f>IF(AND($A544="",$B544=""),9999999+(ROW()-4),VALUE(LEFT($W544,1))*10000+(ROW()-4))</f>
        <v/>
      </c>
    </row>
    <row r="545" ht="15" customHeight="1" s="20">
      <c r="A545" s="25" t="n"/>
      <c r="B545" s="25" t="n"/>
      <c r="C545" s="25" t="n"/>
      <c r="D545" s="25" t="n"/>
      <c r="E545" s="25" t="n"/>
      <c r="F545" s="26" t="n"/>
      <c r="G545" s="25" t="n"/>
      <c r="H545" s="25" t="n"/>
      <c r="I545" s="26" t="n"/>
      <c r="J545" s="25" t="n"/>
      <c r="K545" s="26" t="n"/>
      <c r="L545" s="25" t="n"/>
      <c r="M545" s="25" t="n"/>
      <c r="N545" s="26" t="n"/>
      <c r="O545" s="25" t="n"/>
      <c r="P545" s="25" t="n"/>
      <c r="Q545" s="26" t="n"/>
      <c r="R545" s="25">
        <f>IF(AND($A545="",$B545=""),"",IF(Q545="Complete","Onboarded",IF(OR(M545="Member",M545="Ambassador"),"Sponsored",IF(K545&lt;&gt;"","Follow-Up",IF(I545&lt;&gt;"","Presented",IF(F545&lt;&gt;"","Contacted","New Lead"))))))</f>
        <v/>
      </c>
      <c r="S545" s="25" t="n"/>
      <c r="T545" s="25">
        <f>IF(MAX(F545,I545,K545)=0,"",TODAY()-MAX(F545,I545,K545))</f>
        <v/>
      </c>
      <c r="U545" s="25" t="n"/>
      <c r="V545" s="25" t="n"/>
      <c r="W545" s="25">
        <f>IF(AND($A545="",$B545=""),"",IF(M545="Ambassador","1 - Ambassador",IF(M545="Member","2 - Member",IF(J545="Completed","3 - Presented",IF(H545&lt;&gt;"","4 - Sent",IF(F545&lt;&gt;"","5 - Contacted","6 - No Activity"))))))</f>
        <v/>
      </c>
      <c r="X545" s="25">
        <f>IF(AND($A545="",$B545=""),9999999+(ROW()-4),VALUE(LEFT($W545,1))*10000+(ROW()-4))</f>
        <v/>
      </c>
    </row>
    <row r="546" ht="15" customHeight="1" s="20">
      <c r="A546" s="25" t="n"/>
      <c r="B546" s="25" t="n"/>
      <c r="C546" s="25" t="n"/>
      <c r="D546" s="25" t="n"/>
      <c r="E546" s="25" t="n"/>
      <c r="F546" s="26" t="n"/>
      <c r="G546" s="25" t="n"/>
      <c r="H546" s="25" t="n"/>
      <c r="I546" s="26" t="n"/>
      <c r="J546" s="25" t="n"/>
      <c r="K546" s="26" t="n"/>
      <c r="L546" s="25" t="n"/>
      <c r="M546" s="25" t="n"/>
      <c r="N546" s="26" t="n"/>
      <c r="O546" s="25" t="n"/>
      <c r="P546" s="25" t="n"/>
      <c r="Q546" s="26" t="n"/>
      <c r="R546" s="25">
        <f>IF(AND($A546="",$B546=""),"",IF(Q546="Complete","Onboarded",IF(OR(M546="Member",M546="Ambassador"),"Sponsored",IF(K546&lt;&gt;"","Follow-Up",IF(I546&lt;&gt;"","Presented",IF(F546&lt;&gt;"","Contacted","New Lead"))))))</f>
        <v/>
      </c>
      <c r="S546" s="25" t="n"/>
      <c r="T546" s="25">
        <f>IF(MAX(F546,I546,K546)=0,"",TODAY()-MAX(F546,I546,K546))</f>
        <v/>
      </c>
      <c r="U546" s="25" t="n"/>
      <c r="V546" s="25" t="n"/>
      <c r="W546" s="25">
        <f>IF(AND($A546="",$B546=""),"",IF(M546="Ambassador","1 - Ambassador",IF(M546="Member","2 - Member",IF(J546="Completed","3 - Presented",IF(H546&lt;&gt;"","4 - Sent",IF(F546&lt;&gt;"","5 - Contacted","6 - No Activity"))))))</f>
        <v/>
      </c>
      <c r="X546" s="25">
        <f>IF(AND($A546="",$B546=""),9999999+(ROW()-4),VALUE(LEFT($W546,1))*10000+(ROW()-4))</f>
        <v/>
      </c>
    </row>
    <row r="547" ht="15" customHeight="1" s="20">
      <c r="A547" s="25" t="n"/>
      <c r="B547" s="25" t="n"/>
      <c r="C547" s="25" t="n"/>
      <c r="D547" s="25" t="n"/>
      <c r="E547" s="25" t="n"/>
      <c r="F547" s="26" t="n"/>
      <c r="G547" s="25" t="n"/>
      <c r="H547" s="25" t="n"/>
      <c r="I547" s="26" t="n"/>
      <c r="J547" s="25" t="n"/>
      <c r="K547" s="26" t="n"/>
      <c r="L547" s="25" t="n"/>
      <c r="M547" s="25" t="n"/>
      <c r="N547" s="26" t="n"/>
      <c r="O547" s="25" t="n"/>
      <c r="P547" s="25" t="n"/>
      <c r="Q547" s="26" t="n"/>
      <c r="R547" s="25">
        <f>IF(AND($A547="",$B547=""),"",IF(Q547="Complete","Onboarded",IF(OR(M547="Member",M547="Ambassador"),"Sponsored",IF(K547&lt;&gt;"","Follow-Up",IF(I547&lt;&gt;"","Presented",IF(F547&lt;&gt;"","Contacted","New Lead"))))))</f>
        <v/>
      </c>
      <c r="S547" s="25" t="n"/>
      <c r="T547" s="25">
        <f>IF(MAX(F547,I547,K547)=0,"",TODAY()-MAX(F547,I547,K547))</f>
        <v/>
      </c>
      <c r="U547" s="25" t="n"/>
      <c r="V547" s="25" t="n"/>
      <c r="W547" s="25">
        <f>IF(AND($A547="",$B547=""),"",IF(M547="Ambassador","1 - Ambassador",IF(M547="Member","2 - Member",IF(J547="Completed","3 - Presented",IF(H547&lt;&gt;"","4 - Sent",IF(F547&lt;&gt;"","5 - Contacted","6 - No Activity"))))))</f>
        <v/>
      </c>
      <c r="X547" s="25">
        <f>IF(AND($A547="",$B547=""),9999999+(ROW()-4),VALUE(LEFT($W547,1))*10000+(ROW()-4))</f>
        <v/>
      </c>
    </row>
    <row r="548" ht="15" customHeight="1" s="20">
      <c r="A548" s="25" t="n"/>
      <c r="B548" s="25" t="n"/>
      <c r="C548" s="25" t="n"/>
      <c r="D548" s="25" t="n"/>
      <c r="E548" s="25" t="n"/>
      <c r="F548" s="26" t="n"/>
      <c r="G548" s="25" t="n"/>
      <c r="H548" s="25" t="n"/>
      <c r="I548" s="26" t="n"/>
      <c r="J548" s="25" t="n"/>
      <c r="K548" s="26" t="n"/>
      <c r="L548" s="25" t="n"/>
      <c r="M548" s="25" t="n"/>
      <c r="N548" s="26" t="n"/>
      <c r="O548" s="25" t="n"/>
      <c r="P548" s="25" t="n"/>
      <c r="Q548" s="26" t="n"/>
      <c r="R548" s="25">
        <f>IF(AND($A548="",$B548=""),"",IF(Q548="Complete","Onboarded",IF(OR(M548="Member",M548="Ambassador"),"Sponsored",IF(K548&lt;&gt;"","Follow-Up",IF(I548&lt;&gt;"","Presented",IF(F548&lt;&gt;"","Contacted","New Lead"))))))</f>
        <v/>
      </c>
      <c r="S548" s="25" t="n"/>
      <c r="T548" s="25">
        <f>IF(MAX(F548,I548,K548)=0,"",TODAY()-MAX(F548,I548,K548))</f>
        <v/>
      </c>
      <c r="U548" s="25" t="n"/>
      <c r="V548" s="25" t="n"/>
      <c r="W548" s="25">
        <f>IF(AND($A548="",$B548=""),"",IF(M548="Ambassador","1 - Ambassador",IF(M548="Member","2 - Member",IF(J548="Completed","3 - Presented",IF(H548&lt;&gt;"","4 - Sent",IF(F548&lt;&gt;"","5 - Contacted","6 - No Activity"))))))</f>
        <v/>
      </c>
      <c r="X548" s="25">
        <f>IF(AND($A548="",$B548=""),9999999+(ROW()-4),VALUE(LEFT($W548,1))*10000+(ROW()-4))</f>
        <v/>
      </c>
    </row>
    <row r="549" ht="15" customHeight="1" s="20">
      <c r="A549" s="25" t="n"/>
      <c r="B549" s="25" t="n"/>
      <c r="C549" s="25" t="n"/>
      <c r="D549" s="25" t="n"/>
      <c r="E549" s="25" t="n"/>
      <c r="F549" s="26" t="n"/>
      <c r="G549" s="25" t="n"/>
      <c r="H549" s="25" t="n"/>
      <c r="I549" s="26" t="n"/>
      <c r="J549" s="25" t="n"/>
      <c r="K549" s="26" t="n"/>
      <c r="L549" s="25" t="n"/>
      <c r="M549" s="25" t="n"/>
      <c r="N549" s="26" t="n"/>
      <c r="O549" s="25" t="n"/>
      <c r="P549" s="25" t="n"/>
      <c r="Q549" s="26" t="n"/>
      <c r="R549" s="25">
        <f>IF(AND($A549="",$B549=""),"",IF(Q549="Complete","Onboarded",IF(OR(M549="Member",M549="Ambassador"),"Sponsored",IF(K549&lt;&gt;"","Follow-Up",IF(I549&lt;&gt;"","Presented",IF(F549&lt;&gt;"","Contacted","New Lead"))))))</f>
        <v/>
      </c>
      <c r="S549" s="25" t="n"/>
      <c r="T549" s="25">
        <f>IF(MAX(F549,I549,K549)=0,"",TODAY()-MAX(F549,I549,K549))</f>
        <v/>
      </c>
      <c r="U549" s="25" t="n"/>
      <c r="V549" s="25" t="n"/>
      <c r="W549" s="25">
        <f>IF(AND($A549="",$B549=""),"",IF(M549="Ambassador","1 - Ambassador",IF(M549="Member","2 - Member",IF(J549="Completed","3 - Presented",IF(H549&lt;&gt;"","4 - Sent",IF(F549&lt;&gt;"","5 - Contacted","6 - No Activity"))))))</f>
        <v/>
      </c>
      <c r="X549" s="25">
        <f>IF(AND($A549="",$B549=""),9999999+(ROW()-4),VALUE(LEFT($W549,1))*10000+(ROW()-4))</f>
        <v/>
      </c>
    </row>
    <row r="550" ht="15" customHeight="1" s="20">
      <c r="A550" s="25" t="n"/>
      <c r="B550" s="25" t="n"/>
      <c r="C550" s="25" t="n"/>
      <c r="D550" s="25" t="n"/>
      <c r="E550" s="25" t="n"/>
      <c r="F550" s="26" t="n"/>
      <c r="G550" s="25" t="n"/>
      <c r="H550" s="25" t="n"/>
      <c r="I550" s="26" t="n"/>
      <c r="J550" s="25" t="n"/>
      <c r="K550" s="26" t="n"/>
      <c r="L550" s="25" t="n"/>
      <c r="M550" s="25" t="n"/>
      <c r="N550" s="26" t="n"/>
      <c r="O550" s="25" t="n"/>
      <c r="P550" s="25" t="n"/>
      <c r="Q550" s="26" t="n"/>
      <c r="R550" s="25">
        <f>IF(AND($A550="",$B550=""),"",IF(Q550="Complete","Onboarded",IF(OR(M550="Member",M550="Ambassador"),"Sponsored",IF(K550&lt;&gt;"","Follow-Up",IF(I550&lt;&gt;"","Presented",IF(F550&lt;&gt;"","Contacted","New Lead"))))))</f>
        <v/>
      </c>
      <c r="S550" s="25" t="n"/>
      <c r="T550" s="25">
        <f>IF(MAX(F550,I550,K550)=0,"",TODAY()-MAX(F550,I550,K550))</f>
        <v/>
      </c>
      <c r="U550" s="25" t="n"/>
      <c r="V550" s="25" t="n"/>
      <c r="W550" s="25">
        <f>IF(AND($A550="",$B550=""),"",IF(M550="Ambassador","1 - Ambassador",IF(M550="Member","2 - Member",IF(J550="Completed","3 - Presented",IF(H550&lt;&gt;"","4 - Sent",IF(F550&lt;&gt;"","5 - Contacted","6 - No Activity"))))))</f>
        <v/>
      </c>
      <c r="X550" s="25">
        <f>IF(AND($A550="",$B550=""),9999999+(ROW()-4),VALUE(LEFT($W550,1))*10000+(ROW()-4))</f>
        <v/>
      </c>
    </row>
    <row r="551" ht="15" customHeight="1" s="20">
      <c r="A551" s="25" t="n"/>
      <c r="B551" s="25" t="n"/>
      <c r="C551" s="25" t="n"/>
      <c r="D551" s="25" t="n"/>
      <c r="E551" s="25" t="n"/>
      <c r="F551" s="26" t="n"/>
      <c r="G551" s="25" t="n"/>
      <c r="H551" s="25" t="n"/>
      <c r="I551" s="26" t="n"/>
      <c r="J551" s="25" t="n"/>
      <c r="K551" s="26" t="n"/>
      <c r="L551" s="25" t="n"/>
      <c r="M551" s="25" t="n"/>
      <c r="N551" s="26" t="n"/>
      <c r="O551" s="25" t="n"/>
      <c r="P551" s="25" t="n"/>
      <c r="Q551" s="26" t="n"/>
      <c r="R551" s="25">
        <f>IF(AND($A551="",$B551=""),"",IF(Q551="Complete","Onboarded",IF(OR(M551="Member",M551="Ambassador"),"Sponsored",IF(K551&lt;&gt;"","Follow-Up",IF(I551&lt;&gt;"","Presented",IF(F551&lt;&gt;"","Contacted","New Lead"))))))</f>
        <v/>
      </c>
      <c r="S551" s="25" t="n"/>
      <c r="T551" s="25">
        <f>IF(MAX(F551,I551,K551)=0,"",TODAY()-MAX(F551,I551,K551))</f>
        <v/>
      </c>
      <c r="U551" s="25" t="n"/>
      <c r="V551" s="25" t="n"/>
      <c r="W551" s="25">
        <f>IF(AND($A551="",$B551=""),"",IF(M551="Ambassador","1 - Ambassador",IF(M551="Member","2 - Member",IF(J551="Completed","3 - Presented",IF(H551&lt;&gt;"","4 - Sent",IF(F551&lt;&gt;"","5 - Contacted","6 - No Activity"))))))</f>
        <v/>
      </c>
      <c r="X551" s="25">
        <f>IF(AND($A551="",$B551=""),9999999+(ROW()-4),VALUE(LEFT($W551,1))*10000+(ROW()-4))</f>
        <v/>
      </c>
    </row>
    <row r="552" ht="15" customHeight="1" s="20">
      <c r="A552" s="25" t="n"/>
      <c r="B552" s="25" t="n"/>
      <c r="C552" s="25" t="n"/>
      <c r="D552" s="25" t="n"/>
      <c r="E552" s="25" t="n"/>
      <c r="F552" s="26" t="n"/>
      <c r="G552" s="25" t="n"/>
      <c r="H552" s="25" t="n"/>
      <c r="I552" s="26" t="n"/>
      <c r="J552" s="25" t="n"/>
      <c r="K552" s="26" t="n"/>
      <c r="L552" s="25" t="n"/>
      <c r="M552" s="25" t="n"/>
      <c r="N552" s="26" t="n"/>
      <c r="O552" s="25" t="n"/>
      <c r="P552" s="25" t="n"/>
      <c r="Q552" s="26" t="n"/>
      <c r="R552" s="25">
        <f>IF(AND($A552="",$B552=""),"",IF(Q552="Complete","Onboarded",IF(OR(M552="Member",M552="Ambassador"),"Sponsored",IF(K552&lt;&gt;"","Follow-Up",IF(I552&lt;&gt;"","Presented",IF(F552&lt;&gt;"","Contacted","New Lead"))))))</f>
        <v/>
      </c>
      <c r="S552" s="25" t="n"/>
      <c r="T552" s="25">
        <f>IF(MAX(F552,I552,K552)=0,"",TODAY()-MAX(F552,I552,K552))</f>
        <v/>
      </c>
      <c r="U552" s="25" t="n"/>
      <c r="V552" s="25" t="n"/>
      <c r="W552" s="25">
        <f>IF(AND($A552="",$B552=""),"",IF(M552="Ambassador","1 - Ambassador",IF(M552="Member","2 - Member",IF(J552="Completed","3 - Presented",IF(H552&lt;&gt;"","4 - Sent",IF(F552&lt;&gt;"","5 - Contacted","6 - No Activity"))))))</f>
        <v/>
      </c>
      <c r="X552" s="25">
        <f>IF(AND($A552="",$B552=""),9999999+(ROW()-4),VALUE(LEFT($W552,1))*10000+(ROW()-4))</f>
        <v/>
      </c>
    </row>
    <row r="553" ht="15" customHeight="1" s="20">
      <c r="A553" s="25" t="n"/>
      <c r="B553" s="25" t="n"/>
      <c r="C553" s="25" t="n"/>
      <c r="D553" s="25" t="n"/>
      <c r="E553" s="25" t="n"/>
      <c r="F553" s="26" t="n"/>
      <c r="G553" s="25" t="n"/>
      <c r="H553" s="25" t="n"/>
      <c r="I553" s="26" t="n"/>
      <c r="J553" s="25" t="n"/>
      <c r="K553" s="26" t="n"/>
      <c r="L553" s="25" t="n"/>
      <c r="M553" s="25" t="n"/>
      <c r="N553" s="26" t="n"/>
      <c r="O553" s="25" t="n"/>
      <c r="P553" s="25" t="n"/>
      <c r="Q553" s="26" t="n"/>
      <c r="R553" s="25">
        <f>IF(AND($A553="",$B553=""),"",IF(Q553="Complete","Onboarded",IF(OR(M553="Member",M553="Ambassador"),"Sponsored",IF(K553&lt;&gt;"","Follow-Up",IF(I553&lt;&gt;"","Presented",IF(F553&lt;&gt;"","Contacted","New Lead"))))))</f>
        <v/>
      </c>
      <c r="S553" s="25" t="n"/>
      <c r="T553" s="25">
        <f>IF(MAX(F553,I553,K553)=0,"",TODAY()-MAX(F553,I553,K553))</f>
        <v/>
      </c>
      <c r="U553" s="25" t="n"/>
      <c r="V553" s="25" t="n"/>
      <c r="W553" s="25">
        <f>IF(AND($A553="",$B553=""),"",IF(M553="Ambassador","1 - Ambassador",IF(M553="Member","2 - Member",IF(J553="Completed","3 - Presented",IF(H553&lt;&gt;"","4 - Sent",IF(F553&lt;&gt;"","5 - Contacted","6 - No Activity"))))))</f>
        <v/>
      </c>
      <c r="X553" s="25">
        <f>IF(AND($A553="",$B553=""),9999999+(ROW()-4),VALUE(LEFT($W553,1))*10000+(ROW()-4))</f>
        <v/>
      </c>
    </row>
    <row r="554" ht="15" customHeight="1" s="20">
      <c r="A554" s="25" t="n"/>
      <c r="B554" s="25" t="n"/>
      <c r="C554" s="25" t="n"/>
      <c r="D554" s="25" t="n"/>
      <c r="E554" s="25" t="n"/>
      <c r="F554" s="26" t="n"/>
      <c r="G554" s="25" t="n"/>
      <c r="H554" s="25" t="n"/>
      <c r="I554" s="26" t="n"/>
      <c r="J554" s="25" t="n"/>
      <c r="K554" s="26" t="n"/>
      <c r="L554" s="25" t="n"/>
      <c r="M554" s="25" t="n"/>
      <c r="N554" s="26" t="n"/>
      <c r="O554" s="25" t="n"/>
      <c r="P554" s="25" t="n"/>
      <c r="Q554" s="26" t="n"/>
      <c r="R554" s="25">
        <f>IF(AND($A554="",$B554=""),"",IF(Q554="Complete","Onboarded",IF(OR(M554="Member",M554="Ambassador"),"Sponsored",IF(K554&lt;&gt;"","Follow-Up",IF(I554&lt;&gt;"","Presented",IF(F554&lt;&gt;"","Contacted","New Lead"))))))</f>
        <v/>
      </c>
      <c r="S554" s="25" t="n"/>
      <c r="T554" s="25">
        <f>IF(MAX(F554,I554,K554)=0,"",TODAY()-MAX(F554,I554,K554))</f>
        <v/>
      </c>
      <c r="U554" s="25" t="n"/>
      <c r="V554" s="25" t="n"/>
      <c r="W554" s="25">
        <f>IF(AND($A554="",$B554=""),"",IF(M554="Ambassador","1 - Ambassador",IF(M554="Member","2 - Member",IF(J554="Completed","3 - Presented",IF(H554&lt;&gt;"","4 - Sent",IF(F554&lt;&gt;"","5 - Contacted","6 - No Activity"))))))</f>
        <v/>
      </c>
      <c r="X554" s="25">
        <f>IF(AND($A554="",$B554=""),9999999+(ROW()-4),VALUE(LEFT($W554,1))*10000+(ROW()-4))</f>
        <v/>
      </c>
    </row>
  </sheetData>
  <mergeCells count="3">
    <mergeCell ref="A3:X3"/>
    <mergeCell ref="A2:X2"/>
    <mergeCell ref="A1:X1"/>
  </mergeCells>
  <conditionalFormatting sqref="M5:M554">
    <cfRule type="expression" rank="0" priority="2" equalAverage="0" aboveAverage="0" dxfId="0" text="" percent="0" bottom="0">
      <formula>OR($M5="Member",$M5="Ambassador")</formula>
    </cfRule>
  </conditionalFormatting>
  <conditionalFormatting sqref="R5:R554">
    <cfRule type="expression" rank="0" priority="3" equalAverage="0" aboveAverage="0" dxfId="0" text="" percent="0" bottom="0">
      <formula>$R5="Onboarded"</formula>
    </cfRule>
  </conditionalFormatting>
  <conditionalFormatting sqref="T5:T554">
    <cfRule type="cellIs" rank="0" priority="4" equalAverage="0" operator="greaterThan" aboveAverage="0" dxfId="1" text="" percent="0" bottom="0">
      <formula>7</formula>
    </cfRule>
  </conditionalFormatting>
  <conditionalFormatting sqref="W5:W554">
    <cfRule type="expression" rank="0" priority="5" equalAverage="0" aboveAverage="0" dxfId="2" text="" percent="0" bottom="0">
      <formula>$W5="1 - Ambassador"</formula>
    </cfRule>
    <cfRule type="expression" rank="0" priority="6" equalAverage="0" aboveAverage="0" dxfId="3" text="" percent="0" bottom="0">
      <formula>$W5="2 - Member"</formula>
    </cfRule>
    <cfRule type="expression" rank="0" priority="7" equalAverage="0" aboveAverage="0" dxfId="4" text="" percent="0" bottom="0">
      <formula>$W5="3 - Presented"</formula>
    </cfRule>
    <cfRule type="expression" rank="0" priority="8" equalAverage="0" aboveAverage="0" dxfId="5" text="" percent="0" bottom="0">
      <formula>$W5="4 - Sent"</formula>
    </cfRule>
    <cfRule type="expression" rank="0" priority="9" equalAverage="0" aboveAverage="0" dxfId="6" text="" percent="0" bottom="0">
      <formula>$W5="5 - Contacted"</formula>
    </cfRule>
  </conditionalFormatting>
  <dataValidations count="6">
    <dataValidation sqref="G5:G554" showDropDown="0" showInputMessage="0" showErrorMessage="0" allowBlank="1" type="list" errorStyle="stop" operator="between">
      <formula1>"Phone Call,Text,Email,Facebook,In Person,Zoom,Messenger,Bump Into"</formula1>
      <formula2>0</formula2>
    </dataValidation>
    <dataValidation sqref="H5:H554" showDropDown="0" showInputMessage="0" showErrorMessage="0" allowBlank="1" type="list" errorStyle="stop" operator="between">
      <formula1>"Sent,In Person"</formula1>
      <formula2>0</formula2>
    </dataValidation>
    <dataValidation sqref="J5:J554" showDropDown="0" showInputMessage="0" showErrorMessage="0" allowBlank="1" type="list" errorStyle="stop" operator="between">
      <formula1>"Not Scheduled,Scheduled,Completed,No-Show,Rescheduled"</formula1>
      <formula2>0</formula2>
    </dataValidation>
    <dataValidation sqref="M5:M554" showDropDown="0" showInputMessage="0" showErrorMessage="0" allowBlank="1" type="list" errorStyle="stop" operator="between">
      <formula1>"No,Interested,Member,Ambassador"</formula1>
      <formula2>0</formula2>
    </dataValidation>
    <dataValidation sqref="O5:O554" showDropDown="0" showInputMessage="0" showErrorMessage="0" allowBlank="1" type="list" errorStyle="stop" operator="between">
      <formula1>"Not Asked,Asked,Referrals Given"</formula1>
      <formula2>0</formula2>
    </dataValidation>
    <dataValidation sqref="P5:P554" showDropDown="0" showInputMessage="0" showErrorMessage="0" allowBlank="1" type="list" errorStyle="stop" operator="between">
      <formula1>"N/A,Not Started,In Progress,Complete"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sheetData>
    <row r="1" ht="15" customHeight="1" s="20">
      <c r="A1" s="19" t="inlineStr">
        <is>
          <t>Ranks</t>
        </is>
      </c>
    </row>
    <row r="2" ht="15" customHeight="1" s="20">
      <c r="A2" s="19" t="inlineStr">
        <is>
          <t>Ambassador I</t>
        </is>
      </c>
    </row>
    <row r="3" ht="15" customHeight="1" s="20">
      <c r="A3" s="19" t="inlineStr">
        <is>
          <t>Ambassador II</t>
        </is>
      </c>
    </row>
    <row r="4" ht="15" customHeight="1" s="20">
      <c r="A4" s="19" t="inlineStr">
        <is>
          <t>Sr. Ambassador</t>
        </is>
      </c>
    </row>
    <row r="5" ht="15" customHeight="1" s="20">
      <c r="A5" s="19" t="inlineStr">
        <is>
          <t>Director</t>
        </is>
      </c>
    </row>
    <row r="6" ht="15" customHeight="1" s="20">
      <c r="A6" s="19" t="inlineStr">
        <is>
          <t>Senior Director</t>
        </is>
      </c>
    </row>
    <row r="7" ht="15" customHeight="1" s="20">
      <c r="A7" s="19" t="inlineStr">
        <is>
          <t>Coordinator</t>
        </is>
      </c>
    </row>
    <row r="8" ht="15" customHeight="1" s="20">
      <c r="A8" s="19" t="inlineStr">
        <is>
          <t>Sr. Coordinator</t>
        </is>
      </c>
    </row>
    <row r="9" ht="15" customHeight="1" s="20">
      <c r="A9" s="19" t="inlineStr">
        <is>
          <t>Executive Coordinator</t>
        </is>
      </c>
    </row>
    <row r="10" ht="15" customHeight="1" s="20">
      <c r="A10" s="19" t="inlineStr">
        <is>
          <t>Sr. Executive Coordinator</t>
        </is>
      </c>
    </row>
    <row r="11" ht="15" customHeight="1" s="20">
      <c r="A11" s="19" t="inlineStr">
        <is>
          <t>Key Coordinator</t>
        </is>
      </c>
    </row>
    <row r="12" ht="15" customHeight="1" s="20">
      <c r="A12" s="19" t="inlineStr">
        <is>
          <t>Sr. Key Coordinator</t>
        </is>
      </c>
    </row>
    <row r="13" ht="15" customHeight="1" s="20">
      <c r="A13" s="19" t="inlineStr">
        <is>
          <t>Master Coordinator</t>
        </is>
      </c>
    </row>
    <row r="14" ht="15" customHeight="1" s="20">
      <c r="A14" s="19" t="inlineStr">
        <is>
          <t>Sr. Master Coordinator</t>
        </is>
      </c>
    </row>
    <row r="15" ht="15" customHeight="1" s="20">
      <c r="A15" s="19" t="inlineStr">
        <is>
          <t>Presidential Master Coordinator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55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1"/>
    <col width="18" customWidth="1" style="19" min="2" max="3"/>
    <col width="16" customWidth="1" style="19" min="4" max="4"/>
    <col width="14" customWidth="1" style="19" min="5" max="5"/>
    <col width="16" customWidth="1" style="19" min="6" max="6"/>
    <col width="14" customWidth="1" style="19" min="7" max="7"/>
    <col width="18" customWidth="1" style="19" min="8" max="8"/>
    <col width="14" customWidth="1" style="19" min="9" max="9"/>
    <col width="30" customWidth="1" style="19" min="10" max="10"/>
    <col hidden="1" width="13" customWidth="1" style="19" min="11" max="11"/>
  </cols>
  <sheetData>
    <row r="1" ht="21" customHeight="1" s="20">
      <c r="A1" s="27" t="inlineStr">
        <is>
          <t>Anne Christie — Priority View</t>
        </is>
      </c>
    </row>
    <row r="2" ht="15" customHeight="1" s="20">
      <c r="A2" s="28" t="inlineStr">
        <is>
          <t>Auto-sorted, live view of Prospect Tracker: Ambassadors first, then Members, then Presented, then Sent, then Contacted, then No Activity. Updates automatically as you edit the Prospect Tracker tab, nothing to sort or refresh.</t>
        </is>
      </c>
    </row>
    <row r="4" ht="31.5" customHeight="1" s="20">
      <c r="A4" s="29" t="inlineStr">
        <is>
          <t>Priority</t>
        </is>
      </c>
      <c r="B4" s="29" t="inlineStr">
        <is>
          <t>First Name</t>
        </is>
      </c>
      <c r="C4" s="29" t="inlineStr">
        <is>
          <t>Last Name</t>
        </is>
      </c>
      <c r="D4" s="29" t="inlineStr">
        <is>
          <t>Enrollment Type</t>
        </is>
      </c>
      <c r="E4" s="29" t="inlineStr">
        <is>
          <t>Current Stage</t>
        </is>
      </c>
      <c r="F4" s="29" t="inlineStr">
        <is>
          <t>Presentation Status</t>
        </is>
      </c>
      <c r="G4" s="29" t="inlineStr">
        <is>
          <t>Slide Deck</t>
        </is>
      </c>
      <c r="H4" s="29" t="inlineStr">
        <is>
          <t>Next Follow-Up Date</t>
        </is>
      </c>
      <c r="I4" s="29" t="inlineStr">
        <is>
          <t>Days Since Last Contact</t>
        </is>
      </c>
      <c r="J4" s="29" t="inlineStr">
        <is>
          <t>Follow-Up Notes</t>
        </is>
      </c>
      <c r="K4" s="19" t="inlineStr">
        <is>
          <t>pos</t>
        </is>
      </c>
    </row>
    <row r="5" ht="15" customHeight="1" s="20">
      <c r="A5" s="25">
        <f>IF($K5="","",IF(INDEX('Prospect Tracker'!$W$5:$W$554,$K5)="","",INDEX('Prospect Tracker'!$W$5:$W$554,$K5)))</f>
        <v/>
      </c>
      <c r="B5" s="25">
        <f>IF($K5="","",IF(INDEX('Prospect Tracker'!$A$5:$A$554,$K5)="","",INDEX('Prospect Tracker'!$A$5:$A$554,$K5)))</f>
        <v/>
      </c>
      <c r="C5" s="25">
        <f>IF($K5="","",IF(INDEX('Prospect Tracker'!$B$5:$B$554,$K5)="","",INDEX('Prospect Tracker'!$B$5:$B$554,$K5)))</f>
        <v/>
      </c>
      <c r="D5" s="25">
        <f>IF($K5="","",IF(INDEX('Prospect Tracker'!$M$5:$M$554,$K5)="","",INDEX('Prospect Tracker'!$M$5:$M$554,$K5)))</f>
        <v/>
      </c>
      <c r="E5" s="25">
        <f>IF($K5="","",IF(INDEX('Prospect Tracker'!$R$5:$R$554,$K5)="","",INDEX('Prospect Tracker'!$R$5:$R$554,$K5)))</f>
        <v/>
      </c>
      <c r="F5" s="25">
        <f>IF($K5="","",IF(INDEX('Prospect Tracker'!$J$5:$J$554,$K5)="","",INDEX('Prospect Tracker'!$J$5:$J$554,$K5)))</f>
        <v/>
      </c>
      <c r="G5" s="25">
        <f>IF($K5="","",IF(INDEX('Prospect Tracker'!$H$5:$H$554,$K5)="","",INDEX('Prospect Tracker'!$H$5:$H$554,$K5)))</f>
        <v/>
      </c>
      <c r="H5" s="26">
        <f>IF($K5="","",IF(INDEX('Prospect Tracker'!$K$5:$K$554,$K5)="","",INDEX('Prospect Tracker'!$K$5:$K$554,$K5)))</f>
        <v/>
      </c>
      <c r="I5" s="25">
        <f>IF($K5="","",IF(INDEX('Prospect Tracker'!$T$5:$T$554,$K5)="","",INDEX('Prospect Tracker'!$T$5:$T$554,$K5)))</f>
        <v/>
      </c>
      <c r="J5" s="25">
        <f>IF($K5="","",IF(INDEX('Prospect Tracker'!$L$5:$L$554,$K5)="","",INDEX('Prospect Tracker'!$L$5:$L$554,$K5)))</f>
        <v/>
      </c>
      <c r="K5" s="19">
        <f>IFERROR(MATCH(SMALL('Prospect Tracker'!$X$5:$X$554,ROW()-4),'Prospect Tracker'!$X$5:$X$554,0),"")</f>
        <v/>
      </c>
    </row>
    <row r="6" ht="15" customHeight="1" s="20">
      <c r="A6" s="30">
        <f>IF($K6="","",IF(INDEX('Prospect Tracker'!$W$5:$W$554,$K6)="","",INDEX('Prospect Tracker'!$W$5:$W$554,$K6)))</f>
        <v/>
      </c>
      <c r="B6" s="30">
        <f>IF($K6="","",IF(INDEX('Prospect Tracker'!$A$5:$A$554,$K6)="","",INDEX('Prospect Tracker'!$A$5:$A$554,$K6)))</f>
        <v/>
      </c>
      <c r="C6" s="30">
        <f>IF($K6="","",IF(INDEX('Prospect Tracker'!$B$5:$B$554,$K6)="","",INDEX('Prospect Tracker'!$B$5:$B$554,$K6)))</f>
        <v/>
      </c>
      <c r="D6" s="30">
        <f>IF($K6="","",IF(INDEX('Prospect Tracker'!$M$5:$M$554,$K6)="","",INDEX('Prospect Tracker'!$M$5:$M$554,$K6)))</f>
        <v/>
      </c>
      <c r="E6" s="30">
        <f>IF($K6="","",IF(INDEX('Prospect Tracker'!$R$5:$R$554,$K6)="","",INDEX('Prospect Tracker'!$R$5:$R$554,$K6)))</f>
        <v/>
      </c>
      <c r="F6" s="30">
        <f>IF($K6="","",IF(INDEX('Prospect Tracker'!$J$5:$J$554,$K6)="","",INDEX('Prospect Tracker'!$J$5:$J$554,$K6)))</f>
        <v/>
      </c>
      <c r="G6" s="30">
        <f>IF($K6="","",IF(INDEX('Prospect Tracker'!$H$5:$H$554,$K6)="","",INDEX('Prospect Tracker'!$H$5:$H$554,$K6)))</f>
        <v/>
      </c>
      <c r="H6" s="31">
        <f>IF($K6="","",IF(INDEX('Prospect Tracker'!$K$5:$K$554,$K6)="","",INDEX('Prospect Tracker'!$K$5:$K$554,$K6)))</f>
        <v/>
      </c>
      <c r="I6" s="30">
        <f>IF($K6="","",IF(INDEX('Prospect Tracker'!$T$5:$T$554,$K6)="","",INDEX('Prospect Tracker'!$T$5:$T$554,$K6)))</f>
        <v/>
      </c>
      <c r="J6" s="30">
        <f>IF($K6="","",IF(INDEX('Prospect Tracker'!$L$5:$L$554,$K6)="","",INDEX('Prospect Tracker'!$L$5:$L$554,$K6)))</f>
        <v/>
      </c>
      <c r="K6" s="19">
        <f>IFERROR(MATCH(SMALL('Prospect Tracker'!$X$5:$X$554,ROW()-4),'Prospect Tracker'!$X$5:$X$554,0),"")</f>
        <v/>
      </c>
    </row>
    <row r="7" ht="15" customHeight="1" s="20">
      <c r="A7" s="25">
        <f>IF($K7="","",IF(INDEX('Prospect Tracker'!$W$5:$W$554,$K7)="","",INDEX('Prospect Tracker'!$W$5:$W$554,$K7)))</f>
        <v/>
      </c>
      <c r="B7" s="25">
        <f>IF($K7="","",IF(INDEX('Prospect Tracker'!$A$5:$A$554,$K7)="","",INDEX('Prospect Tracker'!$A$5:$A$554,$K7)))</f>
        <v/>
      </c>
      <c r="C7" s="25">
        <f>IF($K7="","",IF(INDEX('Prospect Tracker'!$B$5:$B$554,$K7)="","",INDEX('Prospect Tracker'!$B$5:$B$554,$K7)))</f>
        <v/>
      </c>
      <c r="D7" s="25">
        <f>IF($K7="","",IF(INDEX('Prospect Tracker'!$M$5:$M$554,$K7)="","",INDEX('Prospect Tracker'!$M$5:$M$554,$K7)))</f>
        <v/>
      </c>
      <c r="E7" s="25">
        <f>IF($K7="","",IF(INDEX('Prospect Tracker'!$R$5:$R$554,$K7)="","",INDEX('Prospect Tracker'!$R$5:$R$554,$K7)))</f>
        <v/>
      </c>
      <c r="F7" s="25">
        <f>IF($K7="","",IF(INDEX('Prospect Tracker'!$J$5:$J$554,$K7)="","",INDEX('Prospect Tracker'!$J$5:$J$554,$K7)))</f>
        <v/>
      </c>
      <c r="G7" s="25">
        <f>IF($K7="","",IF(INDEX('Prospect Tracker'!$H$5:$H$554,$K7)="","",INDEX('Prospect Tracker'!$H$5:$H$554,$K7)))</f>
        <v/>
      </c>
      <c r="H7" s="26">
        <f>IF($K7="","",IF(INDEX('Prospect Tracker'!$K$5:$K$554,$K7)="","",INDEX('Prospect Tracker'!$K$5:$K$554,$K7)))</f>
        <v/>
      </c>
      <c r="I7" s="25">
        <f>IF($K7="","",IF(INDEX('Prospect Tracker'!$T$5:$T$554,$K7)="","",INDEX('Prospect Tracker'!$T$5:$T$554,$K7)))</f>
        <v/>
      </c>
      <c r="J7" s="25">
        <f>IF($K7="","",IF(INDEX('Prospect Tracker'!$L$5:$L$554,$K7)="","",INDEX('Prospect Tracker'!$L$5:$L$554,$K7)))</f>
        <v/>
      </c>
      <c r="K7" s="19">
        <f>IFERROR(MATCH(SMALL('Prospect Tracker'!$X$5:$X$554,ROW()-4),'Prospect Tracker'!$X$5:$X$554,0),"")</f>
        <v/>
      </c>
    </row>
    <row r="8" ht="15" customHeight="1" s="20">
      <c r="A8" s="30">
        <f>IF($K8="","",IF(INDEX('Prospect Tracker'!$W$5:$W$554,$K8)="","",INDEX('Prospect Tracker'!$W$5:$W$554,$K8)))</f>
        <v/>
      </c>
      <c r="B8" s="30">
        <f>IF($K8="","",IF(INDEX('Prospect Tracker'!$A$5:$A$554,$K8)="","",INDEX('Prospect Tracker'!$A$5:$A$554,$K8)))</f>
        <v/>
      </c>
      <c r="C8" s="30">
        <f>IF($K8="","",IF(INDEX('Prospect Tracker'!$B$5:$B$554,$K8)="","",INDEX('Prospect Tracker'!$B$5:$B$554,$K8)))</f>
        <v/>
      </c>
      <c r="D8" s="30">
        <f>IF($K8="","",IF(INDEX('Prospect Tracker'!$M$5:$M$554,$K8)="","",INDEX('Prospect Tracker'!$M$5:$M$554,$K8)))</f>
        <v/>
      </c>
      <c r="E8" s="30">
        <f>IF($K8="","",IF(INDEX('Prospect Tracker'!$R$5:$R$554,$K8)="","",INDEX('Prospect Tracker'!$R$5:$R$554,$K8)))</f>
        <v/>
      </c>
      <c r="F8" s="30">
        <f>IF($K8="","",IF(INDEX('Prospect Tracker'!$J$5:$J$554,$K8)="","",INDEX('Prospect Tracker'!$J$5:$J$554,$K8)))</f>
        <v/>
      </c>
      <c r="G8" s="30">
        <f>IF($K8="","",IF(INDEX('Prospect Tracker'!$H$5:$H$554,$K8)="","",INDEX('Prospect Tracker'!$H$5:$H$554,$K8)))</f>
        <v/>
      </c>
      <c r="H8" s="31">
        <f>IF($K8="","",IF(INDEX('Prospect Tracker'!$K$5:$K$554,$K8)="","",INDEX('Prospect Tracker'!$K$5:$K$554,$K8)))</f>
        <v/>
      </c>
      <c r="I8" s="30">
        <f>IF($K8="","",IF(INDEX('Prospect Tracker'!$T$5:$T$554,$K8)="","",INDEX('Prospect Tracker'!$T$5:$T$554,$K8)))</f>
        <v/>
      </c>
      <c r="J8" s="30">
        <f>IF($K8="","",IF(INDEX('Prospect Tracker'!$L$5:$L$554,$K8)="","",INDEX('Prospect Tracker'!$L$5:$L$554,$K8)))</f>
        <v/>
      </c>
      <c r="K8" s="19">
        <f>IFERROR(MATCH(SMALL('Prospect Tracker'!$X$5:$X$554,ROW()-4),'Prospect Tracker'!$X$5:$X$554,0),"")</f>
        <v/>
      </c>
    </row>
    <row r="9" ht="15" customHeight="1" s="20">
      <c r="A9" s="25">
        <f>IF($K9="","",IF(INDEX('Prospect Tracker'!$W$5:$W$554,$K9)="","",INDEX('Prospect Tracker'!$W$5:$W$554,$K9)))</f>
        <v/>
      </c>
      <c r="B9" s="25">
        <f>IF($K9="","",IF(INDEX('Prospect Tracker'!$A$5:$A$554,$K9)="","",INDEX('Prospect Tracker'!$A$5:$A$554,$K9)))</f>
        <v/>
      </c>
      <c r="C9" s="25">
        <f>IF($K9="","",IF(INDEX('Prospect Tracker'!$B$5:$B$554,$K9)="","",INDEX('Prospect Tracker'!$B$5:$B$554,$K9)))</f>
        <v/>
      </c>
      <c r="D9" s="25">
        <f>IF($K9="","",IF(INDEX('Prospect Tracker'!$M$5:$M$554,$K9)="","",INDEX('Prospect Tracker'!$M$5:$M$554,$K9)))</f>
        <v/>
      </c>
      <c r="E9" s="25">
        <f>IF($K9="","",IF(INDEX('Prospect Tracker'!$R$5:$R$554,$K9)="","",INDEX('Prospect Tracker'!$R$5:$R$554,$K9)))</f>
        <v/>
      </c>
      <c r="F9" s="25">
        <f>IF($K9="","",IF(INDEX('Prospect Tracker'!$J$5:$J$554,$K9)="","",INDEX('Prospect Tracker'!$J$5:$J$554,$K9)))</f>
        <v/>
      </c>
      <c r="G9" s="25">
        <f>IF($K9="","",IF(INDEX('Prospect Tracker'!$H$5:$H$554,$K9)="","",INDEX('Prospect Tracker'!$H$5:$H$554,$K9)))</f>
        <v/>
      </c>
      <c r="H9" s="26">
        <f>IF($K9="","",IF(INDEX('Prospect Tracker'!$K$5:$K$554,$K9)="","",INDEX('Prospect Tracker'!$K$5:$K$554,$K9)))</f>
        <v/>
      </c>
      <c r="I9" s="25">
        <f>IF($K9="","",IF(INDEX('Prospect Tracker'!$T$5:$T$554,$K9)="","",INDEX('Prospect Tracker'!$T$5:$T$554,$K9)))</f>
        <v/>
      </c>
      <c r="J9" s="25">
        <f>IF($K9="","",IF(INDEX('Prospect Tracker'!$L$5:$L$554,$K9)="","",INDEX('Prospect Tracker'!$L$5:$L$554,$K9)))</f>
        <v/>
      </c>
      <c r="K9" s="19">
        <f>IFERROR(MATCH(SMALL('Prospect Tracker'!$X$5:$X$554,ROW()-4),'Prospect Tracker'!$X$5:$X$554,0),"")</f>
        <v/>
      </c>
    </row>
    <row r="10" ht="15" customHeight="1" s="20">
      <c r="A10" s="30">
        <f>IF($K10="","",IF(INDEX('Prospect Tracker'!$W$5:$W$554,$K10)="","",INDEX('Prospect Tracker'!$W$5:$W$554,$K10)))</f>
        <v/>
      </c>
      <c r="B10" s="30">
        <f>IF($K10="","",IF(INDEX('Prospect Tracker'!$A$5:$A$554,$K10)="","",INDEX('Prospect Tracker'!$A$5:$A$554,$K10)))</f>
        <v/>
      </c>
      <c r="C10" s="30">
        <f>IF($K10="","",IF(INDEX('Prospect Tracker'!$B$5:$B$554,$K10)="","",INDEX('Prospect Tracker'!$B$5:$B$554,$K10)))</f>
        <v/>
      </c>
      <c r="D10" s="30">
        <f>IF($K10="","",IF(INDEX('Prospect Tracker'!$M$5:$M$554,$K10)="","",INDEX('Prospect Tracker'!$M$5:$M$554,$K10)))</f>
        <v/>
      </c>
      <c r="E10" s="30">
        <f>IF($K10="","",IF(INDEX('Prospect Tracker'!$R$5:$R$554,$K10)="","",INDEX('Prospect Tracker'!$R$5:$R$554,$K10)))</f>
        <v/>
      </c>
      <c r="F10" s="30">
        <f>IF($K10="","",IF(INDEX('Prospect Tracker'!$J$5:$J$554,$K10)="","",INDEX('Prospect Tracker'!$J$5:$J$554,$K10)))</f>
        <v/>
      </c>
      <c r="G10" s="30">
        <f>IF($K10="","",IF(INDEX('Prospect Tracker'!$H$5:$H$554,$K10)="","",INDEX('Prospect Tracker'!$H$5:$H$554,$K10)))</f>
        <v/>
      </c>
      <c r="H10" s="31">
        <f>IF($K10="","",IF(INDEX('Prospect Tracker'!$K$5:$K$554,$K10)="","",INDEX('Prospect Tracker'!$K$5:$K$554,$K10)))</f>
        <v/>
      </c>
      <c r="I10" s="30">
        <f>IF($K10="","",IF(INDEX('Prospect Tracker'!$T$5:$T$554,$K10)="","",INDEX('Prospect Tracker'!$T$5:$T$554,$K10)))</f>
        <v/>
      </c>
      <c r="J10" s="30">
        <f>IF($K10="","",IF(INDEX('Prospect Tracker'!$L$5:$L$554,$K10)="","",INDEX('Prospect Tracker'!$L$5:$L$554,$K10)))</f>
        <v/>
      </c>
      <c r="K10" s="19">
        <f>IFERROR(MATCH(SMALL('Prospect Tracker'!$X$5:$X$554,ROW()-4),'Prospect Tracker'!$X$5:$X$554,0),"")</f>
        <v/>
      </c>
    </row>
    <row r="11" ht="15" customHeight="1" s="20">
      <c r="A11" s="25">
        <f>IF($K11="","",IF(INDEX('Prospect Tracker'!$W$5:$W$554,$K11)="","",INDEX('Prospect Tracker'!$W$5:$W$554,$K11)))</f>
        <v/>
      </c>
      <c r="B11" s="25">
        <f>IF($K11="","",IF(INDEX('Prospect Tracker'!$A$5:$A$554,$K11)="","",INDEX('Prospect Tracker'!$A$5:$A$554,$K11)))</f>
        <v/>
      </c>
      <c r="C11" s="25">
        <f>IF($K11="","",IF(INDEX('Prospect Tracker'!$B$5:$B$554,$K11)="","",INDEX('Prospect Tracker'!$B$5:$B$554,$K11)))</f>
        <v/>
      </c>
      <c r="D11" s="25">
        <f>IF($K11="","",IF(INDEX('Prospect Tracker'!$M$5:$M$554,$K11)="","",INDEX('Prospect Tracker'!$M$5:$M$554,$K11)))</f>
        <v/>
      </c>
      <c r="E11" s="25">
        <f>IF($K11="","",IF(INDEX('Prospect Tracker'!$R$5:$R$554,$K11)="","",INDEX('Prospect Tracker'!$R$5:$R$554,$K11)))</f>
        <v/>
      </c>
      <c r="F11" s="25">
        <f>IF($K11="","",IF(INDEX('Prospect Tracker'!$J$5:$J$554,$K11)="","",INDEX('Prospect Tracker'!$J$5:$J$554,$K11)))</f>
        <v/>
      </c>
      <c r="G11" s="25">
        <f>IF($K11="","",IF(INDEX('Prospect Tracker'!$H$5:$H$554,$K11)="","",INDEX('Prospect Tracker'!$H$5:$H$554,$K11)))</f>
        <v/>
      </c>
      <c r="H11" s="26">
        <f>IF($K11="","",IF(INDEX('Prospect Tracker'!$K$5:$K$554,$K11)="","",INDEX('Prospect Tracker'!$K$5:$K$554,$K11)))</f>
        <v/>
      </c>
      <c r="I11" s="25">
        <f>IF($K11="","",IF(INDEX('Prospect Tracker'!$T$5:$T$554,$K11)="","",INDEX('Prospect Tracker'!$T$5:$T$554,$K11)))</f>
        <v/>
      </c>
      <c r="J11" s="25">
        <f>IF($K11="","",IF(INDEX('Prospect Tracker'!$L$5:$L$554,$K11)="","",INDEX('Prospect Tracker'!$L$5:$L$554,$K11)))</f>
        <v/>
      </c>
      <c r="K11" s="19">
        <f>IFERROR(MATCH(SMALL('Prospect Tracker'!$X$5:$X$554,ROW()-4),'Prospect Tracker'!$X$5:$X$554,0),"")</f>
        <v/>
      </c>
    </row>
    <row r="12" ht="15" customHeight="1" s="20">
      <c r="A12" s="30">
        <f>IF($K12="","",IF(INDEX('Prospect Tracker'!$W$5:$W$554,$K12)="","",INDEX('Prospect Tracker'!$W$5:$W$554,$K12)))</f>
        <v/>
      </c>
      <c r="B12" s="30">
        <f>IF($K12="","",IF(INDEX('Prospect Tracker'!$A$5:$A$554,$K12)="","",INDEX('Prospect Tracker'!$A$5:$A$554,$K12)))</f>
        <v/>
      </c>
      <c r="C12" s="30">
        <f>IF($K12="","",IF(INDEX('Prospect Tracker'!$B$5:$B$554,$K12)="","",INDEX('Prospect Tracker'!$B$5:$B$554,$K12)))</f>
        <v/>
      </c>
      <c r="D12" s="30">
        <f>IF($K12="","",IF(INDEX('Prospect Tracker'!$M$5:$M$554,$K12)="","",INDEX('Prospect Tracker'!$M$5:$M$554,$K12)))</f>
        <v/>
      </c>
      <c r="E12" s="30">
        <f>IF($K12="","",IF(INDEX('Prospect Tracker'!$R$5:$R$554,$K12)="","",INDEX('Prospect Tracker'!$R$5:$R$554,$K12)))</f>
        <v/>
      </c>
      <c r="F12" s="30">
        <f>IF($K12="","",IF(INDEX('Prospect Tracker'!$J$5:$J$554,$K12)="","",INDEX('Prospect Tracker'!$J$5:$J$554,$K12)))</f>
        <v/>
      </c>
      <c r="G12" s="30">
        <f>IF($K12="","",IF(INDEX('Prospect Tracker'!$H$5:$H$554,$K12)="","",INDEX('Prospect Tracker'!$H$5:$H$554,$K12)))</f>
        <v/>
      </c>
      <c r="H12" s="31">
        <f>IF($K12="","",IF(INDEX('Prospect Tracker'!$K$5:$K$554,$K12)="","",INDEX('Prospect Tracker'!$K$5:$K$554,$K12)))</f>
        <v/>
      </c>
      <c r="I12" s="30">
        <f>IF($K12="","",IF(INDEX('Prospect Tracker'!$T$5:$T$554,$K12)="","",INDEX('Prospect Tracker'!$T$5:$T$554,$K12)))</f>
        <v/>
      </c>
      <c r="J12" s="30">
        <f>IF($K12="","",IF(INDEX('Prospect Tracker'!$L$5:$L$554,$K12)="","",INDEX('Prospect Tracker'!$L$5:$L$554,$K12)))</f>
        <v/>
      </c>
      <c r="K12" s="19">
        <f>IFERROR(MATCH(SMALL('Prospect Tracker'!$X$5:$X$554,ROW()-4),'Prospect Tracker'!$X$5:$X$554,0),"")</f>
        <v/>
      </c>
    </row>
    <row r="13" ht="15" customHeight="1" s="20">
      <c r="A13" s="25">
        <f>IF($K13="","",IF(INDEX('Prospect Tracker'!$W$5:$W$554,$K13)="","",INDEX('Prospect Tracker'!$W$5:$W$554,$K13)))</f>
        <v/>
      </c>
      <c r="B13" s="25">
        <f>IF($K13="","",IF(INDEX('Prospect Tracker'!$A$5:$A$554,$K13)="","",INDEX('Prospect Tracker'!$A$5:$A$554,$K13)))</f>
        <v/>
      </c>
      <c r="C13" s="25">
        <f>IF($K13="","",IF(INDEX('Prospect Tracker'!$B$5:$B$554,$K13)="","",INDEX('Prospect Tracker'!$B$5:$B$554,$K13)))</f>
        <v/>
      </c>
      <c r="D13" s="25">
        <f>IF($K13="","",IF(INDEX('Prospect Tracker'!$M$5:$M$554,$K13)="","",INDEX('Prospect Tracker'!$M$5:$M$554,$K13)))</f>
        <v/>
      </c>
      <c r="E13" s="25">
        <f>IF($K13="","",IF(INDEX('Prospect Tracker'!$R$5:$R$554,$K13)="","",INDEX('Prospect Tracker'!$R$5:$R$554,$K13)))</f>
        <v/>
      </c>
      <c r="F13" s="25">
        <f>IF($K13="","",IF(INDEX('Prospect Tracker'!$J$5:$J$554,$K13)="","",INDEX('Prospect Tracker'!$J$5:$J$554,$K13)))</f>
        <v/>
      </c>
      <c r="G13" s="25">
        <f>IF($K13="","",IF(INDEX('Prospect Tracker'!$H$5:$H$554,$K13)="","",INDEX('Prospect Tracker'!$H$5:$H$554,$K13)))</f>
        <v/>
      </c>
      <c r="H13" s="26">
        <f>IF($K13="","",IF(INDEX('Prospect Tracker'!$K$5:$K$554,$K13)="","",INDEX('Prospect Tracker'!$K$5:$K$554,$K13)))</f>
        <v/>
      </c>
      <c r="I13" s="25">
        <f>IF($K13="","",IF(INDEX('Prospect Tracker'!$T$5:$T$554,$K13)="","",INDEX('Prospect Tracker'!$T$5:$T$554,$K13)))</f>
        <v/>
      </c>
      <c r="J13" s="25">
        <f>IF($K13="","",IF(INDEX('Prospect Tracker'!$L$5:$L$554,$K13)="","",INDEX('Prospect Tracker'!$L$5:$L$554,$K13)))</f>
        <v/>
      </c>
      <c r="K13" s="19">
        <f>IFERROR(MATCH(SMALL('Prospect Tracker'!$X$5:$X$554,ROW()-4),'Prospect Tracker'!$X$5:$X$554,0),"")</f>
        <v/>
      </c>
    </row>
    <row r="14" ht="15" customHeight="1" s="20">
      <c r="A14" s="30">
        <f>IF($K14="","",IF(INDEX('Prospect Tracker'!$W$5:$W$554,$K14)="","",INDEX('Prospect Tracker'!$W$5:$W$554,$K14)))</f>
        <v/>
      </c>
      <c r="B14" s="30">
        <f>IF($K14="","",IF(INDEX('Prospect Tracker'!$A$5:$A$554,$K14)="","",INDEX('Prospect Tracker'!$A$5:$A$554,$K14)))</f>
        <v/>
      </c>
      <c r="C14" s="30">
        <f>IF($K14="","",IF(INDEX('Prospect Tracker'!$B$5:$B$554,$K14)="","",INDEX('Prospect Tracker'!$B$5:$B$554,$K14)))</f>
        <v/>
      </c>
      <c r="D14" s="30">
        <f>IF($K14="","",IF(INDEX('Prospect Tracker'!$M$5:$M$554,$K14)="","",INDEX('Prospect Tracker'!$M$5:$M$554,$K14)))</f>
        <v/>
      </c>
      <c r="E14" s="30">
        <f>IF($K14="","",IF(INDEX('Prospect Tracker'!$R$5:$R$554,$K14)="","",INDEX('Prospect Tracker'!$R$5:$R$554,$K14)))</f>
        <v/>
      </c>
      <c r="F14" s="30">
        <f>IF($K14="","",IF(INDEX('Prospect Tracker'!$J$5:$J$554,$K14)="","",INDEX('Prospect Tracker'!$J$5:$J$554,$K14)))</f>
        <v/>
      </c>
      <c r="G14" s="30">
        <f>IF($K14="","",IF(INDEX('Prospect Tracker'!$H$5:$H$554,$K14)="","",INDEX('Prospect Tracker'!$H$5:$H$554,$K14)))</f>
        <v/>
      </c>
      <c r="H14" s="31">
        <f>IF($K14="","",IF(INDEX('Prospect Tracker'!$K$5:$K$554,$K14)="","",INDEX('Prospect Tracker'!$K$5:$K$554,$K14)))</f>
        <v/>
      </c>
      <c r="I14" s="30">
        <f>IF($K14="","",IF(INDEX('Prospect Tracker'!$T$5:$T$554,$K14)="","",INDEX('Prospect Tracker'!$T$5:$T$554,$K14)))</f>
        <v/>
      </c>
      <c r="J14" s="30">
        <f>IF($K14="","",IF(INDEX('Prospect Tracker'!$L$5:$L$554,$K14)="","",INDEX('Prospect Tracker'!$L$5:$L$554,$K14)))</f>
        <v/>
      </c>
      <c r="K14" s="19">
        <f>IFERROR(MATCH(SMALL('Prospect Tracker'!$X$5:$X$554,ROW()-4),'Prospect Tracker'!$X$5:$X$554,0),"")</f>
        <v/>
      </c>
    </row>
    <row r="15" ht="15" customHeight="1" s="20">
      <c r="A15" s="25">
        <f>IF($K15="","",IF(INDEX('Prospect Tracker'!$W$5:$W$554,$K15)="","",INDEX('Prospect Tracker'!$W$5:$W$554,$K15)))</f>
        <v/>
      </c>
      <c r="B15" s="25">
        <f>IF($K15="","",IF(INDEX('Prospect Tracker'!$A$5:$A$554,$K15)="","",INDEX('Prospect Tracker'!$A$5:$A$554,$K15)))</f>
        <v/>
      </c>
      <c r="C15" s="25">
        <f>IF($K15="","",IF(INDEX('Prospect Tracker'!$B$5:$B$554,$K15)="","",INDEX('Prospect Tracker'!$B$5:$B$554,$K15)))</f>
        <v/>
      </c>
      <c r="D15" s="25">
        <f>IF($K15="","",IF(INDEX('Prospect Tracker'!$M$5:$M$554,$K15)="","",INDEX('Prospect Tracker'!$M$5:$M$554,$K15)))</f>
        <v/>
      </c>
      <c r="E15" s="25">
        <f>IF($K15="","",IF(INDEX('Prospect Tracker'!$R$5:$R$554,$K15)="","",INDEX('Prospect Tracker'!$R$5:$R$554,$K15)))</f>
        <v/>
      </c>
      <c r="F15" s="25">
        <f>IF($K15="","",IF(INDEX('Prospect Tracker'!$J$5:$J$554,$K15)="","",INDEX('Prospect Tracker'!$J$5:$J$554,$K15)))</f>
        <v/>
      </c>
      <c r="G15" s="25">
        <f>IF($K15="","",IF(INDEX('Prospect Tracker'!$H$5:$H$554,$K15)="","",INDEX('Prospect Tracker'!$H$5:$H$554,$K15)))</f>
        <v/>
      </c>
      <c r="H15" s="26">
        <f>IF($K15="","",IF(INDEX('Prospect Tracker'!$K$5:$K$554,$K15)="","",INDEX('Prospect Tracker'!$K$5:$K$554,$K15)))</f>
        <v/>
      </c>
      <c r="I15" s="25">
        <f>IF($K15="","",IF(INDEX('Prospect Tracker'!$T$5:$T$554,$K15)="","",INDEX('Prospect Tracker'!$T$5:$T$554,$K15)))</f>
        <v/>
      </c>
      <c r="J15" s="25">
        <f>IF($K15="","",IF(INDEX('Prospect Tracker'!$L$5:$L$554,$K15)="","",INDEX('Prospect Tracker'!$L$5:$L$554,$K15)))</f>
        <v/>
      </c>
      <c r="K15" s="19">
        <f>IFERROR(MATCH(SMALL('Prospect Tracker'!$X$5:$X$554,ROW()-4),'Prospect Tracker'!$X$5:$X$554,0),"")</f>
        <v/>
      </c>
    </row>
    <row r="16" ht="15" customHeight="1" s="20">
      <c r="A16" s="30">
        <f>IF($K16="","",IF(INDEX('Prospect Tracker'!$W$5:$W$554,$K16)="","",INDEX('Prospect Tracker'!$W$5:$W$554,$K16)))</f>
        <v/>
      </c>
      <c r="B16" s="30">
        <f>IF($K16="","",IF(INDEX('Prospect Tracker'!$A$5:$A$554,$K16)="","",INDEX('Prospect Tracker'!$A$5:$A$554,$K16)))</f>
        <v/>
      </c>
      <c r="C16" s="30">
        <f>IF($K16="","",IF(INDEX('Prospect Tracker'!$B$5:$B$554,$K16)="","",INDEX('Prospect Tracker'!$B$5:$B$554,$K16)))</f>
        <v/>
      </c>
      <c r="D16" s="30">
        <f>IF($K16="","",IF(INDEX('Prospect Tracker'!$M$5:$M$554,$K16)="","",INDEX('Prospect Tracker'!$M$5:$M$554,$K16)))</f>
        <v/>
      </c>
      <c r="E16" s="30">
        <f>IF($K16="","",IF(INDEX('Prospect Tracker'!$R$5:$R$554,$K16)="","",INDEX('Prospect Tracker'!$R$5:$R$554,$K16)))</f>
        <v/>
      </c>
      <c r="F16" s="30">
        <f>IF($K16="","",IF(INDEX('Prospect Tracker'!$J$5:$J$554,$K16)="","",INDEX('Prospect Tracker'!$J$5:$J$554,$K16)))</f>
        <v/>
      </c>
      <c r="G16" s="30">
        <f>IF($K16="","",IF(INDEX('Prospect Tracker'!$H$5:$H$554,$K16)="","",INDEX('Prospect Tracker'!$H$5:$H$554,$K16)))</f>
        <v/>
      </c>
      <c r="H16" s="31">
        <f>IF($K16="","",IF(INDEX('Prospect Tracker'!$K$5:$K$554,$K16)="","",INDEX('Prospect Tracker'!$K$5:$K$554,$K16)))</f>
        <v/>
      </c>
      <c r="I16" s="30">
        <f>IF($K16="","",IF(INDEX('Prospect Tracker'!$T$5:$T$554,$K16)="","",INDEX('Prospect Tracker'!$T$5:$T$554,$K16)))</f>
        <v/>
      </c>
      <c r="J16" s="30">
        <f>IF($K16="","",IF(INDEX('Prospect Tracker'!$L$5:$L$554,$K16)="","",INDEX('Prospect Tracker'!$L$5:$L$554,$K16)))</f>
        <v/>
      </c>
      <c r="K16" s="19">
        <f>IFERROR(MATCH(SMALL('Prospect Tracker'!$X$5:$X$554,ROW()-4),'Prospect Tracker'!$X$5:$X$554,0),"")</f>
        <v/>
      </c>
    </row>
    <row r="17" ht="15" customHeight="1" s="20">
      <c r="A17" s="25">
        <f>IF($K17="","",IF(INDEX('Prospect Tracker'!$W$5:$W$554,$K17)="","",INDEX('Prospect Tracker'!$W$5:$W$554,$K17)))</f>
        <v/>
      </c>
      <c r="B17" s="25">
        <f>IF($K17="","",IF(INDEX('Prospect Tracker'!$A$5:$A$554,$K17)="","",INDEX('Prospect Tracker'!$A$5:$A$554,$K17)))</f>
        <v/>
      </c>
      <c r="C17" s="25">
        <f>IF($K17="","",IF(INDEX('Prospect Tracker'!$B$5:$B$554,$K17)="","",INDEX('Prospect Tracker'!$B$5:$B$554,$K17)))</f>
        <v/>
      </c>
      <c r="D17" s="25">
        <f>IF($K17="","",IF(INDEX('Prospect Tracker'!$M$5:$M$554,$K17)="","",INDEX('Prospect Tracker'!$M$5:$M$554,$K17)))</f>
        <v/>
      </c>
      <c r="E17" s="25">
        <f>IF($K17="","",IF(INDEX('Prospect Tracker'!$R$5:$R$554,$K17)="","",INDEX('Prospect Tracker'!$R$5:$R$554,$K17)))</f>
        <v/>
      </c>
      <c r="F17" s="25">
        <f>IF($K17="","",IF(INDEX('Prospect Tracker'!$J$5:$J$554,$K17)="","",INDEX('Prospect Tracker'!$J$5:$J$554,$K17)))</f>
        <v/>
      </c>
      <c r="G17" s="25">
        <f>IF($K17="","",IF(INDEX('Prospect Tracker'!$H$5:$H$554,$K17)="","",INDEX('Prospect Tracker'!$H$5:$H$554,$K17)))</f>
        <v/>
      </c>
      <c r="H17" s="26">
        <f>IF($K17="","",IF(INDEX('Prospect Tracker'!$K$5:$K$554,$K17)="","",INDEX('Prospect Tracker'!$K$5:$K$554,$K17)))</f>
        <v/>
      </c>
      <c r="I17" s="25">
        <f>IF($K17="","",IF(INDEX('Prospect Tracker'!$T$5:$T$554,$K17)="","",INDEX('Prospect Tracker'!$T$5:$T$554,$K17)))</f>
        <v/>
      </c>
      <c r="J17" s="25">
        <f>IF($K17="","",IF(INDEX('Prospect Tracker'!$L$5:$L$554,$K17)="","",INDEX('Prospect Tracker'!$L$5:$L$554,$K17)))</f>
        <v/>
      </c>
      <c r="K17" s="19">
        <f>IFERROR(MATCH(SMALL('Prospect Tracker'!$X$5:$X$554,ROW()-4),'Prospect Tracker'!$X$5:$X$554,0),"")</f>
        <v/>
      </c>
    </row>
    <row r="18" ht="15" customHeight="1" s="20">
      <c r="A18" s="30">
        <f>IF($K18="","",IF(INDEX('Prospect Tracker'!$W$5:$W$554,$K18)="","",INDEX('Prospect Tracker'!$W$5:$W$554,$K18)))</f>
        <v/>
      </c>
      <c r="B18" s="30">
        <f>IF($K18="","",IF(INDEX('Prospect Tracker'!$A$5:$A$554,$K18)="","",INDEX('Prospect Tracker'!$A$5:$A$554,$K18)))</f>
        <v/>
      </c>
      <c r="C18" s="30">
        <f>IF($K18="","",IF(INDEX('Prospect Tracker'!$B$5:$B$554,$K18)="","",INDEX('Prospect Tracker'!$B$5:$B$554,$K18)))</f>
        <v/>
      </c>
      <c r="D18" s="30">
        <f>IF($K18="","",IF(INDEX('Prospect Tracker'!$M$5:$M$554,$K18)="","",INDEX('Prospect Tracker'!$M$5:$M$554,$K18)))</f>
        <v/>
      </c>
      <c r="E18" s="30">
        <f>IF($K18="","",IF(INDEX('Prospect Tracker'!$R$5:$R$554,$K18)="","",INDEX('Prospect Tracker'!$R$5:$R$554,$K18)))</f>
        <v/>
      </c>
      <c r="F18" s="30">
        <f>IF($K18="","",IF(INDEX('Prospect Tracker'!$J$5:$J$554,$K18)="","",INDEX('Prospect Tracker'!$J$5:$J$554,$K18)))</f>
        <v/>
      </c>
      <c r="G18" s="30">
        <f>IF($K18="","",IF(INDEX('Prospect Tracker'!$H$5:$H$554,$K18)="","",INDEX('Prospect Tracker'!$H$5:$H$554,$K18)))</f>
        <v/>
      </c>
      <c r="H18" s="31">
        <f>IF($K18="","",IF(INDEX('Prospect Tracker'!$K$5:$K$554,$K18)="","",INDEX('Prospect Tracker'!$K$5:$K$554,$K18)))</f>
        <v/>
      </c>
      <c r="I18" s="30">
        <f>IF($K18="","",IF(INDEX('Prospect Tracker'!$T$5:$T$554,$K18)="","",INDEX('Prospect Tracker'!$T$5:$T$554,$K18)))</f>
        <v/>
      </c>
      <c r="J18" s="30">
        <f>IF($K18="","",IF(INDEX('Prospect Tracker'!$L$5:$L$554,$K18)="","",INDEX('Prospect Tracker'!$L$5:$L$554,$K18)))</f>
        <v/>
      </c>
      <c r="K18" s="19">
        <f>IFERROR(MATCH(SMALL('Prospect Tracker'!$X$5:$X$554,ROW()-4),'Prospect Tracker'!$X$5:$X$554,0),"")</f>
        <v/>
      </c>
    </row>
    <row r="19" ht="15" customHeight="1" s="20">
      <c r="A19" s="25">
        <f>IF($K19="","",IF(INDEX('Prospect Tracker'!$W$5:$W$554,$K19)="","",INDEX('Prospect Tracker'!$W$5:$W$554,$K19)))</f>
        <v/>
      </c>
      <c r="B19" s="25">
        <f>IF($K19="","",IF(INDEX('Prospect Tracker'!$A$5:$A$554,$K19)="","",INDEX('Prospect Tracker'!$A$5:$A$554,$K19)))</f>
        <v/>
      </c>
      <c r="C19" s="25">
        <f>IF($K19="","",IF(INDEX('Prospect Tracker'!$B$5:$B$554,$K19)="","",INDEX('Prospect Tracker'!$B$5:$B$554,$K19)))</f>
        <v/>
      </c>
      <c r="D19" s="25">
        <f>IF($K19="","",IF(INDEX('Prospect Tracker'!$M$5:$M$554,$K19)="","",INDEX('Prospect Tracker'!$M$5:$M$554,$K19)))</f>
        <v/>
      </c>
      <c r="E19" s="25">
        <f>IF($K19="","",IF(INDEX('Prospect Tracker'!$R$5:$R$554,$K19)="","",INDEX('Prospect Tracker'!$R$5:$R$554,$K19)))</f>
        <v/>
      </c>
      <c r="F19" s="25">
        <f>IF($K19="","",IF(INDEX('Prospect Tracker'!$J$5:$J$554,$K19)="","",INDEX('Prospect Tracker'!$J$5:$J$554,$K19)))</f>
        <v/>
      </c>
      <c r="G19" s="25">
        <f>IF($K19="","",IF(INDEX('Prospect Tracker'!$H$5:$H$554,$K19)="","",INDEX('Prospect Tracker'!$H$5:$H$554,$K19)))</f>
        <v/>
      </c>
      <c r="H19" s="26">
        <f>IF($K19="","",IF(INDEX('Prospect Tracker'!$K$5:$K$554,$K19)="","",INDEX('Prospect Tracker'!$K$5:$K$554,$K19)))</f>
        <v/>
      </c>
      <c r="I19" s="25">
        <f>IF($K19="","",IF(INDEX('Prospect Tracker'!$T$5:$T$554,$K19)="","",INDEX('Prospect Tracker'!$T$5:$T$554,$K19)))</f>
        <v/>
      </c>
      <c r="J19" s="25">
        <f>IF($K19="","",IF(INDEX('Prospect Tracker'!$L$5:$L$554,$K19)="","",INDEX('Prospect Tracker'!$L$5:$L$554,$K19)))</f>
        <v/>
      </c>
      <c r="K19" s="19">
        <f>IFERROR(MATCH(SMALL('Prospect Tracker'!$X$5:$X$554,ROW()-4),'Prospect Tracker'!$X$5:$X$554,0),"")</f>
        <v/>
      </c>
    </row>
    <row r="20" ht="15" customHeight="1" s="20">
      <c r="A20" s="30">
        <f>IF($K20="","",IF(INDEX('Prospect Tracker'!$W$5:$W$554,$K20)="","",INDEX('Prospect Tracker'!$W$5:$W$554,$K20)))</f>
        <v/>
      </c>
      <c r="B20" s="30">
        <f>IF($K20="","",IF(INDEX('Prospect Tracker'!$A$5:$A$554,$K20)="","",INDEX('Prospect Tracker'!$A$5:$A$554,$K20)))</f>
        <v/>
      </c>
      <c r="C20" s="30">
        <f>IF($K20="","",IF(INDEX('Prospect Tracker'!$B$5:$B$554,$K20)="","",INDEX('Prospect Tracker'!$B$5:$B$554,$K20)))</f>
        <v/>
      </c>
      <c r="D20" s="30">
        <f>IF($K20="","",IF(INDEX('Prospect Tracker'!$M$5:$M$554,$K20)="","",INDEX('Prospect Tracker'!$M$5:$M$554,$K20)))</f>
        <v/>
      </c>
      <c r="E20" s="30">
        <f>IF($K20="","",IF(INDEX('Prospect Tracker'!$R$5:$R$554,$K20)="","",INDEX('Prospect Tracker'!$R$5:$R$554,$K20)))</f>
        <v/>
      </c>
      <c r="F20" s="30">
        <f>IF($K20="","",IF(INDEX('Prospect Tracker'!$J$5:$J$554,$K20)="","",INDEX('Prospect Tracker'!$J$5:$J$554,$K20)))</f>
        <v/>
      </c>
      <c r="G20" s="30">
        <f>IF($K20="","",IF(INDEX('Prospect Tracker'!$H$5:$H$554,$K20)="","",INDEX('Prospect Tracker'!$H$5:$H$554,$K20)))</f>
        <v/>
      </c>
      <c r="H20" s="31">
        <f>IF($K20="","",IF(INDEX('Prospect Tracker'!$K$5:$K$554,$K20)="","",INDEX('Prospect Tracker'!$K$5:$K$554,$K20)))</f>
        <v/>
      </c>
      <c r="I20" s="30">
        <f>IF($K20="","",IF(INDEX('Prospect Tracker'!$T$5:$T$554,$K20)="","",INDEX('Prospect Tracker'!$T$5:$T$554,$K20)))</f>
        <v/>
      </c>
      <c r="J20" s="30">
        <f>IF($K20="","",IF(INDEX('Prospect Tracker'!$L$5:$L$554,$K20)="","",INDEX('Prospect Tracker'!$L$5:$L$554,$K20)))</f>
        <v/>
      </c>
      <c r="K20" s="19">
        <f>IFERROR(MATCH(SMALL('Prospect Tracker'!$X$5:$X$554,ROW()-4),'Prospect Tracker'!$X$5:$X$554,0),"")</f>
        <v/>
      </c>
    </row>
    <row r="21" ht="15" customHeight="1" s="20">
      <c r="A21" s="25">
        <f>IF($K21="","",IF(INDEX('Prospect Tracker'!$W$5:$W$554,$K21)="","",INDEX('Prospect Tracker'!$W$5:$W$554,$K21)))</f>
        <v/>
      </c>
      <c r="B21" s="25">
        <f>IF($K21="","",IF(INDEX('Prospect Tracker'!$A$5:$A$554,$K21)="","",INDEX('Prospect Tracker'!$A$5:$A$554,$K21)))</f>
        <v/>
      </c>
      <c r="C21" s="25">
        <f>IF($K21="","",IF(INDEX('Prospect Tracker'!$B$5:$B$554,$K21)="","",INDEX('Prospect Tracker'!$B$5:$B$554,$K21)))</f>
        <v/>
      </c>
      <c r="D21" s="25">
        <f>IF($K21="","",IF(INDEX('Prospect Tracker'!$M$5:$M$554,$K21)="","",INDEX('Prospect Tracker'!$M$5:$M$554,$K21)))</f>
        <v/>
      </c>
      <c r="E21" s="25">
        <f>IF($K21="","",IF(INDEX('Prospect Tracker'!$R$5:$R$554,$K21)="","",INDEX('Prospect Tracker'!$R$5:$R$554,$K21)))</f>
        <v/>
      </c>
      <c r="F21" s="25">
        <f>IF($K21="","",IF(INDEX('Prospect Tracker'!$J$5:$J$554,$K21)="","",INDEX('Prospect Tracker'!$J$5:$J$554,$K21)))</f>
        <v/>
      </c>
      <c r="G21" s="25">
        <f>IF($K21="","",IF(INDEX('Prospect Tracker'!$H$5:$H$554,$K21)="","",INDEX('Prospect Tracker'!$H$5:$H$554,$K21)))</f>
        <v/>
      </c>
      <c r="H21" s="26">
        <f>IF($K21="","",IF(INDEX('Prospect Tracker'!$K$5:$K$554,$K21)="","",INDEX('Prospect Tracker'!$K$5:$K$554,$K21)))</f>
        <v/>
      </c>
      <c r="I21" s="25">
        <f>IF($K21="","",IF(INDEX('Prospect Tracker'!$T$5:$T$554,$K21)="","",INDEX('Prospect Tracker'!$T$5:$T$554,$K21)))</f>
        <v/>
      </c>
      <c r="J21" s="25">
        <f>IF($K21="","",IF(INDEX('Prospect Tracker'!$L$5:$L$554,$K21)="","",INDEX('Prospect Tracker'!$L$5:$L$554,$K21)))</f>
        <v/>
      </c>
      <c r="K21" s="19">
        <f>IFERROR(MATCH(SMALL('Prospect Tracker'!$X$5:$X$554,ROW()-4),'Prospect Tracker'!$X$5:$X$554,0),"")</f>
        <v/>
      </c>
    </row>
    <row r="22" ht="15" customHeight="1" s="20">
      <c r="A22" s="30">
        <f>IF($K22="","",IF(INDEX('Prospect Tracker'!$W$5:$W$554,$K22)="","",INDEX('Prospect Tracker'!$W$5:$W$554,$K22)))</f>
        <v/>
      </c>
      <c r="B22" s="30">
        <f>IF($K22="","",IF(INDEX('Prospect Tracker'!$A$5:$A$554,$K22)="","",INDEX('Prospect Tracker'!$A$5:$A$554,$K22)))</f>
        <v/>
      </c>
      <c r="C22" s="30">
        <f>IF($K22="","",IF(INDEX('Prospect Tracker'!$B$5:$B$554,$K22)="","",INDEX('Prospect Tracker'!$B$5:$B$554,$K22)))</f>
        <v/>
      </c>
      <c r="D22" s="30">
        <f>IF($K22="","",IF(INDEX('Prospect Tracker'!$M$5:$M$554,$K22)="","",INDEX('Prospect Tracker'!$M$5:$M$554,$K22)))</f>
        <v/>
      </c>
      <c r="E22" s="30">
        <f>IF($K22="","",IF(INDEX('Prospect Tracker'!$R$5:$R$554,$K22)="","",INDEX('Prospect Tracker'!$R$5:$R$554,$K22)))</f>
        <v/>
      </c>
      <c r="F22" s="30">
        <f>IF($K22="","",IF(INDEX('Prospect Tracker'!$J$5:$J$554,$K22)="","",INDEX('Prospect Tracker'!$J$5:$J$554,$K22)))</f>
        <v/>
      </c>
      <c r="G22" s="30">
        <f>IF($K22="","",IF(INDEX('Prospect Tracker'!$H$5:$H$554,$K22)="","",INDEX('Prospect Tracker'!$H$5:$H$554,$K22)))</f>
        <v/>
      </c>
      <c r="H22" s="31">
        <f>IF($K22="","",IF(INDEX('Prospect Tracker'!$K$5:$K$554,$K22)="","",INDEX('Prospect Tracker'!$K$5:$K$554,$K22)))</f>
        <v/>
      </c>
      <c r="I22" s="30">
        <f>IF($K22="","",IF(INDEX('Prospect Tracker'!$T$5:$T$554,$K22)="","",INDEX('Prospect Tracker'!$T$5:$T$554,$K22)))</f>
        <v/>
      </c>
      <c r="J22" s="30">
        <f>IF($K22="","",IF(INDEX('Prospect Tracker'!$L$5:$L$554,$K22)="","",INDEX('Prospect Tracker'!$L$5:$L$554,$K22)))</f>
        <v/>
      </c>
      <c r="K22" s="19">
        <f>IFERROR(MATCH(SMALL('Prospect Tracker'!$X$5:$X$554,ROW()-4),'Prospect Tracker'!$X$5:$X$554,0),"")</f>
        <v/>
      </c>
    </row>
    <row r="23" ht="15" customHeight="1" s="20">
      <c r="A23" s="25">
        <f>IF($K23="","",IF(INDEX('Prospect Tracker'!$W$5:$W$554,$K23)="","",INDEX('Prospect Tracker'!$W$5:$W$554,$K23)))</f>
        <v/>
      </c>
      <c r="B23" s="25">
        <f>IF($K23="","",IF(INDEX('Prospect Tracker'!$A$5:$A$554,$K23)="","",INDEX('Prospect Tracker'!$A$5:$A$554,$K23)))</f>
        <v/>
      </c>
      <c r="C23" s="25">
        <f>IF($K23="","",IF(INDEX('Prospect Tracker'!$B$5:$B$554,$K23)="","",INDEX('Prospect Tracker'!$B$5:$B$554,$K23)))</f>
        <v/>
      </c>
      <c r="D23" s="25">
        <f>IF($K23="","",IF(INDEX('Prospect Tracker'!$M$5:$M$554,$K23)="","",INDEX('Prospect Tracker'!$M$5:$M$554,$K23)))</f>
        <v/>
      </c>
      <c r="E23" s="25">
        <f>IF($K23="","",IF(INDEX('Prospect Tracker'!$R$5:$R$554,$K23)="","",INDEX('Prospect Tracker'!$R$5:$R$554,$K23)))</f>
        <v/>
      </c>
      <c r="F23" s="25">
        <f>IF($K23="","",IF(INDEX('Prospect Tracker'!$J$5:$J$554,$K23)="","",INDEX('Prospect Tracker'!$J$5:$J$554,$K23)))</f>
        <v/>
      </c>
      <c r="G23" s="25">
        <f>IF($K23="","",IF(INDEX('Prospect Tracker'!$H$5:$H$554,$K23)="","",INDEX('Prospect Tracker'!$H$5:$H$554,$K23)))</f>
        <v/>
      </c>
      <c r="H23" s="26">
        <f>IF($K23="","",IF(INDEX('Prospect Tracker'!$K$5:$K$554,$K23)="","",INDEX('Prospect Tracker'!$K$5:$K$554,$K23)))</f>
        <v/>
      </c>
      <c r="I23" s="25">
        <f>IF($K23="","",IF(INDEX('Prospect Tracker'!$T$5:$T$554,$K23)="","",INDEX('Prospect Tracker'!$T$5:$T$554,$K23)))</f>
        <v/>
      </c>
      <c r="J23" s="25">
        <f>IF($K23="","",IF(INDEX('Prospect Tracker'!$L$5:$L$554,$K23)="","",INDEX('Prospect Tracker'!$L$5:$L$554,$K23)))</f>
        <v/>
      </c>
      <c r="K23" s="19">
        <f>IFERROR(MATCH(SMALL('Prospect Tracker'!$X$5:$X$554,ROW()-4),'Prospect Tracker'!$X$5:$X$554,0),"")</f>
        <v/>
      </c>
    </row>
    <row r="24" ht="15" customHeight="1" s="20">
      <c r="A24" s="30">
        <f>IF($K24="","",IF(INDEX('Prospect Tracker'!$W$5:$W$554,$K24)="","",INDEX('Prospect Tracker'!$W$5:$W$554,$K24)))</f>
        <v/>
      </c>
      <c r="B24" s="30">
        <f>IF($K24="","",IF(INDEX('Prospect Tracker'!$A$5:$A$554,$K24)="","",INDEX('Prospect Tracker'!$A$5:$A$554,$K24)))</f>
        <v/>
      </c>
      <c r="C24" s="30">
        <f>IF($K24="","",IF(INDEX('Prospect Tracker'!$B$5:$B$554,$K24)="","",INDEX('Prospect Tracker'!$B$5:$B$554,$K24)))</f>
        <v/>
      </c>
      <c r="D24" s="30">
        <f>IF($K24="","",IF(INDEX('Prospect Tracker'!$M$5:$M$554,$K24)="","",INDEX('Prospect Tracker'!$M$5:$M$554,$K24)))</f>
        <v/>
      </c>
      <c r="E24" s="30">
        <f>IF($K24="","",IF(INDEX('Prospect Tracker'!$R$5:$R$554,$K24)="","",INDEX('Prospect Tracker'!$R$5:$R$554,$K24)))</f>
        <v/>
      </c>
      <c r="F24" s="30">
        <f>IF($K24="","",IF(INDEX('Prospect Tracker'!$J$5:$J$554,$K24)="","",INDEX('Prospect Tracker'!$J$5:$J$554,$K24)))</f>
        <v/>
      </c>
      <c r="G24" s="30">
        <f>IF($K24="","",IF(INDEX('Prospect Tracker'!$H$5:$H$554,$K24)="","",INDEX('Prospect Tracker'!$H$5:$H$554,$K24)))</f>
        <v/>
      </c>
      <c r="H24" s="31">
        <f>IF($K24="","",IF(INDEX('Prospect Tracker'!$K$5:$K$554,$K24)="","",INDEX('Prospect Tracker'!$K$5:$K$554,$K24)))</f>
        <v/>
      </c>
      <c r="I24" s="30">
        <f>IF($K24="","",IF(INDEX('Prospect Tracker'!$T$5:$T$554,$K24)="","",INDEX('Prospect Tracker'!$T$5:$T$554,$K24)))</f>
        <v/>
      </c>
      <c r="J24" s="30">
        <f>IF($K24="","",IF(INDEX('Prospect Tracker'!$L$5:$L$554,$K24)="","",INDEX('Prospect Tracker'!$L$5:$L$554,$K24)))</f>
        <v/>
      </c>
      <c r="K24" s="19">
        <f>IFERROR(MATCH(SMALL('Prospect Tracker'!$X$5:$X$554,ROW()-4),'Prospect Tracker'!$X$5:$X$554,0),"")</f>
        <v/>
      </c>
    </row>
    <row r="25" ht="15" customHeight="1" s="20">
      <c r="A25" s="25">
        <f>IF($K25="","",IF(INDEX('Prospect Tracker'!$W$5:$W$554,$K25)="","",INDEX('Prospect Tracker'!$W$5:$W$554,$K25)))</f>
        <v/>
      </c>
      <c r="B25" s="25">
        <f>IF($K25="","",IF(INDEX('Prospect Tracker'!$A$5:$A$554,$K25)="","",INDEX('Prospect Tracker'!$A$5:$A$554,$K25)))</f>
        <v/>
      </c>
      <c r="C25" s="25">
        <f>IF($K25="","",IF(INDEX('Prospect Tracker'!$B$5:$B$554,$K25)="","",INDEX('Prospect Tracker'!$B$5:$B$554,$K25)))</f>
        <v/>
      </c>
      <c r="D25" s="25">
        <f>IF($K25="","",IF(INDEX('Prospect Tracker'!$M$5:$M$554,$K25)="","",INDEX('Prospect Tracker'!$M$5:$M$554,$K25)))</f>
        <v/>
      </c>
      <c r="E25" s="25">
        <f>IF($K25="","",IF(INDEX('Prospect Tracker'!$R$5:$R$554,$K25)="","",INDEX('Prospect Tracker'!$R$5:$R$554,$K25)))</f>
        <v/>
      </c>
      <c r="F25" s="25">
        <f>IF($K25="","",IF(INDEX('Prospect Tracker'!$J$5:$J$554,$K25)="","",INDEX('Prospect Tracker'!$J$5:$J$554,$K25)))</f>
        <v/>
      </c>
      <c r="G25" s="25">
        <f>IF($K25="","",IF(INDEX('Prospect Tracker'!$H$5:$H$554,$K25)="","",INDEX('Prospect Tracker'!$H$5:$H$554,$K25)))</f>
        <v/>
      </c>
      <c r="H25" s="26">
        <f>IF($K25="","",IF(INDEX('Prospect Tracker'!$K$5:$K$554,$K25)="","",INDEX('Prospect Tracker'!$K$5:$K$554,$K25)))</f>
        <v/>
      </c>
      <c r="I25" s="25">
        <f>IF($K25="","",IF(INDEX('Prospect Tracker'!$T$5:$T$554,$K25)="","",INDEX('Prospect Tracker'!$T$5:$T$554,$K25)))</f>
        <v/>
      </c>
      <c r="J25" s="25">
        <f>IF($K25="","",IF(INDEX('Prospect Tracker'!$L$5:$L$554,$K25)="","",INDEX('Prospect Tracker'!$L$5:$L$554,$K25)))</f>
        <v/>
      </c>
      <c r="K25" s="19">
        <f>IFERROR(MATCH(SMALL('Prospect Tracker'!$X$5:$X$554,ROW()-4),'Prospect Tracker'!$X$5:$X$554,0),"")</f>
        <v/>
      </c>
    </row>
    <row r="26" ht="15" customHeight="1" s="20">
      <c r="A26" s="30">
        <f>IF($K26="","",IF(INDEX('Prospect Tracker'!$W$5:$W$554,$K26)="","",INDEX('Prospect Tracker'!$W$5:$W$554,$K26)))</f>
        <v/>
      </c>
      <c r="B26" s="30">
        <f>IF($K26="","",IF(INDEX('Prospect Tracker'!$A$5:$A$554,$K26)="","",INDEX('Prospect Tracker'!$A$5:$A$554,$K26)))</f>
        <v/>
      </c>
      <c r="C26" s="30">
        <f>IF($K26="","",IF(INDEX('Prospect Tracker'!$B$5:$B$554,$K26)="","",INDEX('Prospect Tracker'!$B$5:$B$554,$K26)))</f>
        <v/>
      </c>
      <c r="D26" s="30">
        <f>IF($K26="","",IF(INDEX('Prospect Tracker'!$M$5:$M$554,$K26)="","",INDEX('Prospect Tracker'!$M$5:$M$554,$K26)))</f>
        <v/>
      </c>
      <c r="E26" s="30">
        <f>IF($K26="","",IF(INDEX('Prospect Tracker'!$R$5:$R$554,$K26)="","",INDEX('Prospect Tracker'!$R$5:$R$554,$K26)))</f>
        <v/>
      </c>
      <c r="F26" s="30">
        <f>IF($K26="","",IF(INDEX('Prospect Tracker'!$J$5:$J$554,$K26)="","",INDEX('Prospect Tracker'!$J$5:$J$554,$K26)))</f>
        <v/>
      </c>
      <c r="G26" s="30">
        <f>IF($K26="","",IF(INDEX('Prospect Tracker'!$H$5:$H$554,$K26)="","",INDEX('Prospect Tracker'!$H$5:$H$554,$K26)))</f>
        <v/>
      </c>
      <c r="H26" s="31">
        <f>IF($K26="","",IF(INDEX('Prospect Tracker'!$K$5:$K$554,$K26)="","",INDEX('Prospect Tracker'!$K$5:$K$554,$K26)))</f>
        <v/>
      </c>
      <c r="I26" s="30">
        <f>IF($K26="","",IF(INDEX('Prospect Tracker'!$T$5:$T$554,$K26)="","",INDEX('Prospect Tracker'!$T$5:$T$554,$K26)))</f>
        <v/>
      </c>
      <c r="J26" s="30">
        <f>IF($K26="","",IF(INDEX('Prospect Tracker'!$L$5:$L$554,$K26)="","",INDEX('Prospect Tracker'!$L$5:$L$554,$K26)))</f>
        <v/>
      </c>
      <c r="K26" s="19">
        <f>IFERROR(MATCH(SMALL('Prospect Tracker'!$X$5:$X$554,ROW()-4),'Prospect Tracker'!$X$5:$X$554,0),"")</f>
        <v/>
      </c>
    </row>
    <row r="27" ht="15" customHeight="1" s="20">
      <c r="A27" s="25">
        <f>IF($K27="","",IF(INDEX('Prospect Tracker'!$W$5:$W$554,$K27)="","",INDEX('Prospect Tracker'!$W$5:$W$554,$K27)))</f>
        <v/>
      </c>
      <c r="B27" s="25">
        <f>IF($K27="","",IF(INDEX('Prospect Tracker'!$A$5:$A$554,$K27)="","",INDEX('Prospect Tracker'!$A$5:$A$554,$K27)))</f>
        <v/>
      </c>
      <c r="C27" s="25">
        <f>IF($K27="","",IF(INDEX('Prospect Tracker'!$B$5:$B$554,$K27)="","",INDEX('Prospect Tracker'!$B$5:$B$554,$K27)))</f>
        <v/>
      </c>
      <c r="D27" s="25">
        <f>IF($K27="","",IF(INDEX('Prospect Tracker'!$M$5:$M$554,$K27)="","",INDEX('Prospect Tracker'!$M$5:$M$554,$K27)))</f>
        <v/>
      </c>
      <c r="E27" s="25">
        <f>IF($K27="","",IF(INDEX('Prospect Tracker'!$R$5:$R$554,$K27)="","",INDEX('Prospect Tracker'!$R$5:$R$554,$K27)))</f>
        <v/>
      </c>
      <c r="F27" s="25">
        <f>IF($K27="","",IF(INDEX('Prospect Tracker'!$J$5:$J$554,$K27)="","",INDEX('Prospect Tracker'!$J$5:$J$554,$K27)))</f>
        <v/>
      </c>
      <c r="G27" s="25">
        <f>IF($K27="","",IF(INDEX('Prospect Tracker'!$H$5:$H$554,$K27)="","",INDEX('Prospect Tracker'!$H$5:$H$554,$K27)))</f>
        <v/>
      </c>
      <c r="H27" s="26">
        <f>IF($K27="","",IF(INDEX('Prospect Tracker'!$K$5:$K$554,$K27)="","",INDEX('Prospect Tracker'!$K$5:$K$554,$K27)))</f>
        <v/>
      </c>
      <c r="I27" s="25">
        <f>IF($K27="","",IF(INDEX('Prospect Tracker'!$T$5:$T$554,$K27)="","",INDEX('Prospect Tracker'!$T$5:$T$554,$K27)))</f>
        <v/>
      </c>
      <c r="J27" s="25">
        <f>IF($K27="","",IF(INDEX('Prospect Tracker'!$L$5:$L$554,$K27)="","",INDEX('Prospect Tracker'!$L$5:$L$554,$K27)))</f>
        <v/>
      </c>
      <c r="K27" s="19">
        <f>IFERROR(MATCH(SMALL('Prospect Tracker'!$X$5:$X$554,ROW()-4),'Prospect Tracker'!$X$5:$X$554,0),"")</f>
        <v/>
      </c>
    </row>
    <row r="28" ht="15" customHeight="1" s="20">
      <c r="A28" s="30">
        <f>IF($K28="","",IF(INDEX('Prospect Tracker'!$W$5:$W$554,$K28)="","",INDEX('Prospect Tracker'!$W$5:$W$554,$K28)))</f>
        <v/>
      </c>
      <c r="B28" s="30">
        <f>IF($K28="","",IF(INDEX('Prospect Tracker'!$A$5:$A$554,$K28)="","",INDEX('Prospect Tracker'!$A$5:$A$554,$K28)))</f>
        <v/>
      </c>
      <c r="C28" s="30">
        <f>IF($K28="","",IF(INDEX('Prospect Tracker'!$B$5:$B$554,$K28)="","",INDEX('Prospect Tracker'!$B$5:$B$554,$K28)))</f>
        <v/>
      </c>
      <c r="D28" s="30">
        <f>IF($K28="","",IF(INDEX('Prospect Tracker'!$M$5:$M$554,$K28)="","",INDEX('Prospect Tracker'!$M$5:$M$554,$K28)))</f>
        <v/>
      </c>
      <c r="E28" s="30">
        <f>IF($K28="","",IF(INDEX('Prospect Tracker'!$R$5:$R$554,$K28)="","",INDEX('Prospect Tracker'!$R$5:$R$554,$K28)))</f>
        <v/>
      </c>
      <c r="F28" s="30">
        <f>IF($K28="","",IF(INDEX('Prospect Tracker'!$J$5:$J$554,$K28)="","",INDEX('Prospect Tracker'!$J$5:$J$554,$K28)))</f>
        <v/>
      </c>
      <c r="G28" s="30">
        <f>IF($K28="","",IF(INDEX('Prospect Tracker'!$H$5:$H$554,$K28)="","",INDEX('Prospect Tracker'!$H$5:$H$554,$K28)))</f>
        <v/>
      </c>
      <c r="H28" s="31">
        <f>IF($K28="","",IF(INDEX('Prospect Tracker'!$K$5:$K$554,$K28)="","",INDEX('Prospect Tracker'!$K$5:$K$554,$K28)))</f>
        <v/>
      </c>
      <c r="I28" s="30">
        <f>IF($K28="","",IF(INDEX('Prospect Tracker'!$T$5:$T$554,$K28)="","",INDEX('Prospect Tracker'!$T$5:$T$554,$K28)))</f>
        <v/>
      </c>
      <c r="J28" s="30">
        <f>IF($K28="","",IF(INDEX('Prospect Tracker'!$L$5:$L$554,$K28)="","",INDEX('Prospect Tracker'!$L$5:$L$554,$K28)))</f>
        <v/>
      </c>
      <c r="K28" s="19">
        <f>IFERROR(MATCH(SMALL('Prospect Tracker'!$X$5:$X$554,ROW()-4),'Prospect Tracker'!$X$5:$X$554,0),"")</f>
        <v/>
      </c>
    </row>
    <row r="29" ht="15" customHeight="1" s="20">
      <c r="A29" s="25">
        <f>IF($K29="","",IF(INDEX('Prospect Tracker'!$W$5:$W$554,$K29)="","",INDEX('Prospect Tracker'!$W$5:$W$554,$K29)))</f>
        <v/>
      </c>
      <c r="B29" s="25">
        <f>IF($K29="","",IF(INDEX('Prospect Tracker'!$A$5:$A$554,$K29)="","",INDEX('Prospect Tracker'!$A$5:$A$554,$K29)))</f>
        <v/>
      </c>
      <c r="C29" s="25">
        <f>IF($K29="","",IF(INDEX('Prospect Tracker'!$B$5:$B$554,$K29)="","",INDEX('Prospect Tracker'!$B$5:$B$554,$K29)))</f>
        <v/>
      </c>
      <c r="D29" s="25">
        <f>IF($K29="","",IF(INDEX('Prospect Tracker'!$M$5:$M$554,$K29)="","",INDEX('Prospect Tracker'!$M$5:$M$554,$K29)))</f>
        <v/>
      </c>
      <c r="E29" s="25">
        <f>IF($K29="","",IF(INDEX('Prospect Tracker'!$R$5:$R$554,$K29)="","",INDEX('Prospect Tracker'!$R$5:$R$554,$K29)))</f>
        <v/>
      </c>
      <c r="F29" s="25">
        <f>IF($K29="","",IF(INDEX('Prospect Tracker'!$J$5:$J$554,$K29)="","",INDEX('Prospect Tracker'!$J$5:$J$554,$K29)))</f>
        <v/>
      </c>
      <c r="G29" s="25">
        <f>IF($K29="","",IF(INDEX('Prospect Tracker'!$H$5:$H$554,$K29)="","",INDEX('Prospect Tracker'!$H$5:$H$554,$K29)))</f>
        <v/>
      </c>
      <c r="H29" s="26">
        <f>IF($K29="","",IF(INDEX('Prospect Tracker'!$K$5:$K$554,$K29)="","",INDEX('Prospect Tracker'!$K$5:$K$554,$K29)))</f>
        <v/>
      </c>
      <c r="I29" s="25">
        <f>IF($K29="","",IF(INDEX('Prospect Tracker'!$T$5:$T$554,$K29)="","",INDEX('Prospect Tracker'!$T$5:$T$554,$K29)))</f>
        <v/>
      </c>
      <c r="J29" s="25">
        <f>IF($K29="","",IF(INDEX('Prospect Tracker'!$L$5:$L$554,$K29)="","",INDEX('Prospect Tracker'!$L$5:$L$554,$K29)))</f>
        <v/>
      </c>
      <c r="K29" s="19">
        <f>IFERROR(MATCH(SMALL('Prospect Tracker'!$X$5:$X$554,ROW()-4),'Prospect Tracker'!$X$5:$X$554,0),"")</f>
        <v/>
      </c>
    </row>
    <row r="30" ht="15" customHeight="1" s="20">
      <c r="A30" s="30">
        <f>IF($K30="","",IF(INDEX('Prospect Tracker'!$W$5:$W$554,$K30)="","",INDEX('Prospect Tracker'!$W$5:$W$554,$K30)))</f>
        <v/>
      </c>
      <c r="B30" s="30">
        <f>IF($K30="","",IF(INDEX('Prospect Tracker'!$A$5:$A$554,$K30)="","",INDEX('Prospect Tracker'!$A$5:$A$554,$K30)))</f>
        <v/>
      </c>
      <c r="C30" s="30">
        <f>IF($K30="","",IF(INDEX('Prospect Tracker'!$B$5:$B$554,$K30)="","",INDEX('Prospect Tracker'!$B$5:$B$554,$K30)))</f>
        <v/>
      </c>
      <c r="D30" s="30">
        <f>IF($K30="","",IF(INDEX('Prospect Tracker'!$M$5:$M$554,$K30)="","",INDEX('Prospect Tracker'!$M$5:$M$554,$K30)))</f>
        <v/>
      </c>
      <c r="E30" s="30">
        <f>IF($K30="","",IF(INDEX('Prospect Tracker'!$R$5:$R$554,$K30)="","",INDEX('Prospect Tracker'!$R$5:$R$554,$K30)))</f>
        <v/>
      </c>
      <c r="F30" s="30">
        <f>IF($K30="","",IF(INDEX('Prospect Tracker'!$J$5:$J$554,$K30)="","",INDEX('Prospect Tracker'!$J$5:$J$554,$K30)))</f>
        <v/>
      </c>
      <c r="G30" s="30">
        <f>IF($K30="","",IF(INDEX('Prospect Tracker'!$H$5:$H$554,$K30)="","",INDEX('Prospect Tracker'!$H$5:$H$554,$K30)))</f>
        <v/>
      </c>
      <c r="H30" s="31">
        <f>IF($K30="","",IF(INDEX('Prospect Tracker'!$K$5:$K$554,$K30)="","",INDEX('Prospect Tracker'!$K$5:$K$554,$K30)))</f>
        <v/>
      </c>
      <c r="I30" s="30">
        <f>IF($K30="","",IF(INDEX('Prospect Tracker'!$T$5:$T$554,$K30)="","",INDEX('Prospect Tracker'!$T$5:$T$554,$K30)))</f>
        <v/>
      </c>
      <c r="J30" s="30">
        <f>IF($K30="","",IF(INDEX('Prospect Tracker'!$L$5:$L$554,$K30)="","",INDEX('Prospect Tracker'!$L$5:$L$554,$K30)))</f>
        <v/>
      </c>
      <c r="K30" s="19">
        <f>IFERROR(MATCH(SMALL('Prospect Tracker'!$X$5:$X$554,ROW()-4),'Prospect Tracker'!$X$5:$X$554,0),"")</f>
        <v/>
      </c>
    </row>
    <row r="31" ht="15" customHeight="1" s="20">
      <c r="A31" s="25">
        <f>IF($K31="","",IF(INDEX('Prospect Tracker'!$W$5:$W$554,$K31)="","",INDEX('Prospect Tracker'!$W$5:$W$554,$K31)))</f>
        <v/>
      </c>
      <c r="B31" s="25">
        <f>IF($K31="","",IF(INDEX('Prospect Tracker'!$A$5:$A$554,$K31)="","",INDEX('Prospect Tracker'!$A$5:$A$554,$K31)))</f>
        <v/>
      </c>
      <c r="C31" s="25">
        <f>IF($K31="","",IF(INDEX('Prospect Tracker'!$B$5:$B$554,$K31)="","",INDEX('Prospect Tracker'!$B$5:$B$554,$K31)))</f>
        <v/>
      </c>
      <c r="D31" s="25">
        <f>IF($K31="","",IF(INDEX('Prospect Tracker'!$M$5:$M$554,$K31)="","",INDEX('Prospect Tracker'!$M$5:$M$554,$K31)))</f>
        <v/>
      </c>
      <c r="E31" s="25">
        <f>IF($K31="","",IF(INDEX('Prospect Tracker'!$R$5:$R$554,$K31)="","",INDEX('Prospect Tracker'!$R$5:$R$554,$K31)))</f>
        <v/>
      </c>
      <c r="F31" s="25">
        <f>IF($K31="","",IF(INDEX('Prospect Tracker'!$J$5:$J$554,$K31)="","",INDEX('Prospect Tracker'!$J$5:$J$554,$K31)))</f>
        <v/>
      </c>
      <c r="G31" s="25">
        <f>IF($K31="","",IF(INDEX('Prospect Tracker'!$H$5:$H$554,$K31)="","",INDEX('Prospect Tracker'!$H$5:$H$554,$K31)))</f>
        <v/>
      </c>
      <c r="H31" s="26">
        <f>IF($K31="","",IF(INDEX('Prospect Tracker'!$K$5:$K$554,$K31)="","",INDEX('Prospect Tracker'!$K$5:$K$554,$K31)))</f>
        <v/>
      </c>
      <c r="I31" s="25">
        <f>IF($K31="","",IF(INDEX('Prospect Tracker'!$T$5:$T$554,$K31)="","",INDEX('Prospect Tracker'!$T$5:$T$554,$K31)))</f>
        <v/>
      </c>
      <c r="J31" s="25">
        <f>IF($K31="","",IF(INDEX('Prospect Tracker'!$L$5:$L$554,$K31)="","",INDEX('Prospect Tracker'!$L$5:$L$554,$K31)))</f>
        <v/>
      </c>
      <c r="K31" s="19">
        <f>IFERROR(MATCH(SMALL('Prospect Tracker'!$X$5:$X$554,ROW()-4),'Prospect Tracker'!$X$5:$X$554,0),"")</f>
        <v/>
      </c>
    </row>
    <row r="32" ht="15" customHeight="1" s="20">
      <c r="A32" s="30">
        <f>IF($K32="","",IF(INDEX('Prospect Tracker'!$W$5:$W$554,$K32)="","",INDEX('Prospect Tracker'!$W$5:$W$554,$K32)))</f>
        <v/>
      </c>
      <c r="B32" s="30">
        <f>IF($K32="","",IF(INDEX('Prospect Tracker'!$A$5:$A$554,$K32)="","",INDEX('Prospect Tracker'!$A$5:$A$554,$K32)))</f>
        <v/>
      </c>
      <c r="C32" s="30">
        <f>IF($K32="","",IF(INDEX('Prospect Tracker'!$B$5:$B$554,$K32)="","",INDEX('Prospect Tracker'!$B$5:$B$554,$K32)))</f>
        <v/>
      </c>
      <c r="D32" s="30">
        <f>IF($K32="","",IF(INDEX('Prospect Tracker'!$M$5:$M$554,$K32)="","",INDEX('Prospect Tracker'!$M$5:$M$554,$K32)))</f>
        <v/>
      </c>
      <c r="E32" s="30">
        <f>IF($K32="","",IF(INDEX('Prospect Tracker'!$R$5:$R$554,$K32)="","",INDEX('Prospect Tracker'!$R$5:$R$554,$K32)))</f>
        <v/>
      </c>
      <c r="F32" s="30">
        <f>IF($K32="","",IF(INDEX('Prospect Tracker'!$J$5:$J$554,$K32)="","",INDEX('Prospect Tracker'!$J$5:$J$554,$K32)))</f>
        <v/>
      </c>
      <c r="G32" s="30">
        <f>IF($K32="","",IF(INDEX('Prospect Tracker'!$H$5:$H$554,$K32)="","",INDEX('Prospect Tracker'!$H$5:$H$554,$K32)))</f>
        <v/>
      </c>
      <c r="H32" s="31">
        <f>IF($K32="","",IF(INDEX('Prospect Tracker'!$K$5:$K$554,$K32)="","",INDEX('Prospect Tracker'!$K$5:$K$554,$K32)))</f>
        <v/>
      </c>
      <c r="I32" s="30">
        <f>IF($K32="","",IF(INDEX('Prospect Tracker'!$T$5:$T$554,$K32)="","",INDEX('Prospect Tracker'!$T$5:$T$554,$K32)))</f>
        <v/>
      </c>
      <c r="J32" s="30">
        <f>IF($K32="","",IF(INDEX('Prospect Tracker'!$L$5:$L$554,$K32)="","",INDEX('Prospect Tracker'!$L$5:$L$554,$K32)))</f>
        <v/>
      </c>
      <c r="K32" s="19">
        <f>IFERROR(MATCH(SMALL('Prospect Tracker'!$X$5:$X$554,ROW()-4),'Prospect Tracker'!$X$5:$X$554,0),"")</f>
        <v/>
      </c>
    </row>
    <row r="33" ht="15" customHeight="1" s="20">
      <c r="A33" s="25">
        <f>IF($K33="","",IF(INDEX('Prospect Tracker'!$W$5:$W$554,$K33)="","",INDEX('Prospect Tracker'!$W$5:$W$554,$K33)))</f>
        <v/>
      </c>
      <c r="B33" s="25">
        <f>IF($K33="","",IF(INDEX('Prospect Tracker'!$A$5:$A$554,$K33)="","",INDEX('Prospect Tracker'!$A$5:$A$554,$K33)))</f>
        <v/>
      </c>
      <c r="C33" s="25">
        <f>IF($K33="","",IF(INDEX('Prospect Tracker'!$B$5:$B$554,$K33)="","",INDEX('Prospect Tracker'!$B$5:$B$554,$K33)))</f>
        <v/>
      </c>
      <c r="D33" s="25">
        <f>IF($K33="","",IF(INDEX('Prospect Tracker'!$M$5:$M$554,$K33)="","",INDEX('Prospect Tracker'!$M$5:$M$554,$K33)))</f>
        <v/>
      </c>
      <c r="E33" s="25">
        <f>IF($K33="","",IF(INDEX('Prospect Tracker'!$R$5:$R$554,$K33)="","",INDEX('Prospect Tracker'!$R$5:$R$554,$K33)))</f>
        <v/>
      </c>
      <c r="F33" s="25">
        <f>IF($K33="","",IF(INDEX('Prospect Tracker'!$J$5:$J$554,$K33)="","",INDEX('Prospect Tracker'!$J$5:$J$554,$K33)))</f>
        <v/>
      </c>
      <c r="G33" s="25">
        <f>IF($K33="","",IF(INDEX('Prospect Tracker'!$H$5:$H$554,$K33)="","",INDEX('Prospect Tracker'!$H$5:$H$554,$K33)))</f>
        <v/>
      </c>
      <c r="H33" s="26">
        <f>IF($K33="","",IF(INDEX('Prospect Tracker'!$K$5:$K$554,$K33)="","",INDEX('Prospect Tracker'!$K$5:$K$554,$K33)))</f>
        <v/>
      </c>
      <c r="I33" s="25">
        <f>IF($K33="","",IF(INDEX('Prospect Tracker'!$T$5:$T$554,$K33)="","",INDEX('Prospect Tracker'!$T$5:$T$554,$K33)))</f>
        <v/>
      </c>
      <c r="J33" s="25">
        <f>IF($K33="","",IF(INDEX('Prospect Tracker'!$L$5:$L$554,$K33)="","",INDEX('Prospect Tracker'!$L$5:$L$554,$K33)))</f>
        <v/>
      </c>
      <c r="K33" s="19">
        <f>IFERROR(MATCH(SMALL('Prospect Tracker'!$X$5:$X$554,ROW()-4),'Prospect Tracker'!$X$5:$X$554,0),"")</f>
        <v/>
      </c>
    </row>
    <row r="34" ht="15" customHeight="1" s="20">
      <c r="A34" s="30">
        <f>IF($K34="","",IF(INDEX('Prospect Tracker'!$W$5:$W$554,$K34)="","",INDEX('Prospect Tracker'!$W$5:$W$554,$K34)))</f>
        <v/>
      </c>
      <c r="B34" s="30">
        <f>IF($K34="","",IF(INDEX('Prospect Tracker'!$A$5:$A$554,$K34)="","",INDEX('Prospect Tracker'!$A$5:$A$554,$K34)))</f>
        <v/>
      </c>
      <c r="C34" s="30">
        <f>IF($K34="","",IF(INDEX('Prospect Tracker'!$B$5:$B$554,$K34)="","",INDEX('Prospect Tracker'!$B$5:$B$554,$K34)))</f>
        <v/>
      </c>
      <c r="D34" s="30">
        <f>IF($K34="","",IF(INDEX('Prospect Tracker'!$M$5:$M$554,$K34)="","",INDEX('Prospect Tracker'!$M$5:$M$554,$K34)))</f>
        <v/>
      </c>
      <c r="E34" s="30">
        <f>IF($K34="","",IF(INDEX('Prospect Tracker'!$R$5:$R$554,$K34)="","",INDEX('Prospect Tracker'!$R$5:$R$554,$K34)))</f>
        <v/>
      </c>
      <c r="F34" s="30">
        <f>IF($K34="","",IF(INDEX('Prospect Tracker'!$J$5:$J$554,$K34)="","",INDEX('Prospect Tracker'!$J$5:$J$554,$K34)))</f>
        <v/>
      </c>
      <c r="G34" s="30">
        <f>IF($K34="","",IF(INDEX('Prospect Tracker'!$H$5:$H$554,$K34)="","",INDEX('Prospect Tracker'!$H$5:$H$554,$K34)))</f>
        <v/>
      </c>
      <c r="H34" s="31">
        <f>IF($K34="","",IF(INDEX('Prospect Tracker'!$K$5:$K$554,$K34)="","",INDEX('Prospect Tracker'!$K$5:$K$554,$K34)))</f>
        <v/>
      </c>
      <c r="I34" s="30">
        <f>IF($K34="","",IF(INDEX('Prospect Tracker'!$T$5:$T$554,$K34)="","",INDEX('Prospect Tracker'!$T$5:$T$554,$K34)))</f>
        <v/>
      </c>
      <c r="J34" s="30">
        <f>IF($K34="","",IF(INDEX('Prospect Tracker'!$L$5:$L$554,$K34)="","",INDEX('Prospect Tracker'!$L$5:$L$554,$K34)))</f>
        <v/>
      </c>
      <c r="K34" s="19">
        <f>IFERROR(MATCH(SMALL('Prospect Tracker'!$X$5:$X$554,ROW()-4),'Prospect Tracker'!$X$5:$X$554,0),"")</f>
        <v/>
      </c>
    </row>
    <row r="35" ht="15" customHeight="1" s="20">
      <c r="A35" s="25">
        <f>IF($K35="","",IF(INDEX('Prospect Tracker'!$W$5:$W$554,$K35)="","",INDEX('Prospect Tracker'!$W$5:$W$554,$K35)))</f>
        <v/>
      </c>
      <c r="B35" s="25">
        <f>IF($K35="","",IF(INDEX('Prospect Tracker'!$A$5:$A$554,$K35)="","",INDEX('Prospect Tracker'!$A$5:$A$554,$K35)))</f>
        <v/>
      </c>
      <c r="C35" s="25">
        <f>IF($K35="","",IF(INDEX('Prospect Tracker'!$B$5:$B$554,$K35)="","",INDEX('Prospect Tracker'!$B$5:$B$554,$K35)))</f>
        <v/>
      </c>
      <c r="D35" s="25">
        <f>IF($K35="","",IF(INDEX('Prospect Tracker'!$M$5:$M$554,$K35)="","",INDEX('Prospect Tracker'!$M$5:$M$554,$K35)))</f>
        <v/>
      </c>
      <c r="E35" s="25">
        <f>IF($K35="","",IF(INDEX('Prospect Tracker'!$R$5:$R$554,$K35)="","",INDEX('Prospect Tracker'!$R$5:$R$554,$K35)))</f>
        <v/>
      </c>
      <c r="F35" s="25">
        <f>IF($K35="","",IF(INDEX('Prospect Tracker'!$J$5:$J$554,$K35)="","",INDEX('Prospect Tracker'!$J$5:$J$554,$K35)))</f>
        <v/>
      </c>
      <c r="G35" s="25">
        <f>IF($K35="","",IF(INDEX('Prospect Tracker'!$H$5:$H$554,$K35)="","",INDEX('Prospect Tracker'!$H$5:$H$554,$K35)))</f>
        <v/>
      </c>
      <c r="H35" s="26">
        <f>IF($K35="","",IF(INDEX('Prospect Tracker'!$K$5:$K$554,$K35)="","",INDEX('Prospect Tracker'!$K$5:$K$554,$K35)))</f>
        <v/>
      </c>
      <c r="I35" s="25">
        <f>IF($K35="","",IF(INDEX('Prospect Tracker'!$T$5:$T$554,$K35)="","",INDEX('Prospect Tracker'!$T$5:$T$554,$K35)))</f>
        <v/>
      </c>
      <c r="J35" s="25">
        <f>IF($K35="","",IF(INDEX('Prospect Tracker'!$L$5:$L$554,$K35)="","",INDEX('Prospect Tracker'!$L$5:$L$554,$K35)))</f>
        <v/>
      </c>
      <c r="K35" s="19">
        <f>IFERROR(MATCH(SMALL('Prospect Tracker'!$X$5:$X$554,ROW()-4),'Prospect Tracker'!$X$5:$X$554,0),"")</f>
        <v/>
      </c>
    </row>
    <row r="36" ht="15" customHeight="1" s="20">
      <c r="A36" s="30">
        <f>IF($K36="","",IF(INDEX('Prospect Tracker'!$W$5:$W$554,$K36)="","",INDEX('Prospect Tracker'!$W$5:$W$554,$K36)))</f>
        <v/>
      </c>
      <c r="B36" s="30">
        <f>IF($K36="","",IF(INDEX('Prospect Tracker'!$A$5:$A$554,$K36)="","",INDEX('Prospect Tracker'!$A$5:$A$554,$K36)))</f>
        <v/>
      </c>
      <c r="C36" s="30">
        <f>IF($K36="","",IF(INDEX('Prospect Tracker'!$B$5:$B$554,$K36)="","",INDEX('Prospect Tracker'!$B$5:$B$554,$K36)))</f>
        <v/>
      </c>
      <c r="D36" s="30">
        <f>IF($K36="","",IF(INDEX('Prospect Tracker'!$M$5:$M$554,$K36)="","",INDEX('Prospect Tracker'!$M$5:$M$554,$K36)))</f>
        <v/>
      </c>
      <c r="E36" s="30">
        <f>IF($K36="","",IF(INDEX('Prospect Tracker'!$R$5:$R$554,$K36)="","",INDEX('Prospect Tracker'!$R$5:$R$554,$K36)))</f>
        <v/>
      </c>
      <c r="F36" s="30">
        <f>IF($K36="","",IF(INDEX('Prospect Tracker'!$J$5:$J$554,$K36)="","",INDEX('Prospect Tracker'!$J$5:$J$554,$K36)))</f>
        <v/>
      </c>
      <c r="G36" s="30">
        <f>IF($K36="","",IF(INDEX('Prospect Tracker'!$H$5:$H$554,$K36)="","",INDEX('Prospect Tracker'!$H$5:$H$554,$K36)))</f>
        <v/>
      </c>
      <c r="H36" s="31">
        <f>IF($K36="","",IF(INDEX('Prospect Tracker'!$K$5:$K$554,$K36)="","",INDEX('Prospect Tracker'!$K$5:$K$554,$K36)))</f>
        <v/>
      </c>
      <c r="I36" s="30">
        <f>IF($K36="","",IF(INDEX('Prospect Tracker'!$T$5:$T$554,$K36)="","",INDEX('Prospect Tracker'!$T$5:$T$554,$K36)))</f>
        <v/>
      </c>
      <c r="J36" s="30">
        <f>IF($K36="","",IF(INDEX('Prospect Tracker'!$L$5:$L$554,$K36)="","",INDEX('Prospect Tracker'!$L$5:$L$554,$K36)))</f>
        <v/>
      </c>
      <c r="K36" s="19">
        <f>IFERROR(MATCH(SMALL('Prospect Tracker'!$X$5:$X$554,ROW()-4),'Prospect Tracker'!$X$5:$X$554,0),"")</f>
        <v/>
      </c>
    </row>
    <row r="37" ht="15" customHeight="1" s="20">
      <c r="A37" s="25">
        <f>IF($K37="","",IF(INDEX('Prospect Tracker'!$W$5:$W$554,$K37)="","",INDEX('Prospect Tracker'!$W$5:$W$554,$K37)))</f>
        <v/>
      </c>
      <c r="B37" s="25">
        <f>IF($K37="","",IF(INDEX('Prospect Tracker'!$A$5:$A$554,$K37)="","",INDEX('Prospect Tracker'!$A$5:$A$554,$K37)))</f>
        <v/>
      </c>
      <c r="C37" s="25">
        <f>IF($K37="","",IF(INDEX('Prospect Tracker'!$B$5:$B$554,$K37)="","",INDEX('Prospect Tracker'!$B$5:$B$554,$K37)))</f>
        <v/>
      </c>
      <c r="D37" s="25">
        <f>IF($K37="","",IF(INDEX('Prospect Tracker'!$M$5:$M$554,$K37)="","",INDEX('Prospect Tracker'!$M$5:$M$554,$K37)))</f>
        <v/>
      </c>
      <c r="E37" s="25">
        <f>IF($K37="","",IF(INDEX('Prospect Tracker'!$R$5:$R$554,$K37)="","",INDEX('Prospect Tracker'!$R$5:$R$554,$K37)))</f>
        <v/>
      </c>
      <c r="F37" s="25">
        <f>IF($K37="","",IF(INDEX('Prospect Tracker'!$J$5:$J$554,$K37)="","",INDEX('Prospect Tracker'!$J$5:$J$554,$K37)))</f>
        <v/>
      </c>
      <c r="G37" s="25">
        <f>IF($K37="","",IF(INDEX('Prospect Tracker'!$H$5:$H$554,$K37)="","",INDEX('Prospect Tracker'!$H$5:$H$554,$K37)))</f>
        <v/>
      </c>
      <c r="H37" s="26">
        <f>IF($K37="","",IF(INDEX('Prospect Tracker'!$K$5:$K$554,$K37)="","",INDEX('Prospect Tracker'!$K$5:$K$554,$K37)))</f>
        <v/>
      </c>
      <c r="I37" s="25">
        <f>IF($K37="","",IF(INDEX('Prospect Tracker'!$T$5:$T$554,$K37)="","",INDEX('Prospect Tracker'!$T$5:$T$554,$K37)))</f>
        <v/>
      </c>
      <c r="J37" s="25">
        <f>IF($K37="","",IF(INDEX('Prospect Tracker'!$L$5:$L$554,$K37)="","",INDEX('Prospect Tracker'!$L$5:$L$554,$K37)))</f>
        <v/>
      </c>
      <c r="K37" s="19">
        <f>IFERROR(MATCH(SMALL('Prospect Tracker'!$X$5:$X$554,ROW()-4),'Prospect Tracker'!$X$5:$X$554,0),"")</f>
        <v/>
      </c>
    </row>
    <row r="38" ht="15" customHeight="1" s="20">
      <c r="A38" s="30">
        <f>IF($K38="","",IF(INDEX('Prospect Tracker'!$W$5:$W$554,$K38)="","",INDEX('Prospect Tracker'!$W$5:$W$554,$K38)))</f>
        <v/>
      </c>
      <c r="B38" s="30">
        <f>IF($K38="","",IF(INDEX('Prospect Tracker'!$A$5:$A$554,$K38)="","",INDEX('Prospect Tracker'!$A$5:$A$554,$K38)))</f>
        <v/>
      </c>
      <c r="C38" s="30">
        <f>IF($K38="","",IF(INDEX('Prospect Tracker'!$B$5:$B$554,$K38)="","",INDEX('Prospect Tracker'!$B$5:$B$554,$K38)))</f>
        <v/>
      </c>
      <c r="D38" s="30">
        <f>IF($K38="","",IF(INDEX('Prospect Tracker'!$M$5:$M$554,$K38)="","",INDEX('Prospect Tracker'!$M$5:$M$554,$K38)))</f>
        <v/>
      </c>
      <c r="E38" s="30">
        <f>IF($K38="","",IF(INDEX('Prospect Tracker'!$R$5:$R$554,$K38)="","",INDEX('Prospect Tracker'!$R$5:$R$554,$K38)))</f>
        <v/>
      </c>
      <c r="F38" s="30">
        <f>IF($K38="","",IF(INDEX('Prospect Tracker'!$J$5:$J$554,$K38)="","",INDEX('Prospect Tracker'!$J$5:$J$554,$K38)))</f>
        <v/>
      </c>
      <c r="G38" s="30">
        <f>IF($K38="","",IF(INDEX('Prospect Tracker'!$H$5:$H$554,$K38)="","",INDEX('Prospect Tracker'!$H$5:$H$554,$K38)))</f>
        <v/>
      </c>
      <c r="H38" s="31">
        <f>IF($K38="","",IF(INDEX('Prospect Tracker'!$K$5:$K$554,$K38)="","",INDEX('Prospect Tracker'!$K$5:$K$554,$K38)))</f>
        <v/>
      </c>
      <c r="I38" s="30">
        <f>IF($K38="","",IF(INDEX('Prospect Tracker'!$T$5:$T$554,$K38)="","",INDEX('Prospect Tracker'!$T$5:$T$554,$K38)))</f>
        <v/>
      </c>
      <c r="J38" s="30">
        <f>IF($K38="","",IF(INDEX('Prospect Tracker'!$L$5:$L$554,$K38)="","",INDEX('Prospect Tracker'!$L$5:$L$554,$K38)))</f>
        <v/>
      </c>
      <c r="K38" s="19">
        <f>IFERROR(MATCH(SMALL('Prospect Tracker'!$X$5:$X$554,ROW()-4),'Prospect Tracker'!$X$5:$X$554,0),"")</f>
        <v/>
      </c>
    </row>
    <row r="39" ht="15" customHeight="1" s="20">
      <c r="A39" s="25">
        <f>IF($K39="","",IF(INDEX('Prospect Tracker'!$W$5:$W$554,$K39)="","",INDEX('Prospect Tracker'!$W$5:$W$554,$K39)))</f>
        <v/>
      </c>
      <c r="B39" s="25">
        <f>IF($K39="","",IF(INDEX('Prospect Tracker'!$A$5:$A$554,$K39)="","",INDEX('Prospect Tracker'!$A$5:$A$554,$K39)))</f>
        <v/>
      </c>
      <c r="C39" s="25">
        <f>IF($K39="","",IF(INDEX('Prospect Tracker'!$B$5:$B$554,$K39)="","",INDEX('Prospect Tracker'!$B$5:$B$554,$K39)))</f>
        <v/>
      </c>
      <c r="D39" s="25">
        <f>IF($K39="","",IF(INDEX('Prospect Tracker'!$M$5:$M$554,$K39)="","",INDEX('Prospect Tracker'!$M$5:$M$554,$K39)))</f>
        <v/>
      </c>
      <c r="E39" s="25">
        <f>IF($K39="","",IF(INDEX('Prospect Tracker'!$R$5:$R$554,$K39)="","",INDEX('Prospect Tracker'!$R$5:$R$554,$K39)))</f>
        <v/>
      </c>
      <c r="F39" s="25">
        <f>IF($K39="","",IF(INDEX('Prospect Tracker'!$J$5:$J$554,$K39)="","",INDEX('Prospect Tracker'!$J$5:$J$554,$K39)))</f>
        <v/>
      </c>
      <c r="G39" s="25">
        <f>IF($K39="","",IF(INDEX('Prospect Tracker'!$H$5:$H$554,$K39)="","",INDEX('Prospect Tracker'!$H$5:$H$554,$K39)))</f>
        <v/>
      </c>
      <c r="H39" s="26">
        <f>IF($K39="","",IF(INDEX('Prospect Tracker'!$K$5:$K$554,$K39)="","",INDEX('Prospect Tracker'!$K$5:$K$554,$K39)))</f>
        <v/>
      </c>
      <c r="I39" s="25">
        <f>IF($K39="","",IF(INDEX('Prospect Tracker'!$T$5:$T$554,$K39)="","",INDEX('Prospect Tracker'!$T$5:$T$554,$K39)))</f>
        <v/>
      </c>
      <c r="J39" s="25">
        <f>IF($K39="","",IF(INDEX('Prospect Tracker'!$L$5:$L$554,$K39)="","",INDEX('Prospect Tracker'!$L$5:$L$554,$K39)))</f>
        <v/>
      </c>
      <c r="K39" s="19">
        <f>IFERROR(MATCH(SMALL('Prospect Tracker'!$X$5:$X$554,ROW()-4),'Prospect Tracker'!$X$5:$X$554,0),"")</f>
        <v/>
      </c>
    </row>
    <row r="40" ht="15" customHeight="1" s="20">
      <c r="A40" s="30">
        <f>IF($K40="","",IF(INDEX('Prospect Tracker'!$W$5:$W$554,$K40)="","",INDEX('Prospect Tracker'!$W$5:$W$554,$K40)))</f>
        <v/>
      </c>
      <c r="B40" s="30">
        <f>IF($K40="","",IF(INDEX('Prospect Tracker'!$A$5:$A$554,$K40)="","",INDEX('Prospect Tracker'!$A$5:$A$554,$K40)))</f>
        <v/>
      </c>
      <c r="C40" s="30">
        <f>IF($K40="","",IF(INDEX('Prospect Tracker'!$B$5:$B$554,$K40)="","",INDEX('Prospect Tracker'!$B$5:$B$554,$K40)))</f>
        <v/>
      </c>
      <c r="D40" s="30">
        <f>IF($K40="","",IF(INDEX('Prospect Tracker'!$M$5:$M$554,$K40)="","",INDEX('Prospect Tracker'!$M$5:$M$554,$K40)))</f>
        <v/>
      </c>
      <c r="E40" s="30">
        <f>IF($K40="","",IF(INDEX('Prospect Tracker'!$R$5:$R$554,$K40)="","",INDEX('Prospect Tracker'!$R$5:$R$554,$K40)))</f>
        <v/>
      </c>
      <c r="F40" s="30">
        <f>IF($K40="","",IF(INDEX('Prospect Tracker'!$J$5:$J$554,$K40)="","",INDEX('Prospect Tracker'!$J$5:$J$554,$K40)))</f>
        <v/>
      </c>
      <c r="G40" s="30">
        <f>IF($K40="","",IF(INDEX('Prospect Tracker'!$H$5:$H$554,$K40)="","",INDEX('Prospect Tracker'!$H$5:$H$554,$K40)))</f>
        <v/>
      </c>
      <c r="H40" s="31">
        <f>IF($K40="","",IF(INDEX('Prospect Tracker'!$K$5:$K$554,$K40)="","",INDEX('Prospect Tracker'!$K$5:$K$554,$K40)))</f>
        <v/>
      </c>
      <c r="I40" s="30">
        <f>IF($K40="","",IF(INDEX('Prospect Tracker'!$T$5:$T$554,$K40)="","",INDEX('Prospect Tracker'!$T$5:$T$554,$K40)))</f>
        <v/>
      </c>
      <c r="J40" s="30">
        <f>IF($K40="","",IF(INDEX('Prospect Tracker'!$L$5:$L$554,$K40)="","",INDEX('Prospect Tracker'!$L$5:$L$554,$K40)))</f>
        <v/>
      </c>
      <c r="K40" s="19">
        <f>IFERROR(MATCH(SMALL('Prospect Tracker'!$X$5:$X$554,ROW()-4),'Prospect Tracker'!$X$5:$X$554,0),"")</f>
        <v/>
      </c>
    </row>
    <row r="41" ht="15" customHeight="1" s="20">
      <c r="A41" s="25">
        <f>IF($K41="","",IF(INDEX('Prospect Tracker'!$W$5:$W$554,$K41)="","",INDEX('Prospect Tracker'!$W$5:$W$554,$K41)))</f>
        <v/>
      </c>
      <c r="B41" s="25">
        <f>IF($K41="","",IF(INDEX('Prospect Tracker'!$A$5:$A$554,$K41)="","",INDEX('Prospect Tracker'!$A$5:$A$554,$K41)))</f>
        <v/>
      </c>
      <c r="C41" s="25">
        <f>IF($K41="","",IF(INDEX('Prospect Tracker'!$B$5:$B$554,$K41)="","",INDEX('Prospect Tracker'!$B$5:$B$554,$K41)))</f>
        <v/>
      </c>
      <c r="D41" s="25">
        <f>IF($K41="","",IF(INDEX('Prospect Tracker'!$M$5:$M$554,$K41)="","",INDEX('Prospect Tracker'!$M$5:$M$554,$K41)))</f>
        <v/>
      </c>
      <c r="E41" s="25">
        <f>IF($K41="","",IF(INDEX('Prospect Tracker'!$R$5:$R$554,$K41)="","",INDEX('Prospect Tracker'!$R$5:$R$554,$K41)))</f>
        <v/>
      </c>
      <c r="F41" s="25">
        <f>IF($K41="","",IF(INDEX('Prospect Tracker'!$J$5:$J$554,$K41)="","",INDEX('Prospect Tracker'!$J$5:$J$554,$K41)))</f>
        <v/>
      </c>
      <c r="G41" s="25">
        <f>IF($K41="","",IF(INDEX('Prospect Tracker'!$H$5:$H$554,$K41)="","",INDEX('Prospect Tracker'!$H$5:$H$554,$K41)))</f>
        <v/>
      </c>
      <c r="H41" s="26">
        <f>IF($K41="","",IF(INDEX('Prospect Tracker'!$K$5:$K$554,$K41)="","",INDEX('Prospect Tracker'!$K$5:$K$554,$K41)))</f>
        <v/>
      </c>
      <c r="I41" s="25">
        <f>IF($K41="","",IF(INDEX('Prospect Tracker'!$T$5:$T$554,$K41)="","",INDEX('Prospect Tracker'!$T$5:$T$554,$K41)))</f>
        <v/>
      </c>
      <c r="J41" s="25">
        <f>IF($K41="","",IF(INDEX('Prospect Tracker'!$L$5:$L$554,$K41)="","",INDEX('Prospect Tracker'!$L$5:$L$554,$K41)))</f>
        <v/>
      </c>
      <c r="K41" s="19">
        <f>IFERROR(MATCH(SMALL('Prospect Tracker'!$X$5:$X$554,ROW()-4),'Prospect Tracker'!$X$5:$X$554,0),"")</f>
        <v/>
      </c>
    </row>
    <row r="42" ht="15" customHeight="1" s="20">
      <c r="A42" s="30">
        <f>IF($K42="","",IF(INDEX('Prospect Tracker'!$W$5:$W$554,$K42)="","",INDEX('Prospect Tracker'!$W$5:$W$554,$K42)))</f>
        <v/>
      </c>
      <c r="B42" s="30">
        <f>IF($K42="","",IF(INDEX('Prospect Tracker'!$A$5:$A$554,$K42)="","",INDEX('Prospect Tracker'!$A$5:$A$554,$K42)))</f>
        <v/>
      </c>
      <c r="C42" s="30">
        <f>IF($K42="","",IF(INDEX('Prospect Tracker'!$B$5:$B$554,$K42)="","",INDEX('Prospect Tracker'!$B$5:$B$554,$K42)))</f>
        <v/>
      </c>
      <c r="D42" s="30">
        <f>IF($K42="","",IF(INDEX('Prospect Tracker'!$M$5:$M$554,$K42)="","",INDEX('Prospect Tracker'!$M$5:$M$554,$K42)))</f>
        <v/>
      </c>
      <c r="E42" s="30">
        <f>IF($K42="","",IF(INDEX('Prospect Tracker'!$R$5:$R$554,$K42)="","",INDEX('Prospect Tracker'!$R$5:$R$554,$K42)))</f>
        <v/>
      </c>
      <c r="F42" s="30">
        <f>IF($K42="","",IF(INDEX('Prospect Tracker'!$J$5:$J$554,$K42)="","",INDEX('Prospect Tracker'!$J$5:$J$554,$K42)))</f>
        <v/>
      </c>
      <c r="G42" s="30">
        <f>IF($K42="","",IF(INDEX('Prospect Tracker'!$H$5:$H$554,$K42)="","",INDEX('Prospect Tracker'!$H$5:$H$554,$K42)))</f>
        <v/>
      </c>
      <c r="H42" s="31">
        <f>IF($K42="","",IF(INDEX('Prospect Tracker'!$K$5:$K$554,$K42)="","",INDEX('Prospect Tracker'!$K$5:$K$554,$K42)))</f>
        <v/>
      </c>
      <c r="I42" s="30">
        <f>IF($K42="","",IF(INDEX('Prospect Tracker'!$T$5:$T$554,$K42)="","",INDEX('Prospect Tracker'!$T$5:$T$554,$K42)))</f>
        <v/>
      </c>
      <c r="J42" s="30">
        <f>IF($K42="","",IF(INDEX('Prospect Tracker'!$L$5:$L$554,$K42)="","",INDEX('Prospect Tracker'!$L$5:$L$554,$K42)))</f>
        <v/>
      </c>
      <c r="K42" s="19">
        <f>IFERROR(MATCH(SMALL('Prospect Tracker'!$X$5:$X$554,ROW()-4),'Prospect Tracker'!$X$5:$X$554,0),"")</f>
        <v/>
      </c>
    </row>
    <row r="43" ht="15" customHeight="1" s="20">
      <c r="A43" s="25">
        <f>IF($K43="","",IF(INDEX('Prospect Tracker'!$W$5:$W$554,$K43)="","",INDEX('Prospect Tracker'!$W$5:$W$554,$K43)))</f>
        <v/>
      </c>
      <c r="B43" s="25">
        <f>IF($K43="","",IF(INDEX('Prospect Tracker'!$A$5:$A$554,$K43)="","",INDEX('Prospect Tracker'!$A$5:$A$554,$K43)))</f>
        <v/>
      </c>
      <c r="C43" s="25">
        <f>IF($K43="","",IF(INDEX('Prospect Tracker'!$B$5:$B$554,$K43)="","",INDEX('Prospect Tracker'!$B$5:$B$554,$K43)))</f>
        <v/>
      </c>
      <c r="D43" s="25">
        <f>IF($K43="","",IF(INDEX('Prospect Tracker'!$M$5:$M$554,$K43)="","",INDEX('Prospect Tracker'!$M$5:$M$554,$K43)))</f>
        <v/>
      </c>
      <c r="E43" s="25">
        <f>IF($K43="","",IF(INDEX('Prospect Tracker'!$R$5:$R$554,$K43)="","",INDEX('Prospect Tracker'!$R$5:$R$554,$K43)))</f>
        <v/>
      </c>
      <c r="F43" s="25">
        <f>IF($K43="","",IF(INDEX('Prospect Tracker'!$J$5:$J$554,$K43)="","",INDEX('Prospect Tracker'!$J$5:$J$554,$K43)))</f>
        <v/>
      </c>
      <c r="G43" s="25">
        <f>IF($K43="","",IF(INDEX('Prospect Tracker'!$H$5:$H$554,$K43)="","",INDEX('Prospect Tracker'!$H$5:$H$554,$K43)))</f>
        <v/>
      </c>
      <c r="H43" s="26">
        <f>IF($K43="","",IF(INDEX('Prospect Tracker'!$K$5:$K$554,$K43)="","",INDEX('Prospect Tracker'!$K$5:$K$554,$K43)))</f>
        <v/>
      </c>
      <c r="I43" s="25">
        <f>IF($K43="","",IF(INDEX('Prospect Tracker'!$T$5:$T$554,$K43)="","",INDEX('Prospect Tracker'!$T$5:$T$554,$K43)))</f>
        <v/>
      </c>
      <c r="J43" s="25">
        <f>IF($K43="","",IF(INDEX('Prospect Tracker'!$L$5:$L$554,$K43)="","",INDEX('Prospect Tracker'!$L$5:$L$554,$K43)))</f>
        <v/>
      </c>
      <c r="K43" s="19">
        <f>IFERROR(MATCH(SMALL('Prospect Tracker'!$X$5:$X$554,ROW()-4),'Prospect Tracker'!$X$5:$X$554,0),"")</f>
        <v/>
      </c>
    </row>
    <row r="44" ht="15" customHeight="1" s="20">
      <c r="A44" s="30">
        <f>IF($K44="","",IF(INDEX('Prospect Tracker'!$W$5:$W$554,$K44)="","",INDEX('Prospect Tracker'!$W$5:$W$554,$K44)))</f>
        <v/>
      </c>
      <c r="B44" s="30">
        <f>IF($K44="","",IF(INDEX('Prospect Tracker'!$A$5:$A$554,$K44)="","",INDEX('Prospect Tracker'!$A$5:$A$554,$K44)))</f>
        <v/>
      </c>
      <c r="C44" s="30">
        <f>IF($K44="","",IF(INDEX('Prospect Tracker'!$B$5:$B$554,$K44)="","",INDEX('Prospect Tracker'!$B$5:$B$554,$K44)))</f>
        <v/>
      </c>
      <c r="D44" s="30">
        <f>IF($K44="","",IF(INDEX('Prospect Tracker'!$M$5:$M$554,$K44)="","",INDEX('Prospect Tracker'!$M$5:$M$554,$K44)))</f>
        <v/>
      </c>
      <c r="E44" s="30">
        <f>IF($K44="","",IF(INDEX('Prospect Tracker'!$R$5:$R$554,$K44)="","",INDEX('Prospect Tracker'!$R$5:$R$554,$K44)))</f>
        <v/>
      </c>
      <c r="F44" s="30">
        <f>IF($K44="","",IF(INDEX('Prospect Tracker'!$J$5:$J$554,$K44)="","",INDEX('Prospect Tracker'!$J$5:$J$554,$K44)))</f>
        <v/>
      </c>
      <c r="G44" s="30">
        <f>IF($K44="","",IF(INDEX('Prospect Tracker'!$H$5:$H$554,$K44)="","",INDEX('Prospect Tracker'!$H$5:$H$554,$K44)))</f>
        <v/>
      </c>
      <c r="H44" s="31">
        <f>IF($K44="","",IF(INDEX('Prospect Tracker'!$K$5:$K$554,$K44)="","",INDEX('Prospect Tracker'!$K$5:$K$554,$K44)))</f>
        <v/>
      </c>
      <c r="I44" s="30">
        <f>IF($K44="","",IF(INDEX('Prospect Tracker'!$T$5:$T$554,$K44)="","",INDEX('Prospect Tracker'!$T$5:$T$554,$K44)))</f>
        <v/>
      </c>
      <c r="J44" s="30">
        <f>IF($K44="","",IF(INDEX('Prospect Tracker'!$L$5:$L$554,$K44)="","",INDEX('Prospect Tracker'!$L$5:$L$554,$K44)))</f>
        <v/>
      </c>
      <c r="K44" s="19">
        <f>IFERROR(MATCH(SMALL('Prospect Tracker'!$X$5:$X$554,ROW()-4),'Prospect Tracker'!$X$5:$X$554,0),"")</f>
        <v/>
      </c>
    </row>
    <row r="45" ht="15" customHeight="1" s="20">
      <c r="A45" s="25">
        <f>IF($K45="","",IF(INDEX('Prospect Tracker'!$W$5:$W$554,$K45)="","",INDEX('Prospect Tracker'!$W$5:$W$554,$K45)))</f>
        <v/>
      </c>
      <c r="B45" s="25">
        <f>IF($K45="","",IF(INDEX('Prospect Tracker'!$A$5:$A$554,$K45)="","",INDEX('Prospect Tracker'!$A$5:$A$554,$K45)))</f>
        <v/>
      </c>
      <c r="C45" s="25">
        <f>IF($K45="","",IF(INDEX('Prospect Tracker'!$B$5:$B$554,$K45)="","",INDEX('Prospect Tracker'!$B$5:$B$554,$K45)))</f>
        <v/>
      </c>
      <c r="D45" s="25">
        <f>IF($K45="","",IF(INDEX('Prospect Tracker'!$M$5:$M$554,$K45)="","",INDEX('Prospect Tracker'!$M$5:$M$554,$K45)))</f>
        <v/>
      </c>
      <c r="E45" s="25">
        <f>IF($K45="","",IF(INDEX('Prospect Tracker'!$R$5:$R$554,$K45)="","",INDEX('Prospect Tracker'!$R$5:$R$554,$K45)))</f>
        <v/>
      </c>
      <c r="F45" s="25">
        <f>IF($K45="","",IF(INDEX('Prospect Tracker'!$J$5:$J$554,$K45)="","",INDEX('Prospect Tracker'!$J$5:$J$554,$K45)))</f>
        <v/>
      </c>
      <c r="G45" s="25">
        <f>IF($K45="","",IF(INDEX('Prospect Tracker'!$H$5:$H$554,$K45)="","",INDEX('Prospect Tracker'!$H$5:$H$554,$K45)))</f>
        <v/>
      </c>
      <c r="H45" s="26">
        <f>IF($K45="","",IF(INDEX('Prospect Tracker'!$K$5:$K$554,$K45)="","",INDEX('Prospect Tracker'!$K$5:$K$554,$K45)))</f>
        <v/>
      </c>
      <c r="I45" s="25">
        <f>IF($K45="","",IF(INDEX('Prospect Tracker'!$T$5:$T$554,$K45)="","",INDEX('Prospect Tracker'!$T$5:$T$554,$K45)))</f>
        <v/>
      </c>
      <c r="J45" s="25">
        <f>IF($K45="","",IF(INDEX('Prospect Tracker'!$L$5:$L$554,$K45)="","",INDEX('Prospect Tracker'!$L$5:$L$554,$K45)))</f>
        <v/>
      </c>
      <c r="K45" s="19">
        <f>IFERROR(MATCH(SMALL('Prospect Tracker'!$X$5:$X$554,ROW()-4),'Prospect Tracker'!$X$5:$X$554,0),"")</f>
        <v/>
      </c>
    </row>
    <row r="46" ht="15" customHeight="1" s="20">
      <c r="A46" s="30">
        <f>IF($K46="","",IF(INDEX('Prospect Tracker'!$W$5:$W$554,$K46)="","",INDEX('Prospect Tracker'!$W$5:$W$554,$K46)))</f>
        <v/>
      </c>
      <c r="B46" s="30">
        <f>IF($K46="","",IF(INDEX('Prospect Tracker'!$A$5:$A$554,$K46)="","",INDEX('Prospect Tracker'!$A$5:$A$554,$K46)))</f>
        <v/>
      </c>
      <c r="C46" s="30">
        <f>IF($K46="","",IF(INDEX('Prospect Tracker'!$B$5:$B$554,$K46)="","",INDEX('Prospect Tracker'!$B$5:$B$554,$K46)))</f>
        <v/>
      </c>
      <c r="D46" s="30">
        <f>IF($K46="","",IF(INDEX('Prospect Tracker'!$M$5:$M$554,$K46)="","",INDEX('Prospect Tracker'!$M$5:$M$554,$K46)))</f>
        <v/>
      </c>
      <c r="E46" s="30">
        <f>IF($K46="","",IF(INDEX('Prospect Tracker'!$R$5:$R$554,$K46)="","",INDEX('Prospect Tracker'!$R$5:$R$554,$K46)))</f>
        <v/>
      </c>
      <c r="F46" s="30">
        <f>IF($K46="","",IF(INDEX('Prospect Tracker'!$J$5:$J$554,$K46)="","",INDEX('Prospect Tracker'!$J$5:$J$554,$K46)))</f>
        <v/>
      </c>
      <c r="G46" s="30">
        <f>IF($K46="","",IF(INDEX('Prospect Tracker'!$H$5:$H$554,$K46)="","",INDEX('Prospect Tracker'!$H$5:$H$554,$K46)))</f>
        <v/>
      </c>
      <c r="H46" s="31">
        <f>IF($K46="","",IF(INDEX('Prospect Tracker'!$K$5:$K$554,$K46)="","",INDEX('Prospect Tracker'!$K$5:$K$554,$K46)))</f>
        <v/>
      </c>
      <c r="I46" s="30">
        <f>IF($K46="","",IF(INDEX('Prospect Tracker'!$T$5:$T$554,$K46)="","",INDEX('Prospect Tracker'!$T$5:$T$554,$K46)))</f>
        <v/>
      </c>
      <c r="J46" s="30">
        <f>IF($K46="","",IF(INDEX('Prospect Tracker'!$L$5:$L$554,$K46)="","",INDEX('Prospect Tracker'!$L$5:$L$554,$K46)))</f>
        <v/>
      </c>
      <c r="K46" s="19">
        <f>IFERROR(MATCH(SMALL('Prospect Tracker'!$X$5:$X$554,ROW()-4),'Prospect Tracker'!$X$5:$X$554,0),"")</f>
        <v/>
      </c>
    </row>
    <row r="47" ht="15" customHeight="1" s="20">
      <c r="A47" s="25">
        <f>IF($K47="","",IF(INDEX('Prospect Tracker'!$W$5:$W$554,$K47)="","",INDEX('Prospect Tracker'!$W$5:$W$554,$K47)))</f>
        <v/>
      </c>
      <c r="B47" s="25">
        <f>IF($K47="","",IF(INDEX('Prospect Tracker'!$A$5:$A$554,$K47)="","",INDEX('Prospect Tracker'!$A$5:$A$554,$K47)))</f>
        <v/>
      </c>
      <c r="C47" s="25">
        <f>IF($K47="","",IF(INDEX('Prospect Tracker'!$B$5:$B$554,$K47)="","",INDEX('Prospect Tracker'!$B$5:$B$554,$K47)))</f>
        <v/>
      </c>
      <c r="D47" s="25">
        <f>IF($K47="","",IF(INDEX('Prospect Tracker'!$M$5:$M$554,$K47)="","",INDEX('Prospect Tracker'!$M$5:$M$554,$K47)))</f>
        <v/>
      </c>
      <c r="E47" s="25">
        <f>IF($K47="","",IF(INDEX('Prospect Tracker'!$R$5:$R$554,$K47)="","",INDEX('Prospect Tracker'!$R$5:$R$554,$K47)))</f>
        <v/>
      </c>
      <c r="F47" s="25">
        <f>IF($K47="","",IF(INDEX('Prospect Tracker'!$J$5:$J$554,$K47)="","",INDEX('Prospect Tracker'!$J$5:$J$554,$K47)))</f>
        <v/>
      </c>
      <c r="G47" s="25">
        <f>IF($K47="","",IF(INDEX('Prospect Tracker'!$H$5:$H$554,$K47)="","",INDEX('Prospect Tracker'!$H$5:$H$554,$K47)))</f>
        <v/>
      </c>
      <c r="H47" s="26">
        <f>IF($K47="","",IF(INDEX('Prospect Tracker'!$K$5:$K$554,$K47)="","",INDEX('Prospect Tracker'!$K$5:$K$554,$K47)))</f>
        <v/>
      </c>
      <c r="I47" s="25">
        <f>IF($K47="","",IF(INDEX('Prospect Tracker'!$T$5:$T$554,$K47)="","",INDEX('Prospect Tracker'!$T$5:$T$554,$K47)))</f>
        <v/>
      </c>
      <c r="J47" s="25">
        <f>IF($K47="","",IF(INDEX('Prospect Tracker'!$L$5:$L$554,$K47)="","",INDEX('Prospect Tracker'!$L$5:$L$554,$K47)))</f>
        <v/>
      </c>
      <c r="K47" s="19">
        <f>IFERROR(MATCH(SMALL('Prospect Tracker'!$X$5:$X$554,ROW()-4),'Prospect Tracker'!$X$5:$X$554,0),"")</f>
        <v/>
      </c>
    </row>
    <row r="48" ht="15" customHeight="1" s="20">
      <c r="A48" s="30">
        <f>IF($K48="","",IF(INDEX('Prospect Tracker'!$W$5:$W$554,$K48)="","",INDEX('Prospect Tracker'!$W$5:$W$554,$K48)))</f>
        <v/>
      </c>
      <c r="B48" s="30">
        <f>IF($K48="","",IF(INDEX('Prospect Tracker'!$A$5:$A$554,$K48)="","",INDEX('Prospect Tracker'!$A$5:$A$554,$K48)))</f>
        <v/>
      </c>
      <c r="C48" s="30">
        <f>IF($K48="","",IF(INDEX('Prospect Tracker'!$B$5:$B$554,$K48)="","",INDEX('Prospect Tracker'!$B$5:$B$554,$K48)))</f>
        <v/>
      </c>
      <c r="D48" s="30">
        <f>IF($K48="","",IF(INDEX('Prospect Tracker'!$M$5:$M$554,$K48)="","",INDEX('Prospect Tracker'!$M$5:$M$554,$K48)))</f>
        <v/>
      </c>
      <c r="E48" s="30">
        <f>IF($K48="","",IF(INDEX('Prospect Tracker'!$R$5:$R$554,$K48)="","",INDEX('Prospect Tracker'!$R$5:$R$554,$K48)))</f>
        <v/>
      </c>
      <c r="F48" s="30">
        <f>IF($K48="","",IF(INDEX('Prospect Tracker'!$J$5:$J$554,$K48)="","",INDEX('Prospect Tracker'!$J$5:$J$554,$K48)))</f>
        <v/>
      </c>
      <c r="G48" s="30">
        <f>IF($K48="","",IF(INDEX('Prospect Tracker'!$H$5:$H$554,$K48)="","",INDEX('Prospect Tracker'!$H$5:$H$554,$K48)))</f>
        <v/>
      </c>
      <c r="H48" s="31">
        <f>IF($K48="","",IF(INDEX('Prospect Tracker'!$K$5:$K$554,$K48)="","",INDEX('Prospect Tracker'!$K$5:$K$554,$K48)))</f>
        <v/>
      </c>
      <c r="I48" s="30">
        <f>IF($K48="","",IF(INDEX('Prospect Tracker'!$T$5:$T$554,$K48)="","",INDEX('Prospect Tracker'!$T$5:$T$554,$K48)))</f>
        <v/>
      </c>
      <c r="J48" s="30">
        <f>IF($K48="","",IF(INDEX('Prospect Tracker'!$L$5:$L$554,$K48)="","",INDEX('Prospect Tracker'!$L$5:$L$554,$K48)))</f>
        <v/>
      </c>
      <c r="K48" s="19">
        <f>IFERROR(MATCH(SMALL('Prospect Tracker'!$X$5:$X$554,ROW()-4),'Prospect Tracker'!$X$5:$X$554,0),"")</f>
        <v/>
      </c>
    </row>
    <row r="49" ht="15" customHeight="1" s="20">
      <c r="A49" s="25">
        <f>IF($K49="","",IF(INDEX('Prospect Tracker'!$W$5:$W$554,$K49)="","",INDEX('Prospect Tracker'!$W$5:$W$554,$K49)))</f>
        <v/>
      </c>
      <c r="B49" s="25">
        <f>IF($K49="","",IF(INDEX('Prospect Tracker'!$A$5:$A$554,$K49)="","",INDEX('Prospect Tracker'!$A$5:$A$554,$K49)))</f>
        <v/>
      </c>
      <c r="C49" s="25">
        <f>IF($K49="","",IF(INDEX('Prospect Tracker'!$B$5:$B$554,$K49)="","",INDEX('Prospect Tracker'!$B$5:$B$554,$K49)))</f>
        <v/>
      </c>
      <c r="D49" s="25">
        <f>IF($K49="","",IF(INDEX('Prospect Tracker'!$M$5:$M$554,$K49)="","",INDEX('Prospect Tracker'!$M$5:$M$554,$K49)))</f>
        <v/>
      </c>
      <c r="E49" s="25">
        <f>IF($K49="","",IF(INDEX('Prospect Tracker'!$R$5:$R$554,$K49)="","",INDEX('Prospect Tracker'!$R$5:$R$554,$K49)))</f>
        <v/>
      </c>
      <c r="F49" s="25">
        <f>IF($K49="","",IF(INDEX('Prospect Tracker'!$J$5:$J$554,$K49)="","",INDEX('Prospect Tracker'!$J$5:$J$554,$K49)))</f>
        <v/>
      </c>
      <c r="G49" s="25">
        <f>IF($K49="","",IF(INDEX('Prospect Tracker'!$H$5:$H$554,$K49)="","",INDEX('Prospect Tracker'!$H$5:$H$554,$K49)))</f>
        <v/>
      </c>
      <c r="H49" s="26">
        <f>IF($K49="","",IF(INDEX('Prospect Tracker'!$K$5:$K$554,$K49)="","",INDEX('Prospect Tracker'!$K$5:$K$554,$K49)))</f>
        <v/>
      </c>
      <c r="I49" s="25">
        <f>IF($K49="","",IF(INDEX('Prospect Tracker'!$T$5:$T$554,$K49)="","",INDEX('Prospect Tracker'!$T$5:$T$554,$K49)))</f>
        <v/>
      </c>
      <c r="J49" s="25">
        <f>IF($K49="","",IF(INDEX('Prospect Tracker'!$L$5:$L$554,$K49)="","",INDEX('Prospect Tracker'!$L$5:$L$554,$K49)))</f>
        <v/>
      </c>
      <c r="K49" s="19">
        <f>IFERROR(MATCH(SMALL('Prospect Tracker'!$X$5:$X$554,ROW()-4),'Prospect Tracker'!$X$5:$X$554,0),"")</f>
        <v/>
      </c>
    </row>
    <row r="50" ht="15" customHeight="1" s="20">
      <c r="A50" s="30">
        <f>IF($K50="","",IF(INDEX('Prospect Tracker'!$W$5:$W$554,$K50)="","",INDEX('Prospect Tracker'!$W$5:$W$554,$K50)))</f>
        <v/>
      </c>
      <c r="B50" s="30">
        <f>IF($K50="","",IF(INDEX('Prospect Tracker'!$A$5:$A$554,$K50)="","",INDEX('Prospect Tracker'!$A$5:$A$554,$K50)))</f>
        <v/>
      </c>
      <c r="C50" s="30">
        <f>IF($K50="","",IF(INDEX('Prospect Tracker'!$B$5:$B$554,$K50)="","",INDEX('Prospect Tracker'!$B$5:$B$554,$K50)))</f>
        <v/>
      </c>
      <c r="D50" s="30">
        <f>IF($K50="","",IF(INDEX('Prospect Tracker'!$M$5:$M$554,$K50)="","",INDEX('Prospect Tracker'!$M$5:$M$554,$K50)))</f>
        <v/>
      </c>
      <c r="E50" s="30">
        <f>IF($K50="","",IF(INDEX('Prospect Tracker'!$R$5:$R$554,$K50)="","",INDEX('Prospect Tracker'!$R$5:$R$554,$K50)))</f>
        <v/>
      </c>
      <c r="F50" s="30">
        <f>IF($K50="","",IF(INDEX('Prospect Tracker'!$J$5:$J$554,$K50)="","",INDEX('Prospect Tracker'!$J$5:$J$554,$K50)))</f>
        <v/>
      </c>
      <c r="G50" s="30">
        <f>IF($K50="","",IF(INDEX('Prospect Tracker'!$H$5:$H$554,$K50)="","",INDEX('Prospect Tracker'!$H$5:$H$554,$K50)))</f>
        <v/>
      </c>
      <c r="H50" s="31">
        <f>IF($K50="","",IF(INDEX('Prospect Tracker'!$K$5:$K$554,$K50)="","",INDEX('Prospect Tracker'!$K$5:$K$554,$K50)))</f>
        <v/>
      </c>
      <c r="I50" s="30">
        <f>IF($K50="","",IF(INDEX('Prospect Tracker'!$T$5:$T$554,$K50)="","",INDEX('Prospect Tracker'!$T$5:$T$554,$K50)))</f>
        <v/>
      </c>
      <c r="J50" s="30">
        <f>IF($K50="","",IF(INDEX('Prospect Tracker'!$L$5:$L$554,$K50)="","",INDEX('Prospect Tracker'!$L$5:$L$554,$K50)))</f>
        <v/>
      </c>
      <c r="K50" s="19">
        <f>IFERROR(MATCH(SMALL('Prospect Tracker'!$X$5:$X$554,ROW()-4),'Prospect Tracker'!$X$5:$X$554,0),"")</f>
        <v/>
      </c>
    </row>
    <row r="51" ht="15" customHeight="1" s="20">
      <c r="A51" s="25">
        <f>IF($K51="","",IF(INDEX('Prospect Tracker'!$W$5:$W$554,$K51)="","",INDEX('Prospect Tracker'!$W$5:$W$554,$K51)))</f>
        <v/>
      </c>
      <c r="B51" s="25">
        <f>IF($K51="","",IF(INDEX('Prospect Tracker'!$A$5:$A$554,$K51)="","",INDEX('Prospect Tracker'!$A$5:$A$554,$K51)))</f>
        <v/>
      </c>
      <c r="C51" s="25">
        <f>IF($K51="","",IF(INDEX('Prospect Tracker'!$B$5:$B$554,$K51)="","",INDEX('Prospect Tracker'!$B$5:$B$554,$K51)))</f>
        <v/>
      </c>
      <c r="D51" s="25">
        <f>IF($K51="","",IF(INDEX('Prospect Tracker'!$M$5:$M$554,$K51)="","",INDEX('Prospect Tracker'!$M$5:$M$554,$K51)))</f>
        <v/>
      </c>
      <c r="E51" s="25">
        <f>IF($K51="","",IF(INDEX('Prospect Tracker'!$R$5:$R$554,$K51)="","",INDEX('Prospect Tracker'!$R$5:$R$554,$K51)))</f>
        <v/>
      </c>
      <c r="F51" s="25">
        <f>IF($K51="","",IF(INDEX('Prospect Tracker'!$J$5:$J$554,$K51)="","",INDEX('Prospect Tracker'!$J$5:$J$554,$K51)))</f>
        <v/>
      </c>
      <c r="G51" s="25">
        <f>IF($K51="","",IF(INDEX('Prospect Tracker'!$H$5:$H$554,$K51)="","",INDEX('Prospect Tracker'!$H$5:$H$554,$K51)))</f>
        <v/>
      </c>
      <c r="H51" s="26">
        <f>IF($K51="","",IF(INDEX('Prospect Tracker'!$K$5:$K$554,$K51)="","",INDEX('Prospect Tracker'!$K$5:$K$554,$K51)))</f>
        <v/>
      </c>
      <c r="I51" s="25">
        <f>IF($K51="","",IF(INDEX('Prospect Tracker'!$T$5:$T$554,$K51)="","",INDEX('Prospect Tracker'!$T$5:$T$554,$K51)))</f>
        <v/>
      </c>
      <c r="J51" s="25">
        <f>IF($K51="","",IF(INDEX('Prospect Tracker'!$L$5:$L$554,$K51)="","",INDEX('Prospect Tracker'!$L$5:$L$554,$K51)))</f>
        <v/>
      </c>
      <c r="K51" s="19">
        <f>IFERROR(MATCH(SMALL('Prospect Tracker'!$X$5:$X$554,ROW()-4),'Prospect Tracker'!$X$5:$X$554,0),"")</f>
        <v/>
      </c>
    </row>
    <row r="52" ht="15" customHeight="1" s="20">
      <c r="A52" s="30">
        <f>IF($K52="","",IF(INDEX('Prospect Tracker'!$W$5:$W$554,$K52)="","",INDEX('Prospect Tracker'!$W$5:$W$554,$K52)))</f>
        <v/>
      </c>
      <c r="B52" s="30">
        <f>IF($K52="","",IF(INDEX('Prospect Tracker'!$A$5:$A$554,$K52)="","",INDEX('Prospect Tracker'!$A$5:$A$554,$K52)))</f>
        <v/>
      </c>
      <c r="C52" s="30">
        <f>IF($K52="","",IF(INDEX('Prospect Tracker'!$B$5:$B$554,$K52)="","",INDEX('Prospect Tracker'!$B$5:$B$554,$K52)))</f>
        <v/>
      </c>
      <c r="D52" s="30">
        <f>IF($K52="","",IF(INDEX('Prospect Tracker'!$M$5:$M$554,$K52)="","",INDEX('Prospect Tracker'!$M$5:$M$554,$K52)))</f>
        <v/>
      </c>
      <c r="E52" s="30">
        <f>IF($K52="","",IF(INDEX('Prospect Tracker'!$R$5:$R$554,$K52)="","",INDEX('Prospect Tracker'!$R$5:$R$554,$K52)))</f>
        <v/>
      </c>
      <c r="F52" s="30">
        <f>IF($K52="","",IF(INDEX('Prospect Tracker'!$J$5:$J$554,$K52)="","",INDEX('Prospect Tracker'!$J$5:$J$554,$K52)))</f>
        <v/>
      </c>
      <c r="G52" s="30">
        <f>IF($K52="","",IF(INDEX('Prospect Tracker'!$H$5:$H$554,$K52)="","",INDEX('Prospect Tracker'!$H$5:$H$554,$K52)))</f>
        <v/>
      </c>
      <c r="H52" s="31">
        <f>IF($K52="","",IF(INDEX('Prospect Tracker'!$K$5:$K$554,$K52)="","",INDEX('Prospect Tracker'!$K$5:$K$554,$K52)))</f>
        <v/>
      </c>
      <c r="I52" s="30">
        <f>IF($K52="","",IF(INDEX('Prospect Tracker'!$T$5:$T$554,$K52)="","",INDEX('Prospect Tracker'!$T$5:$T$554,$K52)))</f>
        <v/>
      </c>
      <c r="J52" s="30">
        <f>IF($K52="","",IF(INDEX('Prospect Tracker'!$L$5:$L$554,$K52)="","",INDEX('Prospect Tracker'!$L$5:$L$554,$K52)))</f>
        <v/>
      </c>
      <c r="K52" s="19">
        <f>IFERROR(MATCH(SMALL('Prospect Tracker'!$X$5:$X$554,ROW()-4),'Prospect Tracker'!$X$5:$X$554,0),"")</f>
        <v/>
      </c>
    </row>
    <row r="53" ht="15" customHeight="1" s="20">
      <c r="A53" s="25">
        <f>IF($K53="","",IF(INDEX('Prospect Tracker'!$W$5:$W$554,$K53)="","",INDEX('Prospect Tracker'!$W$5:$W$554,$K53)))</f>
        <v/>
      </c>
      <c r="B53" s="25">
        <f>IF($K53="","",IF(INDEX('Prospect Tracker'!$A$5:$A$554,$K53)="","",INDEX('Prospect Tracker'!$A$5:$A$554,$K53)))</f>
        <v/>
      </c>
      <c r="C53" s="25">
        <f>IF($K53="","",IF(INDEX('Prospect Tracker'!$B$5:$B$554,$K53)="","",INDEX('Prospect Tracker'!$B$5:$B$554,$K53)))</f>
        <v/>
      </c>
      <c r="D53" s="25">
        <f>IF($K53="","",IF(INDEX('Prospect Tracker'!$M$5:$M$554,$K53)="","",INDEX('Prospect Tracker'!$M$5:$M$554,$K53)))</f>
        <v/>
      </c>
      <c r="E53" s="25">
        <f>IF($K53="","",IF(INDEX('Prospect Tracker'!$R$5:$R$554,$K53)="","",INDEX('Prospect Tracker'!$R$5:$R$554,$K53)))</f>
        <v/>
      </c>
      <c r="F53" s="25">
        <f>IF($K53="","",IF(INDEX('Prospect Tracker'!$J$5:$J$554,$K53)="","",INDEX('Prospect Tracker'!$J$5:$J$554,$K53)))</f>
        <v/>
      </c>
      <c r="G53" s="25">
        <f>IF($K53="","",IF(INDEX('Prospect Tracker'!$H$5:$H$554,$K53)="","",INDEX('Prospect Tracker'!$H$5:$H$554,$K53)))</f>
        <v/>
      </c>
      <c r="H53" s="26">
        <f>IF($K53="","",IF(INDEX('Prospect Tracker'!$K$5:$K$554,$K53)="","",INDEX('Prospect Tracker'!$K$5:$K$554,$K53)))</f>
        <v/>
      </c>
      <c r="I53" s="25">
        <f>IF($K53="","",IF(INDEX('Prospect Tracker'!$T$5:$T$554,$K53)="","",INDEX('Prospect Tracker'!$T$5:$T$554,$K53)))</f>
        <v/>
      </c>
      <c r="J53" s="25">
        <f>IF($K53="","",IF(INDEX('Prospect Tracker'!$L$5:$L$554,$K53)="","",INDEX('Prospect Tracker'!$L$5:$L$554,$K53)))</f>
        <v/>
      </c>
      <c r="K53" s="19">
        <f>IFERROR(MATCH(SMALL('Prospect Tracker'!$X$5:$X$554,ROW()-4),'Prospect Tracker'!$X$5:$X$554,0),"")</f>
        <v/>
      </c>
    </row>
    <row r="54" ht="15" customHeight="1" s="20">
      <c r="A54" s="30">
        <f>IF($K54="","",IF(INDEX('Prospect Tracker'!$W$5:$W$554,$K54)="","",INDEX('Prospect Tracker'!$W$5:$W$554,$K54)))</f>
        <v/>
      </c>
      <c r="B54" s="30">
        <f>IF($K54="","",IF(INDEX('Prospect Tracker'!$A$5:$A$554,$K54)="","",INDEX('Prospect Tracker'!$A$5:$A$554,$K54)))</f>
        <v/>
      </c>
      <c r="C54" s="30">
        <f>IF($K54="","",IF(INDEX('Prospect Tracker'!$B$5:$B$554,$K54)="","",INDEX('Prospect Tracker'!$B$5:$B$554,$K54)))</f>
        <v/>
      </c>
      <c r="D54" s="30">
        <f>IF($K54="","",IF(INDEX('Prospect Tracker'!$M$5:$M$554,$K54)="","",INDEX('Prospect Tracker'!$M$5:$M$554,$K54)))</f>
        <v/>
      </c>
      <c r="E54" s="30">
        <f>IF($K54="","",IF(INDEX('Prospect Tracker'!$R$5:$R$554,$K54)="","",INDEX('Prospect Tracker'!$R$5:$R$554,$K54)))</f>
        <v/>
      </c>
      <c r="F54" s="30">
        <f>IF($K54="","",IF(INDEX('Prospect Tracker'!$J$5:$J$554,$K54)="","",INDEX('Prospect Tracker'!$J$5:$J$554,$K54)))</f>
        <v/>
      </c>
      <c r="G54" s="30">
        <f>IF($K54="","",IF(INDEX('Prospect Tracker'!$H$5:$H$554,$K54)="","",INDEX('Prospect Tracker'!$H$5:$H$554,$K54)))</f>
        <v/>
      </c>
      <c r="H54" s="31">
        <f>IF($K54="","",IF(INDEX('Prospect Tracker'!$K$5:$K$554,$K54)="","",INDEX('Prospect Tracker'!$K$5:$K$554,$K54)))</f>
        <v/>
      </c>
      <c r="I54" s="30">
        <f>IF($K54="","",IF(INDEX('Prospect Tracker'!$T$5:$T$554,$K54)="","",INDEX('Prospect Tracker'!$T$5:$T$554,$K54)))</f>
        <v/>
      </c>
      <c r="J54" s="30">
        <f>IF($K54="","",IF(INDEX('Prospect Tracker'!$L$5:$L$554,$K54)="","",INDEX('Prospect Tracker'!$L$5:$L$554,$K54)))</f>
        <v/>
      </c>
      <c r="K54" s="19">
        <f>IFERROR(MATCH(SMALL('Prospect Tracker'!$X$5:$X$554,ROW()-4),'Prospect Tracker'!$X$5:$X$554,0),"")</f>
        <v/>
      </c>
    </row>
    <row r="55" ht="15" customHeight="1" s="20">
      <c r="A55" s="25">
        <f>IF($K55="","",IF(INDEX('Prospect Tracker'!$W$5:$W$554,$K55)="","",INDEX('Prospect Tracker'!$W$5:$W$554,$K55)))</f>
        <v/>
      </c>
      <c r="B55" s="25">
        <f>IF($K55="","",IF(INDEX('Prospect Tracker'!$A$5:$A$554,$K55)="","",INDEX('Prospect Tracker'!$A$5:$A$554,$K55)))</f>
        <v/>
      </c>
      <c r="C55" s="25">
        <f>IF($K55="","",IF(INDEX('Prospect Tracker'!$B$5:$B$554,$K55)="","",INDEX('Prospect Tracker'!$B$5:$B$554,$K55)))</f>
        <v/>
      </c>
      <c r="D55" s="25">
        <f>IF($K55="","",IF(INDEX('Prospect Tracker'!$M$5:$M$554,$K55)="","",INDEX('Prospect Tracker'!$M$5:$M$554,$K55)))</f>
        <v/>
      </c>
      <c r="E55" s="25">
        <f>IF($K55="","",IF(INDEX('Prospect Tracker'!$R$5:$R$554,$K55)="","",INDEX('Prospect Tracker'!$R$5:$R$554,$K55)))</f>
        <v/>
      </c>
      <c r="F55" s="25">
        <f>IF($K55="","",IF(INDEX('Prospect Tracker'!$J$5:$J$554,$K55)="","",INDEX('Prospect Tracker'!$J$5:$J$554,$K55)))</f>
        <v/>
      </c>
      <c r="G55" s="25">
        <f>IF($K55="","",IF(INDEX('Prospect Tracker'!$H$5:$H$554,$K55)="","",INDEX('Prospect Tracker'!$H$5:$H$554,$K55)))</f>
        <v/>
      </c>
      <c r="H55" s="26">
        <f>IF($K55="","",IF(INDEX('Prospect Tracker'!$K$5:$K$554,$K55)="","",INDEX('Prospect Tracker'!$K$5:$K$554,$K55)))</f>
        <v/>
      </c>
      <c r="I55" s="25">
        <f>IF($K55="","",IF(INDEX('Prospect Tracker'!$T$5:$T$554,$K55)="","",INDEX('Prospect Tracker'!$T$5:$T$554,$K55)))</f>
        <v/>
      </c>
      <c r="J55" s="25">
        <f>IF($K55="","",IF(INDEX('Prospect Tracker'!$L$5:$L$554,$K55)="","",INDEX('Prospect Tracker'!$L$5:$L$554,$K55)))</f>
        <v/>
      </c>
      <c r="K55" s="19">
        <f>IFERROR(MATCH(SMALL('Prospect Tracker'!$X$5:$X$554,ROW()-4),'Prospect Tracker'!$X$5:$X$554,0),"")</f>
        <v/>
      </c>
    </row>
    <row r="56" ht="15" customHeight="1" s="20">
      <c r="A56" s="30">
        <f>IF($K56="","",IF(INDEX('Prospect Tracker'!$W$5:$W$554,$K56)="","",INDEX('Prospect Tracker'!$W$5:$W$554,$K56)))</f>
        <v/>
      </c>
      <c r="B56" s="30">
        <f>IF($K56="","",IF(INDEX('Prospect Tracker'!$A$5:$A$554,$K56)="","",INDEX('Prospect Tracker'!$A$5:$A$554,$K56)))</f>
        <v/>
      </c>
      <c r="C56" s="30">
        <f>IF($K56="","",IF(INDEX('Prospect Tracker'!$B$5:$B$554,$K56)="","",INDEX('Prospect Tracker'!$B$5:$B$554,$K56)))</f>
        <v/>
      </c>
      <c r="D56" s="30">
        <f>IF($K56="","",IF(INDEX('Prospect Tracker'!$M$5:$M$554,$K56)="","",INDEX('Prospect Tracker'!$M$5:$M$554,$K56)))</f>
        <v/>
      </c>
      <c r="E56" s="30">
        <f>IF($K56="","",IF(INDEX('Prospect Tracker'!$R$5:$R$554,$K56)="","",INDEX('Prospect Tracker'!$R$5:$R$554,$K56)))</f>
        <v/>
      </c>
      <c r="F56" s="30">
        <f>IF($K56="","",IF(INDEX('Prospect Tracker'!$J$5:$J$554,$K56)="","",INDEX('Prospect Tracker'!$J$5:$J$554,$K56)))</f>
        <v/>
      </c>
      <c r="G56" s="30">
        <f>IF($K56="","",IF(INDEX('Prospect Tracker'!$H$5:$H$554,$K56)="","",INDEX('Prospect Tracker'!$H$5:$H$554,$K56)))</f>
        <v/>
      </c>
      <c r="H56" s="31">
        <f>IF($K56="","",IF(INDEX('Prospect Tracker'!$K$5:$K$554,$K56)="","",INDEX('Prospect Tracker'!$K$5:$K$554,$K56)))</f>
        <v/>
      </c>
      <c r="I56" s="30">
        <f>IF($K56="","",IF(INDEX('Prospect Tracker'!$T$5:$T$554,$K56)="","",INDEX('Prospect Tracker'!$T$5:$T$554,$K56)))</f>
        <v/>
      </c>
      <c r="J56" s="30">
        <f>IF($K56="","",IF(INDEX('Prospect Tracker'!$L$5:$L$554,$K56)="","",INDEX('Prospect Tracker'!$L$5:$L$554,$K56)))</f>
        <v/>
      </c>
      <c r="K56" s="19">
        <f>IFERROR(MATCH(SMALL('Prospect Tracker'!$X$5:$X$554,ROW()-4),'Prospect Tracker'!$X$5:$X$554,0),"")</f>
        <v/>
      </c>
    </row>
    <row r="57" ht="15" customHeight="1" s="20">
      <c r="A57" s="25">
        <f>IF($K57="","",IF(INDEX('Prospect Tracker'!$W$5:$W$554,$K57)="","",INDEX('Prospect Tracker'!$W$5:$W$554,$K57)))</f>
        <v/>
      </c>
      <c r="B57" s="25">
        <f>IF($K57="","",IF(INDEX('Prospect Tracker'!$A$5:$A$554,$K57)="","",INDEX('Prospect Tracker'!$A$5:$A$554,$K57)))</f>
        <v/>
      </c>
      <c r="C57" s="25">
        <f>IF($K57="","",IF(INDEX('Prospect Tracker'!$B$5:$B$554,$K57)="","",INDEX('Prospect Tracker'!$B$5:$B$554,$K57)))</f>
        <v/>
      </c>
      <c r="D57" s="25">
        <f>IF($K57="","",IF(INDEX('Prospect Tracker'!$M$5:$M$554,$K57)="","",INDEX('Prospect Tracker'!$M$5:$M$554,$K57)))</f>
        <v/>
      </c>
      <c r="E57" s="25">
        <f>IF($K57="","",IF(INDEX('Prospect Tracker'!$R$5:$R$554,$K57)="","",INDEX('Prospect Tracker'!$R$5:$R$554,$K57)))</f>
        <v/>
      </c>
      <c r="F57" s="25">
        <f>IF($K57="","",IF(INDEX('Prospect Tracker'!$J$5:$J$554,$K57)="","",INDEX('Prospect Tracker'!$J$5:$J$554,$K57)))</f>
        <v/>
      </c>
      <c r="G57" s="25">
        <f>IF($K57="","",IF(INDEX('Prospect Tracker'!$H$5:$H$554,$K57)="","",INDEX('Prospect Tracker'!$H$5:$H$554,$K57)))</f>
        <v/>
      </c>
      <c r="H57" s="26">
        <f>IF($K57="","",IF(INDEX('Prospect Tracker'!$K$5:$K$554,$K57)="","",INDEX('Prospect Tracker'!$K$5:$K$554,$K57)))</f>
        <v/>
      </c>
      <c r="I57" s="25">
        <f>IF($K57="","",IF(INDEX('Prospect Tracker'!$T$5:$T$554,$K57)="","",INDEX('Prospect Tracker'!$T$5:$T$554,$K57)))</f>
        <v/>
      </c>
      <c r="J57" s="25">
        <f>IF($K57="","",IF(INDEX('Prospect Tracker'!$L$5:$L$554,$K57)="","",INDEX('Prospect Tracker'!$L$5:$L$554,$K57)))</f>
        <v/>
      </c>
      <c r="K57" s="19">
        <f>IFERROR(MATCH(SMALL('Prospect Tracker'!$X$5:$X$554,ROW()-4),'Prospect Tracker'!$X$5:$X$554,0),"")</f>
        <v/>
      </c>
    </row>
    <row r="58" ht="15" customHeight="1" s="20">
      <c r="A58" s="30">
        <f>IF($K58="","",IF(INDEX('Prospect Tracker'!$W$5:$W$554,$K58)="","",INDEX('Prospect Tracker'!$W$5:$W$554,$K58)))</f>
        <v/>
      </c>
      <c r="B58" s="30">
        <f>IF($K58="","",IF(INDEX('Prospect Tracker'!$A$5:$A$554,$K58)="","",INDEX('Prospect Tracker'!$A$5:$A$554,$K58)))</f>
        <v/>
      </c>
      <c r="C58" s="30">
        <f>IF($K58="","",IF(INDEX('Prospect Tracker'!$B$5:$B$554,$K58)="","",INDEX('Prospect Tracker'!$B$5:$B$554,$K58)))</f>
        <v/>
      </c>
      <c r="D58" s="30">
        <f>IF($K58="","",IF(INDEX('Prospect Tracker'!$M$5:$M$554,$K58)="","",INDEX('Prospect Tracker'!$M$5:$M$554,$K58)))</f>
        <v/>
      </c>
      <c r="E58" s="30">
        <f>IF($K58="","",IF(INDEX('Prospect Tracker'!$R$5:$R$554,$K58)="","",INDEX('Prospect Tracker'!$R$5:$R$554,$K58)))</f>
        <v/>
      </c>
      <c r="F58" s="30">
        <f>IF($K58="","",IF(INDEX('Prospect Tracker'!$J$5:$J$554,$K58)="","",INDEX('Prospect Tracker'!$J$5:$J$554,$K58)))</f>
        <v/>
      </c>
      <c r="G58" s="30">
        <f>IF($K58="","",IF(INDEX('Prospect Tracker'!$H$5:$H$554,$K58)="","",INDEX('Prospect Tracker'!$H$5:$H$554,$K58)))</f>
        <v/>
      </c>
      <c r="H58" s="31">
        <f>IF($K58="","",IF(INDEX('Prospect Tracker'!$K$5:$K$554,$K58)="","",INDEX('Prospect Tracker'!$K$5:$K$554,$K58)))</f>
        <v/>
      </c>
      <c r="I58" s="30">
        <f>IF($K58="","",IF(INDEX('Prospect Tracker'!$T$5:$T$554,$K58)="","",INDEX('Prospect Tracker'!$T$5:$T$554,$K58)))</f>
        <v/>
      </c>
      <c r="J58" s="30">
        <f>IF($K58="","",IF(INDEX('Prospect Tracker'!$L$5:$L$554,$K58)="","",INDEX('Prospect Tracker'!$L$5:$L$554,$K58)))</f>
        <v/>
      </c>
      <c r="K58" s="19">
        <f>IFERROR(MATCH(SMALL('Prospect Tracker'!$X$5:$X$554,ROW()-4),'Prospect Tracker'!$X$5:$X$554,0),"")</f>
        <v/>
      </c>
    </row>
    <row r="59" ht="15" customHeight="1" s="20">
      <c r="A59" s="25">
        <f>IF($K59="","",IF(INDEX('Prospect Tracker'!$W$5:$W$554,$K59)="","",INDEX('Prospect Tracker'!$W$5:$W$554,$K59)))</f>
        <v/>
      </c>
      <c r="B59" s="25">
        <f>IF($K59="","",IF(INDEX('Prospect Tracker'!$A$5:$A$554,$K59)="","",INDEX('Prospect Tracker'!$A$5:$A$554,$K59)))</f>
        <v/>
      </c>
      <c r="C59" s="25">
        <f>IF($K59="","",IF(INDEX('Prospect Tracker'!$B$5:$B$554,$K59)="","",INDEX('Prospect Tracker'!$B$5:$B$554,$K59)))</f>
        <v/>
      </c>
      <c r="D59" s="25">
        <f>IF($K59="","",IF(INDEX('Prospect Tracker'!$M$5:$M$554,$K59)="","",INDEX('Prospect Tracker'!$M$5:$M$554,$K59)))</f>
        <v/>
      </c>
      <c r="E59" s="25">
        <f>IF($K59="","",IF(INDEX('Prospect Tracker'!$R$5:$R$554,$K59)="","",INDEX('Prospect Tracker'!$R$5:$R$554,$K59)))</f>
        <v/>
      </c>
      <c r="F59" s="25">
        <f>IF($K59="","",IF(INDEX('Prospect Tracker'!$J$5:$J$554,$K59)="","",INDEX('Prospect Tracker'!$J$5:$J$554,$K59)))</f>
        <v/>
      </c>
      <c r="G59" s="25">
        <f>IF($K59="","",IF(INDEX('Prospect Tracker'!$H$5:$H$554,$K59)="","",INDEX('Prospect Tracker'!$H$5:$H$554,$K59)))</f>
        <v/>
      </c>
      <c r="H59" s="26">
        <f>IF($K59="","",IF(INDEX('Prospect Tracker'!$K$5:$K$554,$K59)="","",INDEX('Prospect Tracker'!$K$5:$K$554,$K59)))</f>
        <v/>
      </c>
      <c r="I59" s="25">
        <f>IF($K59="","",IF(INDEX('Prospect Tracker'!$T$5:$T$554,$K59)="","",INDEX('Prospect Tracker'!$T$5:$T$554,$K59)))</f>
        <v/>
      </c>
      <c r="J59" s="25">
        <f>IF($K59="","",IF(INDEX('Prospect Tracker'!$L$5:$L$554,$K59)="","",INDEX('Prospect Tracker'!$L$5:$L$554,$K59)))</f>
        <v/>
      </c>
      <c r="K59" s="19">
        <f>IFERROR(MATCH(SMALL('Prospect Tracker'!$X$5:$X$554,ROW()-4),'Prospect Tracker'!$X$5:$X$554,0),"")</f>
        <v/>
      </c>
    </row>
    <row r="60" ht="15" customHeight="1" s="20">
      <c r="A60" s="30">
        <f>IF($K60="","",IF(INDEX('Prospect Tracker'!$W$5:$W$554,$K60)="","",INDEX('Prospect Tracker'!$W$5:$W$554,$K60)))</f>
        <v/>
      </c>
      <c r="B60" s="30">
        <f>IF($K60="","",IF(INDEX('Prospect Tracker'!$A$5:$A$554,$K60)="","",INDEX('Prospect Tracker'!$A$5:$A$554,$K60)))</f>
        <v/>
      </c>
      <c r="C60" s="30">
        <f>IF($K60="","",IF(INDEX('Prospect Tracker'!$B$5:$B$554,$K60)="","",INDEX('Prospect Tracker'!$B$5:$B$554,$K60)))</f>
        <v/>
      </c>
      <c r="D60" s="30">
        <f>IF($K60="","",IF(INDEX('Prospect Tracker'!$M$5:$M$554,$K60)="","",INDEX('Prospect Tracker'!$M$5:$M$554,$K60)))</f>
        <v/>
      </c>
      <c r="E60" s="30">
        <f>IF($K60="","",IF(INDEX('Prospect Tracker'!$R$5:$R$554,$K60)="","",INDEX('Prospect Tracker'!$R$5:$R$554,$K60)))</f>
        <v/>
      </c>
      <c r="F60" s="30">
        <f>IF($K60="","",IF(INDEX('Prospect Tracker'!$J$5:$J$554,$K60)="","",INDEX('Prospect Tracker'!$J$5:$J$554,$K60)))</f>
        <v/>
      </c>
      <c r="G60" s="30">
        <f>IF($K60="","",IF(INDEX('Prospect Tracker'!$H$5:$H$554,$K60)="","",INDEX('Prospect Tracker'!$H$5:$H$554,$K60)))</f>
        <v/>
      </c>
      <c r="H60" s="31">
        <f>IF($K60="","",IF(INDEX('Prospect Tracker'!$K$5:$K$554,$K60)="","",INDEX('Prospect Tracker'!$K$5:$K$554,$K60)))</f>
        <v/>
      </c>
      <c r="I60" s="30">
        <f>IF($K60="","",IF(INDEX('Prospect Tracker'!$T$5:$T$554,$K60)="","",INDEX('Prospect Tracker'!$T$5:$T$554,$K60)))</f>
        <v/>
      </c>
      <c r="J60" s="30">
        <f>IF($K60="","",IF(INDEX('Prospect Tracker'!$L$5:$L$554,$K60)="","",INDEX('Prospect Tracker'!$L$5:$L$554,$K60)))</f>
        <v/>
      </c>
      <c r="K60" s="19">
        <f>IFERROR(MATCH(SMALL('Prospect Tracker'!$X$5:$X$554,ROW()-4),'Prospect Tracker'!$X$5:$X$554,0),"")</f>
        <v/>
      </c>
    </row>
    <row r="61" ht="15" customHeight="1" s="20">
      <c r="A61" s="25">
        <f>IF($K61="","",IF(INDEX('Prospect Tracker'!$W$5:$W$554,$K61)="","",INDEX('Prospect Tracker'!$W$5:$W$554,$K61)))</f>
        <v/>
      </c>
      <c r="B61" s="25">
        <f>IF($K61="","",IF(INDEX('Prospect Tracker'!$A$5:$A$554,$K61)="","",INDEX('Prospect Tracker'!$A$5:$A$554,$K61)))</f>
        <v/>
      </c>
      <c r="C61" s="25">
        <f>IF($K61="","",IF(INDEX('Prospect Tracker'!$B$5:$B$554,$K61)="","",INDEX('Prospect Tracker'!$B$5:$B$554,$K61)))</f>
        <v/>
      </c>
      <c r="D61" s="25">
        <f>IF($K61="","",IF(INDEX('Prospect Tracker'!$M$5:$M$554,$K61)="","",INDEX('Prospect Tracker'!$M$5:$M$554,$K61)))</f>
        <v/>
      </c>
      <c r="E61" s="25">
        <f>IF($K61="","",IF(INDEX('Prospect Tracker'!$R$5:$R$554,$K61)="","",INDEX('Prospect Tracker'!$R$5:$R$554,$K61)))</f>
        <v/>
      </c>
      <c r="F61" s="25">
        <f>IF($K61="","",IF(INDEX('Prospect Tracker'!$J$5:$J$554,$K61)="","",INDEX('Prospect Tracker'!$J$5:$J$554,$K61)))</f>
        <v/>
      </c>
      <c r="G61" s="25">
        <f>IF($K61="","",IF(INDEX('Prospect Tracker'!$H$5:$H$554,$K61)="","",INDEX('Prospect Tracker'!$H$5:$H$554,$K61)))</f>
        <v/>
      </c>
      <c r="H61" s="26">
        <f>IF($K61="","",IF(INDEX('Prospect Tracker'!$K$5:$K$554,$K61)="","",INDEX('Prospect Tracker'!$K$5:$K$554,$K61)))</f>
        <v/>
      </c>
      <c r="I61" s="25">
        <f>IF($K61="","",IF(INDEX('Prospect Tracker'!$T$5:$T$554,$K61)="","",INDEX('Prospect Tracker'!$T$5:$T$554,$K61)))</f>
        <v/>
      </c>
      <c r="J61" s="25">
        <f>IF($K61="","",IF(INDEX('Prospect Tracker'!$L$5:$L$554,$K61)="","",INDEX('Prospect Tracker'!$L$5:$L$554,$K61)))</f>
        <v/>
      </c>
      <c r="K61" s="19">
        <f>IFERROR(MATCH(SMALL('Prospect Tracker'!$X$5:$X$554,ROW()-4),'Prospect Tracker'!$X$5:$X$554,0),"")</f>
        <v/>
      </c>
    </row>
    <row r="62" ht="15" customHeight="1" s="20">
      <c r="A62" s="30">
        <f>IF($K62="","",IF(INDEX('Prospect Tracker'!$W$5:$W$554,$K62)="","",INDEX('Prospect Tracker'!$W$5:$W$554,$K62)))</f>
        <v/>
      </c>
      <c r="B62" s="30">
        <f>IF($K62="","",IF(INDEX('Prospect Tracker'!$A$5:$A$554,$K62)="","",INDEX('Prospect Tracker'!$A$5:$A$554,$K62)))</f>
        <v/>
      </c>
      <c r="C62" s="30">
        <f>IF($K62="","",IF(INDEX('Prospect Tracker'!$B$5:$B$554,$K62)="","",INDEX('Prospect Tracker'!$B$5:$B$554,$K62)))</f>
        <v/>
      </c>
      <c r="D62" s="30">
        <f>IF($K62="","",IF(INDEX('Prospect Tracker'!$M$5:$M$554,$K62)="","",INDEX('Prospect Tracker'!$M$5:$M$554,$K62)))</f>
        <v/>
      </c>
      <c r="E62" s="30">
        <f>IF($K62="","",IF(INDEX('Prospect Tracker'!$R$5:$R$554,$K62)="","",INDEX('Prospect Tracker'!$R$5:$R$554,$K62)))</f>
        <v/>
      </c>
      <c r="F62" s="30">
        <f>IF($K62="","",IF(INDEX('Prospect Tracker'!$J$5:$J$554,$K62)="","",INDEX('Prospect Tracker'!$J$5:$J$554,$K62)))</f>
        <v/>
      </c>
      <c r="G62" s="30">
        <f>IF($K62="","",IF(INDEX('Prospect Tracker'!$H$5:$H$554,$K62)="","",INDEX('Prospect Tracker'!$H$5:$H$554,$K62)))</f>
        <v/>
      </c>
      <c r="H62" s="31">
        <f>IF($K62="","",IF(INDEX('Prospect Tracker'!$K$5:$K$554,$K62)="","",INDEX('Prospect Tracker'!$K$5:$K$554,$K62)))</f>
        <v/>
      </c>
      <c r="I62" s="30">
        <f>IF($K62="","",IF(INDEX('Prospect Tracker'!$T$5:$T$554,$K62)="","",INDEX('Prospect Tracker'!$T$5:$T$554,$K62)))</f>
        <v/>
      </c>
      <c r="J62" s="30">
        <f>IF($K62="","",IF(INDEX('Prospect Tracker'!$L$5:$L$554,$K62)="","",INDEX('Prospect Tracker'!$L$5:$L$554,$K62)))</f>
        <v/>
      </c>
      <c r="K62" s="19">
        <f>IFERROR(MATCH(SMALL('Prospect Tracker'!$X$5:$X$554,ROW()-4),'Prospect Tracker'!$X$5:$X$554,0),"")</f>
        <v/>
      </c>
    </row>
    <row r="63" ht="15" customHeight="1" s="20">
      <c r="A63" s="25">
        <f>IF($K63="","",IF(INDEX('Prospect Tracker'!$W$5:$W$554,$K63)="","",INDEX('Prospect Tracker'!$W$5:$W$554,$K63)))</f>
        <v/>
      </c>
      <c r="B63" s="25">
        <f>IF($K63="","",IF(INDEX('Prospect Tracker'!$A$5:$A$554,$K63)="","",INDEX('Prospect Tracker'!$A$5:$A$554,$K63)))</f>
        <v/>
      </c>
      <c r="C63" s="25">
        <f>IF($K63="","",IF(INDEX('Prospect Tracker'!$B$5:$B$554,$K63)="","",INDEX('Prospect Tracker'!$B$5:$B$554,$K63)))</f>
        <v/>
      </c>
      <c r="D63" s="25">
        <f>IF($K63="","",IF(INDEX('Prospect Tracker'!$M$5:$M$554,$K63)="","",INDEX('Prospect Tracker'!$M$5:$M$554,$K63)))</f>
        <v/>
      </c>
      <c r="E63" s="25">
        <f>IF($K63="","",IF(INDEX('Prospect Tracker'!$R$5:$R$554,$K63)="","",INDEX('Prospect Tracker'!$R$5:$R$554,$K63)))</f>
        <v/>
      </c>
      <c r="F63" s="25">
        <f>IF($K63="","",IF(INDEX('Prospect Tracker'!$J$5:$J$554,$K63)="","",INDEX('Prospect Tracker'!$J$5:$J$554,$K63)))</f>
        <v/>
      </c>
      <c r="G63" s="25">
        <f>IF($K63="","",IF(INDEX('Prospect Tracker'!$H$5:$H$554,$K63)="","",INDEX('Prospect Tracker'!$H$5:$H$554,$K63)))</f>
        <v/>
      </c>
      <c r="H63" s="26">
        <f>IF($K63="","",IF(INDEX('Prospect Tracker'!$K$5:$K$554,$K63)="","",INDEX('Prospect Tracker'!$K$5:$K$554,$K63)))</f>
        <v/>
      </c>
      <c r="I63" s="25">
        <f>IF($K63="","",IF(INDEX('Prospect Tracker'!$T$5:$T$554,$K63)="","",INDEX('Prospect Tracker'!$T$5:$T$554,$K63)))</f>
        <v/>
      </c>
      <c r="J63" s="25">
        <f>IF($K63="","",IF(INDEX('Prospect Tracker'!$L$5:$L$554,$K63)="","",INDEX('Prospect Tracker'!$L$5:$L$554,$K63)))</f>
        <v/>
      </c>
      <c r="K63" s="19">
        <f>IFERROR(MATCH(SMALL('Prospect Tracker'!$X$5:$X$554,ROW()-4),'Prospect Tracker'!$X$5:$X$554,0),"")</f>
        <v/>
      </c>
    </row>
    <row r="64" ht="15" customHeight="1" s="20">
      <c r="A64" s="30">
        <f>IF($K64="","",IF(INDEX('Prospect Tracker'!$W$5:$W$554,$K64)="","",INDEX('Prospect Tracker'!$W$5:$W$554,$K64)))</f>
        <v/>
      </c>
      <c r="B64" s="30">
        <f>IF($K64="","",IF(INDEX('Prospect Tracker'!$A$5:$A$554,$K64)="","",INDEX('Prospect Tracker'!$A$5:$A$554,$K64)))</f>
        <v/>
      </c>
      <c r="C64" s="30">
        <f>IF($K64="","",IF(INDEX('Prospect Tracker'!$B$5:$B$554,$K64)="","",INDEX('Prospect Tracker'!$B$5:$B$554,$K64)))</f>
        <v/>
      </c>
      <c r="D64" s="30">
        <f>IF($K64="","",IF(INDEX('Prospect Tracker'!$M$5:$M$554,$K64)="","",INDEX('Prospect Tracker'!$M$5:$M$554,$K64)))</f>
        <v/>
      </c>
      <c r="E64" s="30">
        <f>IF($K64="","",IF(INDEX('Prospect Tracker'!$R$5:$R$554,$K64)="","",INDEX('Prospect Tracker'!$R$5:$R$554,$K64)))</f>
        <v/>
      </c>
      <c r="F64" s="30">
        <f>IF($K64="","",IF(INDEX('Prospect Tracker'!$J$5:$J$554,$K64)="","",INDEX('Prospect Tracker'!$J$5:$J$554,$K64)))</f>
        <v/>
      </c>
      <c r="G64" s="30">
        <f>IF($K64="","",IF(INDEX('Prospect Tracker'!$H$5:$H$554,$K64)="","",INDEX('Prospect Tracker'!$H$5:$H$554,$K64)))</f>
        <v/>
      </c>
      <c r="H64" s="31">
        <f>IF($K64="","",IF(INDEX('Prospect Tracker'!$K$5:$K$554,$K64)="","",INDEX('Prospect Tracker'!$K$5:$K$554,$K64)))</f>
        <v/>
      </c>
      <c r="I64" s="30">
        <f>IF($K64="","",IF(INDEX('Prospect Tracker'!$T$5:$T$554,$K64)="","",INDEX('Prospect Tracker'!$T$5:$T$554,$K64)))</f>
        <v/>
      </c>
      <c r="J64" s="30">
        <f>IF($K64="","",IF(INDEX('Prospect Tracker'!$L$5:$L$554,$K64)="","",INDEX('Prospect Tracker'!$L$5:$L$554,$K64)))</f>
        <v/>
      </c>
      <c r="K64" s="19">
        <f>IFERROR(MATCH(SMALL('Prospect Tracker'!$X$5:$X$554,ROW()-4),'Prospect Tracker'!$X$5:$X$554,0),"")</f>
        <v/>
      </c>
    </row>
    <row r="65" ht="15" customHeight="1" s="20">
      <c r="A65" s="25">
        <f>IF($K65="","",IF(INDEX('Prospect Tracker'!$W$5:$W$554,$K65)="","",INDEX('Prospect Tracker'!$W$5:$W$554,$K65)))</f>
        <v/>
      </c>
      <c r="B65" s="25">
        <f>IF($K65="","",IF(INDEX('Prospect Tracker'!$A$5:$A$554,$K65)="","",INDEX('Prospect Tracker'!$A$5:$A$554,$K65)))</f>
        <v/>
      </c>
      <c r="C65" s="25">
        <f>IF($K65="","",IF(INDEX('Prospect Tracker'!$B$5:$B$554,$K65)="","",INDEX('Prospect Tracker'!$B$5:$B$554,$K65)))</f>
        <v/>
      </c>
      <c r="D65" s="25">
        <f>IF($K65="","",IF(INDEX('Prospect Tracker'!$M$5:$M$554,$K65)="","",INDEX('Prospect Tracker'!$M$5:$M$554,$K65)))</f>
        <v/>
      </c>
      <c r="E65" s="25">
        <f>IF($K65="","",IF(INDEX('Prospect Tracker'!$R$5:$R$554,$K65)="","",INDEX('Prospect Tracker'!$R$5:$R$554,$K65)))</f>
        <v/>
      </c>
      <c r="F65" s="25">
        <f>IF($K65="","",IF(INDEX('Prospect Tracker'!$J$5:$J$554,$K65)="","",INDEX('Prospect Tracker'!$J$5:$J$554,$K65)))</f>
        <v/>
      </c>
      <c r="G65" s="25">
        <f>IF($K65="","",IF(INDEX('Prospect Tracker'!$H$5:$H$554,$K65)="","",INDEX('Prospect Tracker'!$H$5:$H$554,$K65)))</f>
        <v/>
      </c>
      <c r="H65" s="26">
        <f>IF($K65="","",IF(INDEX('Prospect Tracker'!$K$5:$K$554,$K65)="","",INDEX('Prospect Tracker'!$K$5:$K$554,$K65)))</f>
        <v/>
      </c>
      <c r="I65" s="25">
        <f>IF($K65="","",IF(INDEX('Prospect Tracker'!$T$5:$T$554,$K65)="","",INDEX('Prospect Tracker'!$T$5:$T$554,$K65)))</f>
        <v/>
      </c>
      <c r="J65" s="25">
        <f>IF($K65="","",IF(INDEX('Prospect Tracker'!$L$5:$L$554,$K65)="","",INDEX('Prospect Tracker'!$L$5:$L$554,$K65)))</f>
        <v/>
      </c>
      <c r="K65" s="19">
        <f>IFERROR(MATCH(SMALL('Prospect Tracker'!$X$5:$X$554,ROW()-4),'Prospect Tracker'!$X$5:$X$554,0),"")</f>
        <v/>
      </c>
    </row>
    <row r="66" ht="15" customHeight="1" s="20">
      <c r="A66" s="30">
        <f>IF($K66="","",IF(INDEX('Prospect Tracker'!$W$5:$W$554,$K66)="","",INDEX('Prospect Tracker'!$W$5:$W$554,$K66)))</f>
        <v/>
      </c>
      <c r="B66" s="30">
        <f>IF($K66="","",IF(INDEX('Prospect Tracker'!$A$5:$A$554,$K66)="","",INDEX('Prospect Tracker'!$A$5:$A$554,$K66)))</f>
        <v/>
      </c>
      <c r="C66" s="30">
        <f>IF($K66="","",IF(INDEX('Prospect Tracker'!$B$5:$B$554,$K66)="","",INDEX('Prospect Tracker'!$B$5:$B$554,$K66)))</f>
        <v/>
      </c>
      <c r="D66" s="30">
        <f>IF($K66="","",IF(INDEX('Prospect Tracker'!$M$5:$M$554,$K66)="","",INDEX('Prospect Tracker'!$M$5:$M$554,$K66)))</f>
        <v/>
      </c>
      <c r="E66" s="30">
        <f>IF($K66="","",IF(INDEX('Prospect Tracker'!$R$5:$R$554,$K66)="","",INDEX('Prospect Tracker'!$R$5:$R$554,$K66)))</f>
        <v/>
      </c>
      <c r="F66" s="30">
        <f>IF($K66="","",IF(INDEX('Prospect Tracker'!$J$5:$J$554,$K66)="","",INDEX('Prospect Tracker'!$J$5:$J$554,$K66)))</f>
        <v/>
      </c>
      <c r="G66" s="30">
        <f>IF($K66="","",IF(INDEX('Prospect Tracker'!$H$5:$H$554,$K66)="","",INDEX('Prospect Tracker'!$H$5:$H$554,$K66)))</f>
        <v/>
      </c>
      <c r="H66" s="31">
        <f>IF($K66="","",IF(INDEX('Prospect Tracker'!$K$5:$K$554,$K66)="","",INDEX('Prospect Tracker'!$K$5:$K$554,$K66)))</f>
        <v/>
      </c>
      <c r="I66" s="30">
        <f>IF($K66="","",IF(INDEX('Prospect Tracker'!$T$5:$T$554,$K66)="","",INDEX('Prospect Tracker'!$T$5:$T$554,$K66)))</f>
        <v/>
      </c>
      <c r="J66" s="30">
        <f>IF($K66="","",IF(INDEX('Prospect Tracker'!$L$5:$L$554,$K66)="","",INDEX('Prospect Tracker'!$L$5:$L$554,$K66)))</f>
        <v/>
      </c>
      <c r="K66" s="19">
        <f>IFERROR(MATCH(SMALL('Prospect Tracker'!$X$5:$X$554,ROW()-4),'Prospect Tracker'!$X$5:$X$554,0),"")</f>
        <v/>
      </c>
    </row>
    <row r="67" ht="15" customHeight="1" s="20">
      <c r="A67" s="25">
        <f>IF($K67="","",IF(INDEX('Prospect Tracker'!$W$5:$W$554,$K67)="","",INDEX('Prospect Tracker'!$W$5:$W$554,$K67)))</f>
        <v/>
      </c>
      <c r="B67" s="25">
        <f>IF($K67="","",IF(INDEX('Prospect Tracker'!$A$5:$A$554,$K67)="","",INDEX('Prospect Tracker'!$A$5:$A$554,$K67)))</f>
        <v/>
      </c>
      <c r="C67" s="25">
        <f>IF($K67="","",IF(INDEX('Prospect Tracker'!$B$5:$B$554,$K67)="","",INDEX('Prospect Tracker'!$B$5:$B$554,$K67)))</f>
        <v/>
      </c>
      <c r="D67" s="25">
        <f>IF($K67="","",IF(INDEX('Prospect Tracker'!$M$5:$M$554,$K67)="","",INDEX('Prospect Tracker'!$M$5:$M$554,$K67)))</f>
        <v/>
      </c>
      <c r="E67" s="25">
        <f>IF($K67="","",IF(INDEX('Prospect Tracker'!$R$5:$R$554,$K67)="","",INDEX('Prospect Tracker'!$R$5:$R$554,$K67)))</f>
        <v/>
      </c>
      <c r="F67" s="25">
        <f>IF($K67="","",IF(INDEX('Prospect Tracker'!$J$5:$J$554,$K67)="","",INDEX('Prospect Tracker'!$J$5:$J$554,$K67)))</f>
        <v/>
      </c>
      <c r="G67" s="25">
        <f>IF($K67="","",IF(INDEX('Prospect Tracker'!$H$5:$H$554,$K67)="","",INDEX('Prospect Tracker'!$H$5:$H$554,$K67)))</f>
        <v/>
      </c>
      <c r="H67" s="26">
        <f>IF($K67="","",IF(INDEX('Prospect Tracker'!$K$5:$K$554,$K67)="","",INDEX('Prospect Tracker'!$K$5:$K$554,$K67)))</f>
        <v/>
      </c>
      <c r="I67" s="25">
        <f>IF($K67="","",IF(INDEX('Prospect Tracker'!$T$5:$T$554,$K67)="","",INDEX('Prospect Tracker'!$T$5:$T$554,$K67)))</f>
        <v/>
      </c>
      <c r="J67" s="25">
        <f>IF($K67="","",IF(INDEX('Prospect Tracker'!$L$5:$L$554,$K67)="","",INDEX('Prospect Tracker'!$L$5:$L$554,$K67)))</f>
        <v/>
      </c>
      <c r="K67" s="19">
        <f>IFERROR(MATCH(SMALL('Prospect Tracker'!$X$5:$X$554,ROW()-4),'Prospect Tracker'!$X$5:$X$554,0),"")</f>
        <v/>
      </c>
    </row>
    <row r="68" ht="15" customHeight="1" s="20">
      <c r="A68" s="30">
        <f>IF($K68="","",IF(INDEX('Prospect Tracker'!$W$5:$W$554,$K68)="","",INDEX('Prospect Tracker'!$W$5:$W$554,$K68)))</f>
        <v/>
      </c>
      <c r="B68" s="30">
        <f>IF($K68="","",IF(INDEX('Prospect Tracker'!$A$5:$A$554,$K68)="","",INDEX('Prospect Tracker'!$A$5:$A$554,$K68)))</f>
        <v/>
      </c>
      <c r="C68" s="30">
        <f>IF($K68="","",IF(INDEX('Prospect Tracker'!$B$5:$B$554,$K68)="","",INDEX('Prospect Tracker'!$B$5:$B$554,$K68)))</f>
        <v/>
      </c>
      <c r="D68" s="30">
        <f>IF($K68="","",IF(INDEX('Prospect Tracker'!$M$5:$M$554,$K68)="","",INDEX('Prospect Tracker'!$M$5:$M$554,$K68)))</f>
        <v/>
      </c>
      <c r="E68" s="30">
        <f>IF($K68="","",IF(INDEX('Prospect Tracker'!$R$5:$R$554,$K68)="","",INDEX('Prospect Tracker'!$R$5:$R$554,$K68)))</f>
        <v/>
      </c>
      <c r="F68" s="30">
        <f>IF($K68="","",IF(INDEX('Prospect Tracker'!$J$5:$J$554,$K68)="","",INDEX('Prospect Tracker'!$J$5:$J$554,$K68)))</f>
        <v/>
      </c>
      <c r="G68" s="30">
        <f>IF($K68="","",IF(INDEX('Prospect Tracker'!$H$5:$H$554,$K68)="","",INDEX('Prospect Tracker'!$H$5:$H$554,$K68)))</f>
        <v/>
      </c>
      <c r="H68" s="31">
        <f>IF($K68="","",IF(INDEX('Prospect Tracker'!$K$5:$K$554,$K68)="","",INDEX('Prospect Tracker'!$K$5:$K$554,$K68)))</f>
        <v/>
      </c>
      <c r="I68" s="30">
        <f>IF($K68="","",IF(INDEX('Prospect Tracker'!$T$5:$T$554,$K68)="","",INDEX('Prospect Tracker'!$T$5:$T$554,$K68)))</f>
        <v/>
      </c>
      <c r="J68" s="30">
        <f>IF($K68="","",IF(INDEX('Prospect Tracker'!$L$5:$L$554,$K68)="","",INDEX('Prospect Tracker'!$L$5:$L$554,$K68)))</f>
        <v/>
      </c>
      <c r="K68" s="19">
        <f>IFERROR(MATCH(SMALL('Prospect Tracker'!$X$5:$X$554,ROW()-4),'Prospect Tracker'!$X$5:$X$554,0),"")</f>
        <v/>
      </c>
    </row>
    <row r="69" ht="15" customHeight="1" s="20">
      <c r="A69" s="25">
        <f>IF($K69="","",IF(INDEX('Prospect Tracker'!$W$5:$W$554,$K69)="","",INDEX('Prospect Tracker'!$W$5:$W$554,$K69)))</f>
        <v/>
      </c>
      <c r="B69" s="25">
        <f>IF($K69="","",IF(INDEX('Prospect Tracker'!$A$5:$A$554,$K69)="","",INDEX('Prospect Tracker'!$A$5:$A$554,$K69)))</f>
        <v/>
      </c>
      <c r="C69" s="25">
        <f>IF($K69="","",IF(INDEX('Prospect Tracker'!$B$5:$B$554,$K69)="","",INDEX('Prospect Tracker'!$B$5:$B$554,$K69)))</f>
        <v/>
      </c>
      <c r="D69" s="25">
        <f>IF($K69="","",IF(INDEX('Prospect Tracker'!$M$5:$M$554,$K69)="","",INDEX('Prospect Tracker'!$M$5:$M$554,$K69)))</f>
        <v/>
      </c>
      <c r="E69" s="25">
        <f>IF($K69="","",IF(INDEX('Prospect Tracker'!$R$5:$R$554,$K69)="","",INDEX('Prospect Tracker'!$R$5:$R$554,$K69)))</f>
        <v/>
      </c>
      <c r="F69" s="25">
        <f>IF($K69="","",IF(INDEX('Prospect Tracker'!$J$5:$J$554,$K69)="","",INDEX('Prospect Tracker'!$J$5:$J$554,$K69)))</f>
        <v/>
      </c>
      <c r="G69" s="25">
        <f>IF($K69="","",IF(INDEX('Prospect Tracker'!$H$5:$H$554,$K69)="","",INDEX('Prospect Tracker'!$H$5:$H$554,$K69)))</f>
        <v/>
      </c>
      <c r="H69" s="26">
        <f>IF($K69="","",IF(INDEX('Prospect Tracker'!$K$5:$K$554,$K69)="","",INDEX('Prospect Tracker'!$K$5:$K$554,$K69)))</f>
        <v/>
      </c>
      <c r="I69" s="25">
        <f>IF($K69="","",IF(INDEX('Prospect Tracker'!$T$5:$T$554,$K69)="","",INDEX('Prospect Tracker'!$T$5:$T$554,$K69)))</f>
        <v/>
      </c>
      <c r="J69" s="25">
        <f>IF($K69="","",IF(INDEX('Prospect Tracker'!$L$5:$L$554,$K69)="","",INDEX('Prospect Tracker'!$L$5:$L$554,$K69)))</f>
        <v/>
      </c>
      <c r="K69" s="19">
        <f>IFERROR(MATCH(SMALL('Prospect Tracker'!$X$5:$X$554,ROW()-4),'Prospect Tracker'!$X$5:$X$554,0),"")</f>
        <v/>
      </c>
    </row>
    <row r="70" ht="15" customHeight="1" s="20">
      <c r="A70" s="30">
        <f>IF($K70="","",IF(INDEX('Prospect Tracker'!$W$5:$W$554,$K70)="","",INDEX('Prospect Tracker'!$W$5:$W$554,$K70)))</f>
        <v/>
      </c>
      <c r="B70" s="30">
        <f>IF($K70="","",IF(INDEX('Prospect Tracker'!$A$5:$A$554,$K70)="","",INDEX('Prospect Tracker'!$A$5:$A$554,$K70)))</f>
        <v/>
      </c>
      <c r="C70" s="30">
        <f>IF($K70="","",IF(INDEX('Prospect Tracker'!$B$5:$B$554,$K70)="","",INDEX('Prospect Tracker'!$B$5:$B$554,$K70)))</f>
        <v/>
      </c>
      <c r="D70" s="30">
        <f>IF($K70="","",IF(INDEX('Prospect Tracker'!$M$5:$M$554,$K70)="","",INDEX('Prospect Tracker'!$M$5:$M$554,$K70)))</f>
        <v/>
      </c>
      <c r="E70" s="30">
        <f>IF($K70="","",IF(INDEX('Prospect Tracker'!$R$5:$R$554,$K70)="","",INDEX('Prospect Tracker'!$R$5:$R$554,$K70)))</f>
        <v/>
      </c>
      <c r="F70" s="30">
        <f>IF($K70="","",IF(INDEX('Prospect Tracker'!$J$5:$J$554,$K70)="","",INDEX('Prospect Tracker'!$J$5:$J$554,$K70)))</f>
        <v/>
      </c>
      <c r="G70" s="30">
        <f>IF($K70="","",IF(INDEX('Prospect Tracker'!$H$5:$H$554,$K70)="","",INDEX('Prospect Tracker'!$H$5:$H$554,$K70)))</f>
        <v/>
      </c>
      <c r="H70" s="31">
        <f>IF($K70="","",IF(INDEX('Prospect Tracker'!$K$5:$K$554,$K70)="","",INDEX('Prospect Tracker'!$K$5:$K$554,$K70)))</f>
        <v/>
      </c>
      <c r="I70" s="30">
        <f>IF($K70="","",IF(INDEX('Prospect Tracker'!$T$5:$T$554,$K70)="","",INDEX('Prospect Tracker'!$T$5:$T$554,$K70)))</f>
        <v/>
      </c>
      <c r="J70" s="30">
        <f>IF($K70="","",IF(INDEX('Prospect Tracker'!$L$5:$L$554,$K70)="","",INDEX('Prospect Tracker'!$L$5:$L$554,$K70)))</f>
        <v/>
      </c>
      <c r="K70" s="19">
        <f>IFERROR(MATCH(SMALL('Prospect Tracker'!$X$5:$X$554,ROW()-4),'Prospect Tracker'!$X$5:$X$554,0),"")</f>
        <v/>
      </c>
    </row>
    <row r="71" ht="15" customHeight="1" s="20">
      <c r="A71" s="25">
        <f>IF($K71="","",IF(INDEX('Prospect Tracker'!$W$5:$W$554,$K71)="","",INDEX('Prospect Tracker'!$W$5:$W$554,$K71)))</f>
        <v/>
      </c>
      <c r="B71" s="25">
        <f>IF($K71="","",IF(INDEX('Prospect Tracker'!$A$5:$A$554,$K71)="","",INDEX('Prospect Tracker'!$A$5:$A$554,$K71)))</f>
        <v/>
      </c>
      <c r="C71" s="25">
        <f>IF($K71="","",IF(INDEX('Prospect Tracker'!$B$5:$B$554,$K71)="","",INDEX('Prospect Tracker'!$B$5:$B$554,$K71)))</f>
        <v/>
      </c>
      <c r="D71" s="25">
        <f>IF($K71="","",IF(INDEX('Prospect Tracker'!$M$5:$M$554,$K71)="","",INDEX('Prospect Tracker'!$M$5:$M$554,$K71)))</f>
        <v/>
      </c>
      <c r="E71" s="25">
        <f>IF($K71="","",IF(INDEX('Prospect Tracker'!$R$5:$R$554,$K71)="","",INDEX('Prospect Tracker'!$R$5:$R$554,$K71)))</f>
        <v/>
      </c>
      <c r="F71" s="25">
        <f>IF($K71="","",IF(INDEX('Prospect Tracker'!$J$5:$J$554,$K71)="","",INDEX('Prospect Tracker'!$J$5:$J$554,$K71)))</f>
        <v/>
      </c>
      <c r="G71" s="25">
        <f>IF($K71="","",IF(INDEX('Prospect Tracker'!$H$5:$H$554,$K71)="","",INDEX('Prospect Tracker'!$H$5:$H$554,$K71)))</f>
        <v/>
      </c>
      <c r="H71" s="26">
        <f>IF($K71="","",IF(INDEX('Prospect Tracker'!$K$5:$K$554,$K71)="","",INDEX('Prospect Tracker'!$K$5:$K$554,$K71)))</f>
        <v/>
      </c>
      <c r="I71" s="25">
        <f>IF($K71="","",IF(INDEX('Prospect Tracker'!$T$5:$T$554,$K71)="","",INDEX('Prospect Tracker'!$T$5:$T$554,$K71)))</f>
        <v/>
      </c>
      <c r="J71" s="25">
        <f>IF($K71="","",IF(INDEX('Prospect Tracker'!$L$5:$L$554,$K71)="","",INDEX('Prospect Tracker'!$L$5:$L$554,$K71)))</f>
        <v/>
      </c>
      <c r="K71" s="19">
        <f>IFERROR(MATCH(SMALL('Prospect Tracker'!$X$5:$X$554,ROW()-4),'Prospect Tracker'!$X$5:$X$554,0),"")</f>
        <v/>
      </c>
    </row>
    <row r="72" ht="15" customHeight="1" s="20">
      <c r="A72" s="30">
        <f>IF($K72="","",IF(INDEX('Prospect Tracker'!$W$5:$W$554,$K72)="","",INDEX('Prospect Tracker'!$W$5:$W$554,$K72)))</f>
        <v/>
      </c>
      <c r="B72" s="30">
        <f>IF($K72="","",IF(INDEX('Prospect Tracker'!$A$5:$A$554,$K72)="","",INDEX('Prospect Tracker'!$A$5:$A$554,$K72)))</f>
        <v/>
      </c>
      <c r="C72" s="30">
        <f>IF($K72="","",IF(INDEX('Prospect Tracker'!$B$5:$B$554,$K72)="","",INDEX('Prospect Tracker'!$B$5:$B$554,$K72)))</f>
        <v/>
      </c>
      <c r="D72" s="30">
        <f>IF($K72="","",IF(INDEX('Prospect Tracker'!$M$5:$M$554,$K72)="","",INDEX('Prospect Tracker'!$M$5:$M$554,$K72)))</f>
        <v/>
      </c>
      <c r="E72" s="30">
        <f>IF($K72="","",IF(INDEX('Prospect Tracker'!$R$5:$R$554,$K72)="","",INDEX('Prospect Tracker'!$R$5:$R$554,$K72)))</f>
        <v/>
      </c>
      <c r="F72" s="30">
        <f>IF($K72="","",IF(INDEX('Prospect Tracker'!$J$5:$J$554,$K72)="","",INDEX('Prospect Tracker'!$J$5:$J$554,$K72)))</f>
        <v/>
      </c>
      <c r="G72" s="30">
        <f>IF($K72="","",IF(INDEX('Prospect Tracker'!$H$5:$H$554,$K72)="","",INDEX('Prospect Tracker'!$H$5:$H$554,$K72)))</f>
        <v/>
      </c>
      <c r="H72" s="31">
        <f>IF($K72="","",IF(INDEX('Prospect Tracker'!$K$5:$K$554,$K72)="","",INDEX('Prospect Tracker'!$K$5:$K$554,$K72)))</f>
        <v/>
      </c>
      <c r="I72" s="30">
        <f>IF($K72="","",IF(INDEX('Prospect Tracker'!$T$5:$T$554,$K72)="","",INDEX('Prospect Tracker'!$T$5:$T$554,$K72)))</f>
        <v/>
      </c>
      <c r="J72" s="30">
        <f>IF($K72="","",IF(INDEX('Prospect Tracker'!$L$5:$L$554,$K72)="","",INDEX('Prospect Tracker'!$L$5:$L$554,$K72)))</f>
        <v/>
      </c>
      <c r="K72" s="19">
        <f>IFERROR(MATCH(SMALL('Prospect Tracker'!$X$5:$X$554,ROW()-4),'Prospect Tracker'!$X$5:$X$554,0),"")</f>
        <v/>
      </c>
    </row>
    <row r="73" ht="15" customHeight="1" s="20">
      <c r="A73" s="25">
        <f>IF($K73="","",IF(INDEX('Prospect Tracker'!$W$5:$W$554,$K73)="","",INDEX('Prospect Tracker'!$W$5:$W$554,$K73)))</f>
        <v/>
      </c>
      <c r="B73" s="25">
        <f>IF($K73="","",IF(INDEX('Prospect Tracker'!$A$5:$A$554,$K73)="","",INDEX('Prospect Tracker'!$A$5:$A$554,$K73)))</f>
        <v/>
      </c>
      <c r="C73" s="25">
        <f>IF($K73="","",IF(INDEX('Prospect Tracker'!$B$5:$B$554,$K73)="","",INDEX('Prospect Tracker'!$B$5:$B$554,$K73)))</f>
        <v/>
      </c>
      <c r="D73" s="25">
        <f>IF($K73="","",IF(INDEX('Prospect Tracker'!$M$5:$M$554,$K73)="","",INDEX('Prospect Tracker'!$M$5:$M$554,$K73)))</f>
        <v/>
      </c>
      <c r="E73" s="25">
        <f>IF($K73="","",IF(INDEX('Prospect Tracker'!$R$5:$R$554,$K73)="","",INDEX('Prospect Tracker'!$R$5:$R$554,$K73)))</f>
        <v/>
      </c>
      <c r="F73" s="25">
        <f>IF($K73="","",IF(INDEX('Prospect Tracker'!$J$5:$J$554,$K73)="","",INDEX('Prospect Tracker'!$J$5:$J$554,$K73)))</f>
        <v/>
      </c>
      <c r="G73" s="25">
        <f>IF($K73="","",IF(INDEX('Prospect Tracker'!$H$5:$H$554,$K73)="","",INDEX('Prospect Tracker'!$H$5:$H$554,$K73)))</f>
        <v/>
      </c>
      <c r="H73" s="26">
        <f>IF($K73="","",IF(INDEX('Prospect Tracker'!$K$5:$K$554,$K73)="","",INDEX('Prospect Tracker'!$K$5:$K$554,$K73)))</f>
        <v/>
      </c>
      <c r="I73" s="25">
        <f>IF($K73="","",IF(INDEX('Prospect Tracker'!$T$5:$T$554,$K73)="","",INDEX('Prospect Tracker'!$T$5:$T$554,$K73)))</f>
        <v/>
      </c>
      <c r="J73" s="25">
        <f>IF($K73="","",IF(INDEX('Prospect Tracker'!$L$5:$L$554,$K73)="","",INDEX('Prospect Tracker'!$L$5:$L$554,$K73)))</f>
        <v/>
      </c>
      <c r="K73" s="19">
        <f>IFERROR(MATCH(SMALL('Prospect Tracker'!$X$5:$X$554,ROW()-4),'Prospect Tracker'!$X$5:$X$554,0),"")</f>
        <v/>
      </c>
    </row>
    <row r="74" ht="15" customHeight="1" s="20">
      <c r="A74" s="30">
        <f>IF($K74="","",IF(INDEX('Prospect Tracker'!$W$5:$W$554,$K74)="","",INDEX('Prospect Tracker'!$W$5:$W$554,$K74)))</f>
        <v/>
      </c>
      <c r="B74" s="30">
        <f>IF($K74="","",IF(INDEX('Prospect Tracker'!$A$5:$A$554,$K74)="","",INDEX('Prospect Tracker'!$A$5:$A$554,$K74)))</f>
        <v/>
      </c>
      <c r="C74" s="30">
        <f>IF($K74="","",IF(INDEX('Prospect Tracker'!$B$5:$B$554,$K74)="","",INDEX('Prospect Tracker'!$B$5:$B$554,$K74)))</f>
        <v/>
      </c>
      <c r="D74" s="30">
        <f>IF($K74="","",IF(INDEX('Prospect Tracker'!$M$5:$M$554,$K74)="","",INDEX('Prospect Tracker'!$M$5:$M$554,$K74)))</f>
        <v/>
      </c>
      <c r="E74" s="30">
        <f>IF($K74="","",IF(INDEX('Prospect Tracker'!$R$5:$R$554,$K74)="","",INDEX('Prospect Tracker'!$R$5:$R$554,$K74)))</f>
        <v/>
      </c>
      <c r="F74" s="30">
        <f>IF($K74="","",IF(INDEX('Prospect Tracker'!$J$5:$J$554,$K74)="","",INDEX('Prospect Tracker'!$J$5:$J$554,$K74)))</f>
        <v/>
      </c>
      <c r="G74" s="30">
        <f>IF($K74="","",IF(INDEX('Prospect Tracker'!$H$5:$H$554,$K74)="","",INDEX('Prospect Tracker'!$H$5:$H$554,$K74)))</f>
        <v/>
      </c>
      <c r="H74" s="31">
        <f>IF($K74="","",IF(INDEX('Prospect Tracker'!$K$5:$K$554,$K74)="","",INDEX('Prospect Tracker'!$K$5:$K$554,$K74)))</f>
        <v/>
      </c>
      <c r="I74" s="30">
        <f>IF($K74="","",IF(INDEX('Prospect Tracker'!$T$5:$T$554,$K74)="","",INDEX('Prospect Tracker'!$T$5:$T$554,$K74)))</f>
        <v/>
      </c>
      <c r="J74" s="30">
        <f>IF($K74="","",IF(INDEX('Prospect Tracker'!$L$5:$L$554,$K74)="","",INDEX('Prospect Tracker'!$L$5:$L$554,$K74)))</f>
        <v/>
      </c>
      <c r="K74" s="19">
        <f>IFERROR(MATCH(SMALL('Prospect Tracker'!$X$5:$X$554,ROW()-4),'Prospect Tracker'!$X$5:$X$554,0),"")</f>
        <v/>
      </c>
    </row>
    <row r="75" ht="15" customHeight="1" s="20">
      <c r="A75" s="25">
        <f>IF($K75="","",IF(INDEX('Prospect Tracker'!$W$5:$W$554,$K75)="","",INDEX('Prospect Tracker'!$W$5:$W$554,$K75)))</f>
        <v/>
      </c>
      <c r="B75" s="25">
        <f>IF($K75="","",IF(INDEX('Prospect Tracker'!$A$5:$A$554,$K75)="","",INDEX('Prospect Tracker'!$A$5:$A$554,$K75)))</f>
        <v/>
      </c>
      <c r="C75" s="25">
        <f>IF($K75="","",IF(INDEX('Prospect Tracker'!$B$5:$B$554,$K75)="","",INDEX('Prospect Tracker'!$B$5:$B$554,$K75)))</f>
        <v/>
      </c>
      <c r="D75" s="25">
        <f>IF($K75="","",IF(INDEX('Prospect Tracker'!$M$5:$M$554,$K75)="","",INDEX('Prospect Tracker'!$M$5:$M$554,$K75)))</f>
        <v/>
      </c>
      <c r="E75" s="25">
        <f>IF($K75="","",IF(INDEX('Prospect Tracker'!$R$5:$R$554,$K75)="","",INDEX('Prospect Tracker'!$R$5:$R$554,$K75)))</f>
        <v/>
      </c>
      <c r="F75" s="25">
        <f>IF($K75="","",IF(INDEX('Prospect Tracker'!$J$5:$J$554,$K75)="","",INDEX('Prospect Tracker'!$J$5:$J$554,$K75)))</f>
        <v/>
      </c>
      <c r="G75" s="25">
        <f>IF($K75="","",IF(INDEX('Prospect Tracker'!$H$5:$H$554,$K75)="","",INDEX('Prospect Tracker'!$H$5:$H$554,$K75)))</f>
        <v/>
      </c>
      <c r="H75" s="26">
        <f>IF($K75="","",IF(INDEX('Prospect Tracker'!$K$5:$K$554,$K75)="","",INDEX('Prospect Tracker'!$K$5:$K$554,$K75)))</f>
        <v/>
      </c>
      <c r="I75" s="25">
        <f>IF($K75="","",IF(INDEX('Prospect Tracker'!$T$5:$T$554,$K75)="","",INDEX('Prospect Tracker'!$T$5:$T$554,$K75)))</f>
        <v/>
      </c>
      <c r="J75" s="25">
        <f>IF($K75="","",IF(INDEX('Prospect Tracker'!$L$5:$L$554,$K75)="","",INDEX('Prospect Tracker'!$L$5:$L$554,$K75)))</f>
        <v/>
      </c>
      <c r="K75" s="19">
        <f>IFERROR(MATCH(SMALL('Prospect Tracker'!$X$5:$X$554,ROW()-4),'Prospect Tracker'!$X$5:$X$554,0),"")</f>
        <v/>
      </c>
    </row>
    <row r="76" ht="15" customHeight="1" s="20">
      <c r="A76" s="30">
        <f>IF($K76="","",IF(INDEX('Prospect Tracker'!$W$5:$W$554,$K76)="","",INDEX('Prospect Tracker'!$W$5:$W$554,$K76)))</f>
        <v/>
      </c>
      <c r="B76" s="30">
        <f>IF($K76="","",IF(INDEX('Prospect Tracker'!$A$5:$A$554,$K76)="","",INDEX('Prospect Tracker'!$A$5:$A$554,$K76)))</f>
        <v/>
      </c>
      <c r="C76" s="30">
        <f>IF($K76="","",IF(INDEX('Prospect Tracker'!$B$5:$B$554,$K76)="","",INDEX('Prospect Tracker'!$B$5:$B$554,$K76)))</f>
        <v/>
      </c>
      <c r="D76" s="30">
        <f>IF($K76="","",IF(INDEX('Prospect Tracker'!$M$5:$M$554,$K76)="","",INDEX('Prospect Tracker'!$M$5:$M$554,$K76)))</f>
        <v/>
      </c>
      <c r="E76" s="30">
        <f>IF($K76="","",IF(INDEX('Prospect Tracker'!$R$5:$R$554,$K76)="","",INDEX('Prospect Tracker'!$R$5:$R$554,$K76)))</f>
        <v/>
      </c>
      <c r="F76" s="30">
        <f>IF($K76="","",IF(INDEX('Prospect Tracker'!$J$5:$J$554,$K76)="","",INDEX('Prospect Tracker'!$J$5:$J$554,$K76)))</f>
        <v/>
      </c>
      <c r="G76" s="30">
        <f>IF($K76="","",IF(INDEX('Prospect Tracker'!$H$5:$H$554,$K76)="","",INDEX('Prospect Tracker'!$H$5:$H$554,$K76)))</f>
        <v/>
      </c>
      <c r="H76" s="31">
        <f>IF($K76="","",IF(INDEX('Prospect Tracker'!$K$5:$K$554,$K76)="","",INDEX('Prospect Tracker'!$K$5:$K$554,$K76)))</f>
        <v/>
      </c>
      <c r="I76" s="30">
        <f>IF($K76="","",IF(INDEX('Prospect Tracker'!$T$5:$T$554,$K76)="","",INDEX('Prospect Tracker'!$T$5:$T$554,$K76)))</f>
        <v/>
      </c>
      <c r="J76" s="30">
        <f>IF($K76="","",IF(INDEX('Prospect Tracker'!$L$5:$L$554,$K76)="","",INDEX('Prospect Tracker'!$L$5:$L$554,$K76)))</f>
        <v/>
      </c>
      <c r="K76" s="19">
        <f>IFERROR(MATCH(SMALL('Prospect Tracker'!$X$5:$X$554,ROW()-4),'Prospect Tracker'!$X$5:$X$554,0),"")</f>
        <v/>
      </c>
    </row>
    <row r="77" ht="15" customHeight="1" s="20">
      <c r="A77" s="25">
        <f>IF($K77="","",IF(INDEX('Prospect Tracker'!$W$5:$W$554,$K77)="","",INDEX('Prospect Tracker'!$W$5:$W$554,$K77)))</f>
        <v/>
      </c>
      <c r="B77" s="25">
        <f>IF($K77="","",IF(INDEX('Prospect Tracker'!$A$5:$A$554,$K77)="","",INDEX('Prospect Tracker'!$A$5:$A$554,$K77)))</f>
        <v/>
      </c>
      <c r="C77" s="25">
        <f>IF($K77="","",IF(INDEX('Prospect Tracker'!$B$5:$B$554,$K77)="","",INDEX('Prospect Tracker'!$B$5:$B$554,$K77)))</f>
        <v/>
      </c>
      <c r="D77" s="25">
        <f>IF($K77="","",IF(INDEX('Prospect Tracker'!$M$5:$M$554,$K77)="","",INDEX('Prospect Tracker'!$M$5:$M$554,$K77)))</f>
        <v/>
      </c>
      <c r="E77" s="25">
        <f>IF($K77="","",IF(INDEX('Prospect Tracker'!$R$5:$R$554,$K77)="","",INDEX('Prospect Tracker'!$R$5:$R$554,$K77)))</f>
        <v/>
      </c>
      <c r="F77" s="25">
        <f>IF($K77="","",IF(INDEX('Prospect Tracker'!$J$5:$J$554,$K77)="","",INDEX('Prospect Tracker'!$J$5:$J$554,$K77)))</f>
        <v/>
      </c>
      <c r="G77" s="25">
        <f>IF($K77="","",IF(INDEX('Prospect Tracker'!$H$5:$H$554,$K77)="","",INDEX('Prospect Tracker'!$H$5:$H$554,$K77)))</f>
        <v/>
      </c>
      <c r="H77" s="26">
        <f>IF($K77="","",IF(INDEX('Prospect Tracker'!$K$5:$K$554,$K77)="","",INDEX('Prospect Tracker'!$K$5:$K$554,$K77)))</f>
        <v/>
      </c>
      <c r="I77" s="25">
        <f>IF($K77="","",IF(INDEX('Prospect Tracker'!$T$5:$T$554,$K77)="","",INDEX('Prospect Tracker'!$T$5:$T$554,$K77)))</f>
        <v/>
      </c>
      <c r="J77" s="25">
        <f>IF($K77="","",IF(INDEX('Prospect Tracker'!$L$5:$L$554,$K77)="","",INDEX('Prospect Tracker'!$L$5:$L$554,$K77)))</f>
        <v/>
      </c>
      <c r="K77" s="19">
        <f>IFERROR(MATCH(SMALL('Prospect Tracker'!$X$5:$X$554,ROW()-4),'Prospect Tracker'!$X$5:$X$554,0),"")</f>
        <v/>
      </c>
    </row>
    <row r="78" ht="15" customHeight="1" s="20">
      <c r="A78" s="30">
        <f>IF($K78="","",IF(INDEX('Prospect Tracker'!$W$5:$W$554,$K78)="","",INDEX('Prospect Tracker'!$W$5:$W$554,$K78)))</f>
        <v/>
      </c>
      <c r="B78" s="30">
        <f>IF($K78="","",IF(INDEX('Prospect Tracker'!$A$5:$A$554,$K78)="","",INDEX('Prospect Tracker'!$A$5:$A$554,$K78)))</f>
        <v/>
      </c>
      <c r="C78" s="30">
        <f>IF($K78="","",IF(INDEX('Prospect Tracker'!$B$5:$B$554,$K78)="","",INDEX('Prospect Tracker'!$B$5:$B$554,$K78)))</f>
        <v/>
      </c>
      <c r="D78" s="30">
        <f>IF($K78="","",IF(INDEX('Prospect Tracker'!$M$5:$M$554,$K78)="","",INDEX('Prospect Tracker'!$M$5:$M$554,$K78)))</f>
        <v/>
      </c>
      <c r="E78" s="30">
        <f>IF($K78="","",IF(INDEX('Prospect Tracker'!$R$5:$R$554,$K78)="","",INDEX('Prospect Tracker'!$R$5:$R$554,$K78)))</f>
        <v/>
      </c>
      <c r="F78" s="30">
        <f>IF($K78="","",IF(INDEX('Prospect Tracker'!$J$5:$J$554,$K78)="","",INDEX('Prospect Tracker'!$J$5:$J$554,$K78)))</f>
        <v/>
      </c>
      <c r="G78" s="30">
        <f>IF($K78="","",IF(INDEX('Prospect Tracker'!$H$5:$H$554,$K78)="","",INDEX('Prospect Tracker'!$H$5:$H$554,$K78)))</f>
        <v/>
      </c>
      <c r="H78" s="31">
        <f>IF($K78="","",IF(INDEX('Prospect Tracker'!$K$5:$K$554,$K78)="","",INDEX('Prospect Tracker'!$K$5:$K$554,$K78)))</f>
        <v/>
      </c>
      <c r="I78" s="30">
        <f>IF($K78="","",IF(INDEX('Prospect Tracker'!$T$5:$T$554,$K78)="","",INDEX('Prospect Tracker'!$T$5:$T$554,$K78)))</f>
        <v/>
      </c>
      <c r="J78" s="30">
        <f>IF($K78="","",IF(INDEX('Prospect Tracker'!$L$5:$L$554,$K78)="","",INDEX('Prospect Tracker'!$L$5:$L$554,$K78)))</f>
        <v/>
      </c>
      <c r="K78" s="19">
        <f>IFERROR(MATCH(SMALL('Prospect Tracker'!$X$5:$X$554,ROW()-4),'Prospect Tracker'!$X$5:$X$554,0),"")</f>
        <v/>
      </c>
    </row>
    <row r="79" ht="15" customHeight="1" s="20">
      <c r="A79" s="25">
        <f>IF($K79="","",IF(INDEX('Prospect Tracker'!$W$5:$W$554,$K79)="","",INDEX('Prospect Tracker'!$W$5:$W$554,$K79)))</f>
        <v/>
      </c>
      <c r="B79" s="25">
        <f>IF($K79="","",IF(INDEX('Prospect Tracker'!$A$5:$A$554,$K79)="","",INDEX('Prospect Tracker'!$A$5:$A$554,$K79)))</f>
        <v/>
      </c>
      <c r="C79" s="25">
        <f>IF($K79="","",IF(INDEX('Prospect Tracker'!$B$5:$B$554,$K79)="","",INDEX('Prospect Tracker'!$B$5:$B$554,$K79)))</f>
        <v/>
      </c>
      <c r="D79" s="25">
        <f>IF($K79="","",IF(INDEX('Prospect Tracker'!$M$5:$M$554,$K79)="","",INDEX('Prospect Tracker'!$M$5:$M$554,$K79)))</f>
        <v/>
      </c>
      <c r="E79" s="25">
        <f>IF($K79="","",IF(INDEX('Prospect Tracker'!$R$5:$R$554,$K79)="","",INDEX('Prospect Tracker'!$R$5:$R$554,$K79)))</f>
        <v/>
      </c>
      <c r="F79" s="25">
        <f>IF($K79="","",IF(INDEX('Prospect Tracker'!$J$5:$J$554,$K79)="","",INDEX('Prospect Tracker'!$J$5:$J$554,$K79)))</f>
        <v/>
      </c>
      <c r="G79" s="25">
        <f>IF($K79="","",IF(INDEX('Prospect Tracker'!$H$5:$H$554,$K79)="","",INDEX('Prospect Tracker'!$H$5:$H$554,$K79)))</f>
        <v/>
      </c>
      <c r="H79" s="26">
        <f>IF($K79="","",IF(INDEX('Prospect Tracker'!$K$5:$K$554,$K79)="","",INDEX('Prospect Tracker'!$K$5:$K$554,$K79)))</f>
        <v/>
      </c>
      <c r="I79" s="25">
        <f>IF($K79="","",IF(INDEX('Prospect Tracker'!$T$5:$T$554,$K79)="","",INDEX('Prospect Tracker'!$T$5:$T$554,$K79)))</f>
        <v/>
      </c>
      <c r="J79" s="25">
        <f>IF($K79="","",IF(INDEX('Prospect Tracker'!$L$5:$L$554,$K79)="","",INDEX('Prospect Tracker'!$L$5:$L$554,$K79)))</f>
        <v/>
      </c>
      <c r="K79" s="19">
        <f>IFERROR(MATCH(SMALL('Prospect Tracker'!$X$5:$X$554,ROW()-4),'Prospect Tracker'!$X$5:$X$554,0),"")</f>
        <v/>
      </c>
    </row>
    <row r="80" ht="15" customHeight="1" s="20">
      <c r="A80" s="30">
        <f>IF($K80="","",IF(INDEX('Prospect Tracker'!$W$5:$W$554,$K80)="","",INDEX('Prospect Tracker'!$W$5:$W$554,$K80)))</f>
        <v/>
      </c>
      <c r="B80" s="30">
        <f>IF($K80="","",IF(INDEX('Prospect Tracker'!$A$5:$A$554,$K80)="","",INDEX('Prospect Tracker'!$A$5:$A$554,$K80)))</f>
        <v/>
      </c>
      <c r="C80" s="30">
        <f>IF($K80="","",IF(INDEX('Prospect Tracker'!$B$5:$B$554,$K80)="","",INDEX('Prospect Tracker'!$B$5:$B$554,$K80)))</f>
        <v/>
      </c>
      <c r="D80" s="30">
        <f>IF($K80="","",IF(INDEX('Prospect Tracker'!$M$5:$M$554,$K80)="","",INDEX('Prospect Tracker'!$M$5:$M$554,$K80)))</f>
        <v/>
      </c>
      <c r="E80" s="30">
        <f>IF($K80="","",IF(INDEX('Prospect Tracker'!$R$5:$R$554,$K80)="","",INDEX('Prospect Tracker'!$R$5:$R$554,$K80)))</f>
        <v/>
      </c>
      <c r="F80" s="30">
        <f>IF($K80="","",IF(INDEX('Prospect Tracker'!$J$5:$J$554,$K80)="","",INDEX('Prospect Tracker'!$J$5:$J$554,$K80)))</f>
        <v/>
      </c>
      <c r="G80" s="30">
        <f>IF($K80="","",IF(INDEX('Prospect Tracker'!$H$5:$H$554,$K80)="","",INDEX('Prospect Tracker'!$H$5:$H$554,$K80)))</f>
        <v/>
      </c>
      <c r="H80" s="31">
        <f>IF($K80="","",IF(INDEX('Prospect Tracker'!$K$5:$K$554,$K80)="","",INDEX('Prospect Tracker'!$K$5:$K$554,$K80)))</f>
        <v/>
      </c>
      <c r="I80" s="30">
        <f>IF($K80="","",IF(INDEX('Prospect Tracker'!$T$5:$T$554,$K80)="","",INDEX('Prospect Tracker'!$T$5:$T$554,$K80)))</f>
        <v/>
      </c>
      <c r="J80" s="30">
        <f>IF($K80="","",IF(INDEX('Prospect Tracker'!$L$5:$L$554,$K80)="","",INDEX('Prospect Tracker'!$L$5:$L$554,$K80)))</f>
        <v/>
      </c>
      <c r="K80" s="19">
        <f>IFERROR(MATCH(SMALL('Prospect Tracker'!$X$5:$X$554,ROW()-4),'Prospect Tracker'!$X$5:$X$554,0),"")</f>
        <v/>
      </c>
    </row>
    <row r="81" ht="15" customHeight="1" s="20">
      <c r="A81" s="25">
        <f>IF($K81="","",IF(INDEX('Prospect Tracker'!$W$5:$W$554,$K81)="","",INDEX('Prospect Tracker'!$W$5:$W$554,$K81)))</f>
        <v/>
      </c>
      <c r="B81" s="25">
        <f>IF($K81="","",IF(INDEX('Prospect Tracker'!$A$5:$A$554,$K81)="","",INDEX('Prospect Tracker'!$A$5:$A$554,$K81)))</f>
        <v/>
      </c>
      <c r="C81" s="25">
        <f>IF($K81="","",IF(INDEX('Prospect Tracker'!$B$5:$B$554,$K81)="","",INDEX('Prospect Tracker'!$B$5:$B$554,$K81)))</f>
        <v/>
      </c>
      <c r="D81" s="25">
        <f>IF($K81="","",IF(INDEX('Prospect Tracker'!$M$5:$M$554,$K81)="","",INDEX('Prospect Tracker'!$M$5:$M$554,$K81)))</f>
        <v/>
      </c>
      <c r="E81" s="25">
        <f>IF($K81="","",IF(INDEX('Prospect Tracker'!$R$5:$R$554,$K81)="","",INDEX('Prospect Tracker'!$R$5:$R$554,$K81)))</f>
        <v/>
      </c>
      <c r="F81" s="25">
        <f>IF($K81="","",IF(INDEX('Prospect Tracker'!$J$5:$J$554,$K81)="","",INDEX('Prospect Tracker'!$J$5:$J$554,$K81)))</f>
        <v/>
      </c>
      <c r="G81" s="25">
        <f>IF($K81="","",IF(INDEX('Prospect Tracker'!$H$5:$H$554,$K81)="","",INDEX('Prospect Tracker'!$H$5:$H$554,$K81)))</f>
        <v/>
      </c>
      <c r="H81" s="26">
        <f>IF($K81="","",IF(INDEX('Prospect Tracker'!$K$5:$K$554,$K81)="","",INDEX('Prospect Tracker'!$K$5:$K$554,$K81)))</f>
        <v/>
      </c>
      <c r="I81" s="25">
        <f>IF($K81="","",IF(INDEX('Prospect Tracker'!$T$5:$T$554,$K81)="","",INDEX('Prospect Tracker'!$T$5:$T$554,$K81)))</f>
        <v/>
      </c>
      <c r="J81" s="25">
        <f>IF($K81="","",IF(INDEX('Prospect Tracker'!$L$5:$L$554,$K81)="","",INDEX('Prospect Tracker'!$L$5:$L$554,$K81)))</f>
        <v/>
      </c>
      <c r="K81" s="19">
        <f>IFERROR(MATCH(SMALL('Prospect Tracker'!$X$5:$X$554,ROW()-4),'Prospect Tracker'!$X$5:$X$554,0),"")</f>
        <v/>
      </c>
    </row>
    <row r="82" ht="15" customHeight="1" s="20">
      <c r="A82" s="30">
        <f>IF($K82="","",IF(INDEX('Prospect Tracker'!$W$5:$W$554,$K82)="","",INDEX('Prospect Tracker'!$W$5:$W$554,$K82)))</f>
        <v/>
      </c>
      <c r="B82" s="30">
        <f>IF($K82="","",IF(INDEX('Prospect Tracker'!$A$5:$A$554,$K82)="","",INDEX('Prospect Tracker'!$A$5:$A$554,$K82)))</f>
        <v/>
      </c>
      <c r="C82" s="30">
        <f>IF($K82="","",IF(INDEX('Prospect Tracker'!$B$5:$B$554,$K82)="","",INDEX('Prospect Tracker'!$B$5:$B$554,$K82)))</f>
        <v/>
      </c>
      <c r="D82" s="30">
        <f>IF($K82="","",IF(INDEX('Prospect Tracker'!$M$5:$M$554,$K82)="","",INDEX('Prospect Tracker'!$M$5:$M$554,$K82)))</f>
        <v/>
      </c>
      <c r="E82" s="30">
        <f>IF($K82="","",IF(INDEX('Prospect Tracker'!$R$5:$R$554,$K82)="","",INDEX('Prospect Tracker'!$R$5:$R$554,$K82)))</f>
        <v/>
      </c>
      <c r="F82" s="30">
        <f>IF($K82="","",IF(INDEX('Prospect Tracker'!$J$5:$J$554,$K82)="","",INDEX('Prospect Tracker'!$J$5:$J$554,$K82)))</f>
        <v/>
      </c>
      <c r="G82" s="30">
        <f>IF($K82="","",IF(INDEX('Prospect Tracker'!$H$5:$H$554,$K82)="","",INDEX('Prospect Tracker'!$H$5:$H$554,$K82)))</f>
        <v/>
      </c>
      <c r="H82" s="31">
        <f>IF($K82="","",IF(INDEX('Prospect Tracker'!$K$5:$K$554,$K82)="","",INDEX('Prospect Tracker'!$K$5:$K$554,$K82)))</f>
        <v/>
      </c>
      <c r="I82" s="30">
        <f>IF($K82="","",IF(INDEX('Prospect Tracker'!$T$5:$T$554,$K82)="","",INDEX('Prospect Tracker'!$T$5:$T$554,$K82)))</f>
        <v/>
      </c>
      <c r="J82" s="30">
        <f>IF($K82="","",IF(INDEX('Prospect Tracker'!$L$5:$L$554,$K82)="","",INDEX('Prospect Tracker'!$L$5:$L$554,$K82)))</f>
        <v/>
      </c>
      <c r="K82" s="19">
        <f>IFERROR(MATCH(SMALL('Prospect Tracker'!$X$5:$X$554,ROW()-4),'Prospect Tracker'!$X$5:$X$554,0),"")</f>
        <v/>
      </c>
    </row>
    <row r="83" ht="15" customHeight="1" s="20">
      <c r="A83" s="25">
        <f>IF($K83="","",IF(INDEX('Prospect Tracker'!$W$5:$W$554,$K83)="","",INDEX('Prospect Tracker'!$W$5:$W$554,$K83)))</f>
        <v/>
      </c>
      <c r="B83" s="25">
        <f>IF($K83="","",IF(INDEX('Prospect Tracker'!$A$5:$A$554,$K83)="","",INDEX('Prospect Tracker'!$A$5:$A$554,$K83)))</f>
        <v/>
      </c>
      <c r="C83" s="25">
        <f>IF($K83="","",IF(INDEX('Prospect Tracker'!$B$5:$B$554,$K83)="","",INDEX('Prospect Tracker'!$B$5:$B$554,$K83)))</f>
        <v/>
      </c>
      <c r="D83" s="25">
        <f>IF($K83="","",IF(INDEX('Prospect Tracker'!$M$5:$M$554,$K83)="","",INDEX('Prospect Tracker'!$M$5:$M$554,$K83)))</f>
        <v/>
      </c>
      <c r="E83" s="25">
        <f>IF($K83="","",IF(INDEX('Prospect Tracker'!$R$5:$R$554,$K83)="","",INDEX('Prospect Tracker'!$R$5:$R$554,$K83)))</f>
        <v/>
      </c>
      <c r="F83" s="25">
        <f>IF($K83="","",IF(INDEX('Prospect Tracker'!$J$5:$J$554,$K83)="","",INDEX('Prospect Tracker'!$J$5:$J$554,$K83)))</f>
        <v/>
      </c>
      <c r="G83" s="25">
        <f>IF($K83="","",IF(INDEX('Prospect Tracker'!$H$5:$H$554,$K83)="","",INDEX('Prospect Tracker'!$H$5:$H$554,$K83)))</f>
        <v/>
      </c>
      <c r="H83" s="26">
        <f>IF($K83="","",IF(INDEX('Prospect Tracker'!$K$5:$K$554,$K83)="","",INDEX('Prospect Tracker'!$K$5:$K$554,$K83)))</f>
        <v/>
      </c>
      <c r="I83" s="25">
        <f>IF($K83="","",IF(INDEX('Prospect Tracker'!$T$5:$T$554,$K83)="","",INDEX('Prospect Tracker'!$T$5:$T$554,$K83)))</f>
        <v/>
      </c>
      <c r="J83" s="25">
        <f>IF($K83="","",IF(INDEX('Prospect Tracker'!$L$5:$L$554,$K83)="","",INDEX('Prospect Tracker'!$L$5:$L$554,$K83)))</f>
        <v/>
      </c>
      <c r="K83" s="19">
        <f>IFERROR(MATCH(SMALL('Prospect Tracker'!$X$5:$X$554,ROW()-4),'Prospect Tracker'!$X$5:$X$554,0),"")</f>
        <v/>
      </c>
    </row>
    <row r="84" ht="15" customHeight="1" s="20">
      <c r="A84" s="30">
        <f>IF($K84="","",IF(INDEX('Prospect Tracker'!$W$5:$W$554,$K84)="","",INDEX('Prospect Tracker'!$W$5:$W$554,$K84)))</f>
        <v/>
      </c>
      <c r="B84" s="30">
        <f>IF($K84="","",IF(INDEX('Prospect Tracker'!$A$5:$A$554,$K84)="","",INDEX('Prospect Tracker'!$A$5:$A$554,$K84)))</f>
        <v/>
      </c>
      <c r="C84" s="30">
        <f>IF($K84="","",IF(INDEX('Prospect Tracker'!$B$5:$B$554,$K84)="","",INDEX('Prospect Tracker'!$B$5:$B$554,$K84)))</f>
        <v/>
      </c>
      <c r="D84" s="30">
        <f>IF($K84="","",IF(INDEX('Prospect Tracker'!$M$5:$M$554,$K84)="","",INDEX('Prospect Tracker'!$M$5:$M$554,$K84)))</f>
        <v/>
      </c>
      <c r="E84" s="30">
        <f>IF($K84="","",IF(INDEX('Prospect Tracker'!$R$5:$R$554,$K84)="","",INDEX('Prospect Tracker'!$R$5:$R$554,$K84)))</f>
        <v/>
      </c>
      <c r="F84" s="30">
        <f>IF($K84="","",IF(INDEX('Prospect Tracker'!$J$5:$J$554,$K84)="","",INDEX('Prospect Tracker'!$J$5:$J$554,$K84)))</f>
        <v/>
      </c>
      <c r="G84" s="30">
        <f>IF($K84="","",IF(INDEX('Prospect Tracker'!$H$5:$H$554,$K84)="","",INDEX('Prospect Tracker'!$H$5:$H$554,$K84)))</f>
        <v/>
      </c>
      <c r="H84" s="31">
        <f>IF($K84="","",IF(INDEX('Prospect Tracker'!$K$5:$K$554,$K84)="","",INDEX('Prospect Tracker'!$K$5:$K$554,$K84)))</f>
        <v/>
      </c>
      <c r="I84" s="30">
        <f>IF($K84="","",IF(INDEX('Prospect Tracker'!$T$5:$T$554,$K84)="","",INDEX('Prospect Tracker'!$T$5:$T$554,$K84)))</f>
        <v/>
      </c>
      <c r="J84" s="30">
        <f>IF($K84="","",IF(INDEX('Prospect Tracker'!$L$5:$L$554,$K84)="","",INDEX('Prospect Tracker'!$L$5:$L$554,$K84)))</f>
        <v/>
      </c>
      <c r="K84" s="19">
        <f>IFERROR(MATCH(SMALL('Prospect Tracker'!$X$5:$X$554,ROW()-4),'Prospect Tracker'!$X$5:$X$554,0),"")</f>
        <v/>
      </c>
    </row>
    <row r="85" ht="15" customHeight="1" s="20">
      <c r="A85" s="25">
        <f>IF($K85="","",IF(INDEX('Prospect Tracker'!$W$5:$W$554,$K85)="","",INDEX('Prospect Tracker'!$W$5:$W$554,$K85)))</f>
        <v/>
      </c>
      <c r="B85" s="25">
        <f>IF($K85="","",IF(INDEX('Prospect Tracker'!$A$5:$A$554,$K85)="","",INDEX('Prospect Tracker'!$A$5:$A$554,$K85)))</f>
        <v/>
      </c>
      <c r="C85" s="25">
        <f>IF($K85="","",IF(INDEX('Prospect Tracker'!$B$5:$B$554,$K85)="","",INDEX('Prospect Tracker'!$B$5:$B$554,$K85)))</f>
        <v/>
      </c>
      <c r="D85" s="25">
        <f>IF($K85="","",IF(INDEX('Prospect Tracker'!$M$5:$M$554,$K85)="","",INDEX('Prospect Tracker'!$M$5:$M$554,$K85)))</f>
        <v/>
      </c>
      <c r="E85" s="25">
        <f>IF($K85="","",IF(INDEX('Prospect Tracker'!$R$5:$R$554,$K85)="","",INDEX('Prospect Tracker'!$R$5:$R$554,$K85)))</f>
        <v/>
      </c>
      <c r="F85" s="25">
        <f>IF($K85="","",IF(INDEX('Prospect Tracker'!$J$5:$J$554,$K85)="","",INDEX('Prospect Tracker'!$J$5:$J$554,$K85)))</f>
        <v/>
      </c>
      <c r="G85" s="25">
        <f>IF($K85="","",IF(INDEX('Prospect Tracker'!$H$5:$H$554,$K85)="","",INDEX('Prospect Tracker'!$H$5:$H$554,$K85)))</f>
        <v/>
      </c>
      <c r="H85" s="26">
        <f>IF($K85="","",IF(INDEX('Prospect Tracker'!$K$5:$K$554,$K85)="","",INDEX('Prospect Tracker'!$K$5:$K$554,$K85)))</f>
        <v/>
      </c>
      <c r="I85" s="25">
        <f>IF($K85="","",IF(INDEX('Prospect Tracker'!$T$5:$T$554,$K85)="","",INDEX('Prospect Tracker'!$T$5:$T$554,$K85)))</f>
        <v/>
      </c>
      <c r="J85" s="25">
        <f>IF($K85="","",IF(INDEX('Prospect Tracker'!$L$5:$L$554,$K85)="","",INDEX('Prospect Tracker'!$L$5:$L$554,$K85)))</f>
        <v/>
      </c>
      <c r="K85" s="19">
        <f>IFERROR(MATCH(SMALL('Prospect Tracker'!$X$5:$X$554,ROW()-4),'Prospect Tracker'!$X$5:$X$554,0),"")</f>
        <v/>
      </c>
    </row>
    <row r="86" ht="15" customHeight="1" s="20">
      <c r="A86" s="30">
        <f>IF($K86="","",IF(INDEX('Prospect Tracker'!$W$5:$W$554,$K86)="","",INDEX('Prospect Tracker'!$W$5:$W$554,$K86)))</f>
        <v/>
      </c>
      <c r="B86" s="30">
        <f>IF($K86="","",IF(INDEX('Prospect Tracker'!$A$5:$A$554,$K86)="","",INDEX('Prospect Tracker'!$A$5:$A$554,$K86)))</f>
        <v/>
      </c>
      <c r="C86" s="30">
        <f>IF($K86="","",IF(INDEX('Prospect Tracker'!$B$5:$B$554,$K86)="","",INDEX('Prospect Tracker'!$B$5:$B$554,$K86)))</f>
        <v/>
      </c>
      <c r="D86" s="30">
        <f>IF($K86="","",IF(INDEX('Prospect Tracker'!$M$5:$M$554,$K86)="","",INDEX('Prospect Tracker'!$M$5:$M$554,$K86)))</f>
        <v/>
      </c>
      <c r="E86" s="30">
        <f>IF($K86="","",IF(INDEX('Prospect Tracker'!$R$5:$R$554,$K86)="","",INDEX('Prospect Tracker'!$R$5:$R$554,$K86)))</f>
        <v/>
      </c>
      <c r="F86" s="30">
        <f>IF($K86="","",IF(INDEX('Prospect Tracker'!$J$5:$J$554,$K86)="","",INDEX('Prospect Tracker'!$J$5:$J$554,$K86)))</f>
        <v/>
      </c>
      <c r="G86" s="30">
        <f>IF($K86="","",IF(INDEX('Prospect Tracker'!$H$5:$H$554,$K86)="","",INDEX('Prospect Tracker'!$H$5:$H$554,$K86)))</f>
        <v/>
      </c>
      <c r="H86" s="31">
        <f>IF($K86="","",IF(INDEX('Prospect Tracker'!$K$5:$K$554,$K86)="","",INDEX('Prospect Tracker'!$K$5:$K$554,$K86)))</f>
        <v/>
      </c>
      <c r="I86" s="30">
        <f>IF($K86="","",IF(INDEX('Prospect Tracker'!$T$5:$T$554,$K86)="","",INDEX('Prospect Tracker'!$T$5:$T$554,$K86)))</f>
        <v/>
      </c>
      <c r="J86" s="30">
        <f>IF($K86="","",IF(INDEX('Prospect Tracker'!$L$5:$L$554,$K86)="","",INDEX('Prospect Tracker'!$L$5:$L$554,$K86)))</f>
        <v/>
      </c>
      <c r="K86" s="19">
        <f>IFERROR(MATCH(SMALL('Prospect Tracker'!$X$5:$X$554,ROW()-4),'Prospect Tracker'!$X$5:$X$554,0),"")</f>
        <v/>
      </c>
    </row>
    <row r="87" ht="15" customHeight="1" s="20">
      <c r="A87" s="25">
        <f>IF($K87="","",IF(INDEX('Prospect Tracker'!$W$5:$W$554,$K87)="","",INDEX('Prospect Tracker'!$W$5:$W$554,$K87)))</f>
        <v/>
      </c>
      <c r="B87" s="25">
        <f>IF($K87="","",IF(INDEX('Prospect Tracker'!$A$5:$A$554,$K87)="","",INDEX('Prospect Tracker'!$A$5:$A$554,$K87)))</f>
        <v/>
      </c>
      <c r="C87" s="25">
        <f>IF($K87="","",IF(INDEX('Prospect Tracker'!$B$5:$B$554,$K87)="","",INDEX('Prospect Tracker'!$B$5:$B$554,$K87)))</f>
        <v/>
      </c>
      <c r="D87" s="25">
        <f>IF($K87="","",IF(INDEX('Prospect Tracker'!$M$5:$M$554,$K87)="","",INDEX('Prospect Tracker'!$M$5:$M$554,$K87)))</f>
        <v/>
      </c>
      <c r="E87" s="25">
        <f>IF($K87="","",IF(INDEX('Prospect Tracker'!$R$5:$R$554,$K87)="","",INDEX('Prospect Tracker'!$R$5:$R$554,$K87)))</f>
        <v/>
      </c>
      <c r="F87" s="25">
        <f>IF($K87="","",IF(INDEX('Prospect Tracker'!$J$5:$J$554,$K87)="","",INDEX('Prospect Tracker'!$J$5:$J$554,$K87)))</f>
        <v/>
      </c>
      <c r="G87" s="25">
        <f>IF($K87="","",IF(INDEX('Prospect Tracker'!$H$5:$H$554,$K87)="","",INDEX('Prospect Tracker'!$H$5:$H$554,$K87)))</f>
        <v/>
      </c>
      <c r="H87" s="26">
        <f>IF($K87="","",IF(INDEX('Prospect Tracker'!$K$5:$K$554,$K87)="","",INDEX('Prospect Tracker'!$K$5:$K$554,$K87)))</f>
        <v/>
      </c>
      <c r="I87" s="25">
        <f>IF($K87="","",IF(INDEX('Prospect Tracker'!$T$5:$T$554,$K87)="","",INDEX('Prospect Tracker'!$T$5:$T$554,$K87)))</f>
        <v/>
      </c>
      <c r="J87" s="25">
        <f>IF($K87="","",IF(INDEX('Prospect Tracker'!$L$5:$L$554,$K87)="","",INDEX('Prospect Tracker'!$L$5:$L$554,$K87)))</f>
        <v/>
      </c>
      <c r="K87" s="19">
        <f>IFERROR(MATCH(SMALL('Prospect Tracker'!$X$5:$X$554,ROW()-4),'Prospect Tracker'!$X$5:$X$554,0),"")</f>
        <v/>
      </c>
    </row>
    <row r="88" ht="15" customHeight="1" s="20">
      <c r="A88" s="30">
        <f>IF($K88="","",IF(INDEX('Prospect Tracker'!$W$5:$W$554,$K88)="","",INDEX('Prospect Tracker'!$W$5:$W$554,$K88)))</f>
        <v/>
      </c>
      <c r="B88" s="30">
        <f>IF($K88="","",IF(INDEX('Prospect Tracker'!$A$5:$A$554,$K88)="","",INDEX('Prospect Tracker'!$A$5:$A$554,$K88)))</f>
        <v/>
      </c>
      <c r="C88" s="30">
        <f>IF($K88="","",IF(INDEX('Prospect Tracker'!$B$5:$B$554,$K88)="","",INDEX('Prospect Tracker'!$B$5:$B$554,$K88)))</f>
        <v/>
      </c>
      <c r="D88" s="30">
        <f>IF($K88="","",IF(INDEX('Prospect Tracker'!$M$5:$M$554,$K88)="","",INDEX('Prospect Tracker'!$M$5:$M$554,$K88)))</f>
        <v/>
      </c>
      <c r="E88" s="30">
        <f>IF($K88="","",IF(INDEX('Prospect Tracker'!$R$5:$R$554,$K88)="","",INDEX('Prospect Tracker'!$R$5:$R$554,$K88)))</f>
        <v/>
      </c>
      <c r="F88" s="30">
        <f>IF($K88="","",IF(INDEX('Prospect Tracker'!$J$5:$J$554,$K88)="","",INDEX('Prospect Tracker'!$J$5:$J$554,$K88)))</f>
        <v/>
      </c>
      <c r="G88" s="30">
        <f>IF($K88="","",IF(INDEX('Prospect Tracker'!$H$5:$H$554,$K88)="","",INDEX('Prospect Tracker'!$H$5:$H$554,$K88)))</f>
        <v/>
      </c>
      <c r="H88" s="31">
        <f>IF($K88="","",IF(INDEX('Prospect Tracker'!$K$5:$K$554,$K88)="","",INDEX('Prospect Tracker'!$K$5:$K$554,$K88)))</f>
        <v/>
      </c>
      <c r="I88" s="30">
        <f>IF($K88="","",IF(INDEX('Prospect Tracker'!$T$5:$T$554,$K88)="","",INDEX('Prospect Tracker'!$T$5:$T$554,$K88)))</f>
        <v/>
      </c>
      <c r="J88" s="30">
        <f>IF($K88="","",IF(INDEX('Prospect Tracker'!$L$5:$L$554,$K88)="","",INDEX('Prospect Tracker'!$L$5:$L$554,$K88)))</f>
        <v/>
      </c>
      <c r="K88" s="19">
        <f>IFERROR(MATCH(SMALL('Prospect Tracker'!$X$5:$X$554,ROW()-4),'Prospect Tracker'!$X$5:$X$554,0),"")</f>
        <v/>
      </c>
    </row>
    <row r="89" ht="15" customHeight="1" s="20">
      <c r="A89" s="25">
        <f>IF($K89="","",IF(INDEX('Prospect Tracker'!$W$5:$W$554,$K89)="","",INDEX('Prospect Tracker'!$W$5:$W$554,$K89)))</f>
        <v/>
      </c>
      <c r="B89" s="25">
        <f>IF($K89="","",IF(INDEX('Prospect Tracker'!$A$5:$A$554,$K89)="","",INDEX('Prospect Tracker'!$A$5:$A$554,$K89)))</f>
        <v/>
      </c>
      <c r="C89" s="25">
        <f>IF($K89="","",IF(INDEX('Prospect Tracker'!$B$5:$B$554,$K89)="","",INDEX('Prospect Tracker'!$B$5:$B$554,$K89)))</f>
        <v/>
      </c>
      <c r="D89" s="25">
        <f>IF($K89="","",IF(INDEX('Prospect Tracker'!$M$5:$M$554,$K89)="","",INDEX('Prospect Tracker'!$M$5:$M$554,$K89)))</f>
        <v/>
      </c>
      <c r="E89" s="25">
        <f>IF($K89="","",IF(INDEX('Prospect Tracker'!$R$5:$R$554,$K89)="","",INDEX('Prospect Tracker'!$R$5:$R$554,$K89)))</f>
        <v/>
      </c>
      <c r="F89" s="25">
        <f>IF($K89="","",IF(INDEX('Prospect Tracker'!$J$5:$J$554,$K89)="","",INDEX('Prospect Tracker'!$J$5:$J$554,$K89)))</f>
        <v/>
      </c>
      <c r="G89" s="25">
        <f>IF($K89="","",IF(INDEX('Prospect Tracker'!$H$5:$H$554,$K89)="","",INDEX('Prospect Tracker'!$H$5:$H$554,$K89)))</f>
        <v/>
      </c>
      <c r="H89" s="26">
        <f>IF($K89="","",IF(INDEX('Prospect Tracker'!$K$5:$K$554,$K89)="","",INDEX('Prospect Tracker'!$K$5:$K$554,$K89)))</f>
        <v/>
      </c>
      <c r="I89" s="25">
        <f>IF($K89="","",IF(INDEX('Prospect Tracker'!$T$5:$T$554,$K89)="","",INDEX('Prospect Tracker'!$T$5:$T$554,$K89)))</f>
        <v/>
      </c>
      <c r="J89" s="25">
        <f>IF($K89="","",IF(INDEX('Prospect Tracker'!$L$5:$L$554,$K89)="","",INDEX('Prospect Tracker'!$L$5:$L$554,$K89)))</f>
        <v/>
      </c>
      <c r="K89" s="19">
        <f>IFERROR(MATCH(SMALL('Prospect Tracker'!$X$5:$X$554,ROW()-4),'Prospect Tracker'!$X$5:$X$554,0),"")</f>
        <v/>
      </c>
    </row>
    <row r="90" ht="15" customHeight="1" s="20">
      <c r="A90" s="30">
        <f>IF($K90="","",IF(INDEX('Prospect Tracker'!$W$5:$W$554,$K90)="","",INDEX('Prospect Tracker'!$W$5:$W$554,$K90)))</f>
        <v/>
      </c>
      <c r="B90" s="30">
        <f>IF($K90="","",IF(INDEX('Prospect Tracker'!$A$5:$A$554,$K90)="","",INDEX('Prospect Tracker'!$A$5:$A$554,$K90)))</f>
        <v/>
      </c>
      <c r="C90" s="30">
        <f>IF($K90="","",IF(INDEX('Prospect Tracker'!$B$5:$B$554,$K90)="","",INDEX('Prospect Tracker'!$B$5:$B$554,$K90)))</f>
        <v/>
      </c>
      <c r="D90" s="30">
        <f>IF($K90="","",IF(INDEX('Prospect Tracker'!$M$5:$M$554,$K90)="","",INDEX('Prospect Tracker'!$M$5:$M$554,$K90)))</f>
        <v/>
      </c>
      <c r="E90" s="30">
        <f>IF($K90="","",IF(INDEX('Prospect Tracker'!$R$5:$R$554,$K90)="","",INDEX('Prospect Tracker'!$R$5:$R$554,$K90)))</f>
        <v/>
      </c>
      <c r="F90" s="30">
        <f>IF($K90="","",IF(INDEX('Prospect Tracker'!$J$5:$J$554,$K90)="","",INDEX('Prospect Tracker'!$J$5:$J$554,$K90)))</f>
        <v/>
      </c>
      <c r="G90" s="30">
        <f>IF($K90="","",IF(INDEX('Prospect Tracker'!$H$5:$H$554,$K90)="","",INDEX('Prospect Tracker'!$H$5:$H$554,$K90)))</f>
        <v/>
      </c>
      <c r="H90" s="31">
        <f>IF($K90="","",IF(INDEX('Prospect Tracker'!$K$5:$K$554,$K90)="","",INDEX('Prospect Tracker'!$K$5:$K$554,$K90)))</f>
        <v/>
      </c>
      <c r="I90" s="30">
        <f>IF($K90="","",IF(INDEX('Prospect Tracker'!$T$5:$T$554,$K90)="","",INDEX('Prospect Tracker'!$T$5:$T$554,$K90)))</f>
        <v/>
      </c>
      <c r="J90" s="30">
        <f>IF($K90="","",IF(INDEX('Prospect Tracker'!$L$5:$L$554,$K90)="","",INDEX('Prospect Tracker'!$L$5:$L$554,$K90)))</f>
        <v/>
      </c>
      <c r="K90" s="19">
        <f>IFERROR(MATCH(SMALL('Prospect Tracker'!$X$5:$X$554,ROW()-4),'Prospect Tracker'!$X$5:$X$554,0),"")</f>
        <v/>
      </c>
    </row>
    <row r="91" ht="15" customHeight="1" s="20">
      <c r="A91" s="25">
        <f>IF($K91="","",IF(INDEX('Prospect Tracker'!$W$5:$W$554,$K91)="","",INDEX('Prospect Tracker'!$W$5:$W$554,$K91)))</f>
        <v/>
      </c>
      <c r="B91" s="25">
        <f>IF($K91="","",IF(INDEX('Prospect Tracker'!$A$5:$A$554,$K91)="","",INDEX('Prospect Tracker'!$A$5:$A$554,$K91)))</f>
        <v/>
      </c>
      <c r="C91" s="25">
        <f>IF($K91="","",IF(INDEX('Prospect Tracker'!$B$5:$B$554,$K91)="","",INDEX('Prospect Tracker'!$B$5:$B$554,$K91)))</f>
        <v/>
      </c>
      <c r="D91" s="25">
        <f>IF($K91="","",IF(INDEX('Prospect Tracker'!$M$5:$M$554,$K91)="","",INDEX('Prospect Tracker'!$M$5:$M$554,$K91)))</f>
        <v/>
      </c>
      <c r="E91" s="25">
        <f>IF($K91="","",IF(INDEX('Prospect Tracker'!$R$5:$R$554,$K91)="","",INDEX('Prospect Tracker'!$R$5:$R$554,$K91)))</f>
        <v/>
      </c>
      <c r="F91" s="25">
        <f>IF($K91="","",IF(INDEX('Prospect Tracker'!$J$5:$J$554,$K91)="","",INDEX('Prospect Tracker'!$J$5:$J$554,$K91)))</f>
        <v/>
      </c>
      <c r="G91" s="25">
        <f>IF($K91="","",IF(INDEX('Prospect Tracker'!$H$5:$H$554,$K91)="","",INDEX('Prospect Tracker'!$H$5:$H$554,$K91)))</f>
        <v/>
      </c>
      <c r="H91" s="26">
        <f>IF($K91="","",IF(INDEX('Prospect Tracker'!$K$5:$K$554,$K91)="","",INDEX('Prospect Tracker'!$K$5:$K$554,$K91)))</f>
        <v/>
      </c>
      <c r="I91" s="25">
        <f>IF($K91="","",IF(INDEX('Prospect Tracker'!$T$5:$T$554,$K91)="","",INDEX('Prospect Tracker'!$T$5:$T$554,$K91)))</f>
        <v/>
      </c>
      <c r="J91" s="25">
        <f>IF($K91="","",IF(INDEX('Prospect Tracker'!$L$5:$L$554,$K91)="","",INDEX('Prospect Tracker'!$L$5:$L$554,$K91)))</f>
        <v/>
      </c>
      <c r="K91" s="19">
        <f>IFERROR(MATCH(SMALL('Prospect Tracker'!$X$5:$X$554,ROW()-4),'Prospect Tracker'!$X$5:$X$554,0),"")</f>
        <v/>
      </c>
    </row>
    <row r="92" ht="15" customHeight="1" s="20">
      <c r="A92" s="30">
        <f>IF($K92="","",IF(INDEX('Prospect Tracker'!$W$5:$W$554,$K92)="","",INDEX('Prospect Tracker'!$W$5:$W$554,$K92)))</f>
        <v/>
      </c>
      <c r="B92" s="30">
        <f>IF($K92="","",IF(INDEX('Prospect Tracker'!$A$5:$A$554,$K92)="","",INDEX('Prospect Tracker'!$A$5:$A$554,$K92)))</f>
        <v/>
      </c>
      <c r="C92" s="30">
        <f>IF($K92="","",IF(INDEX('Prospect Tracker'!$B$5:$B$554,$K92)="","",INDEX('Prospect Tracker'!$B$5:$B$554,$K92)))</f>
        <v/>
      </c>
      <c r="D92" s="30">
        <f>IF($K92="","",IF(INDEX('Prospect Tracker'!$M$5:$M$554,$K92)="","",INDEX('Prospect Tracker'!$M$5:$M$554,$K92)))</f>
        <v/>
      </c>
      <c r="E92" s="30">
        <f>IF($K92="","",IF(INDEX('Prospect Tracker'!$R$5:$R$554,$K92)="","",INDEX('Prospect Tracker'!$R$5:$R$554,$K92)))</f>
        <v/>
      </c>
      <c r="F92" s="30">
        <f>IF($K92="","",IF(INDEX('Prospect Tracker'!$J$5:$J$554,$K92)="","",INDEX('Prospect Tracker'!$J$5:$J$554,$K92)))</f>
        <v/>
      </c>
      <c r="G92" s="30">
        <f>IF($K92="","",IF(INDEX('Prospect Tracker'!$H$5:$H$554,$K92)="","",INDEX('Prospect Tracker'!$H$5:$H$554,$K92)))</f>
        <v/>
      </c>
      <c r="H92" s="31">
        <f>IF($K92="","",IF(INDEX('Prospect Tracker'!$K$5:$K$554,$K92)="","",INDEX('Prospect Tracker'!$K$5:$K$554,$K92)))</f>
        <v/>
      </c>
      <c r="I92" s="30">
        <f>IF($K92="","",IF(INDEX('Prospect Tracker'!$T$5:$T$554,$K92)="","",INDEX('Prospect Tracker'!$T$5:$T$554,$K92)))</f>
        <v/>
      </c>
      <c r="J92" s="30">
        <f>IF($K92="","",IF(INDEX('Prospect Tracker'!$L$5:$L$554,$K92)="","",INDEX('Prospect Tracker'!$L$5:$L$554,$K92)))</f>
        <v/>
      </c>
      <c r="K92" s="19">
        <f>IFERROR(MATCH(SMALL('Prospect Tracker'!$X$5:$X$554,ROW()-4),'Prospect Tracker'!$X$5:$X$554,0),"")</f>
        <v/>
      </c>
    </row>
    <row r="93" ht="15" customHeight="1" s="20">
      <c r="A93" s="25">
        <f>IF($K93="","",IF(INDEX('Prospect Tracker'!$W$5:$W$554,$K93)="","",INDEX('Prospect Tracker'!$W$5:$W$554,$K93)))</f>
        <v/>
      </c>
      <c r="B93" s="25">
        <f>IF($K93="","",IF(INDEX('Prospect Tracker'!$A$5:$A$554,$K93)="","",INDEX('Prospect Tracker'!$A$5:$A$554,$K93)))</f>
        <v/>
      </c>
      <c r="C93" s="25">
        <f>IF($K93="","",IF(INDEX('Prospect Tracker'!$B$5:$B$554,$K93)="","",INDEX('Prospect Tracker'!$B$5:$B$554,$K93)))</f>
        <v/>
      </c>
      <c r="D93" s="25">
        <f>IF($K93="","",IF(INDEX('Prospect Tracker'!$M$5:$M$554,$K93)="","",INDEX('Prospect Tracker'!$M$5:$M$554,$K93)))</f>
        <v/>
      </c>
      <c r="E93" s="25">
        <f>IF($K93="","",IF(INDEX('Prospect Tracker'!$R$5:$R$554,$K93)="","",INDEX('Prospect Tracker'!$R$5:$R$554,$K93)))</f>
        <v/>
      </c>
      <c r="F93" s="25">
        <f>IF($K93="","",IF(INDEX('Prospect Tracker'!$J$5:$J$554,$K93)="","",INDEX('Prospect Tracker'!$J$5:$J$554,$K93)))</f>
        <v/>
      </c>
      <c r="G93" s="25">
        <f>IF($K93="","",IF(INDEX('Prospect Tracker'!$H$5:$H$554,$K93)="","",INDEX('Prospect Tracker'!$H$5:$H$554,$K93)))</f>
        <v/>
      </c>
      <c r="H93" s="26">
        <f>IF($K93="","",IF(INDEX('Prospect Tracker'!$K$5:$K$554,$K93)="","",INDEX('Prospect Tracker'!$K$5:$K$554,$K93)))</f>
        <v/>
      </c>
      <c r="I93" s="25">
        <f>IF($K93="","",IF(INDEX('Prospect Tracker'!$T$5:$T$554,$K93)="","",INDEX('Prospect Tracker'!$T$5:$T$554,$K93)))</f>
        <v/>
      </c>
      <c r="J93" s="25">
        <f>IF($K93="","",IF(INDEX('Prospect Tracker'!$L$5:$L$554,$K93)="","",INDEX('Prospect Tracker'!$L$5:$L$554,$K93)))</f>
        <v/>
      </c>
      <c r="K93" s="19">
        <f>IFERROR(MATCH(SMALL('Prospect Tracker'!$X$5:$X$554,ROW()-4),'Prospect Tracker'!$X$5:$X$554,0),"")</f>
        <v/>
      </c>
    </row>
    <row r="94" ht="15" customHeight="1" s="20">
      <c r="A94" s="30">
        <f>IF($K94="","",IF(INDEX('Prospect Tracker'!$W$5:$W$554,$K94)="","",INDEX('Prospect Tracker'!$W$5:$W$554,$K94)))</f>
        <v/>
      </c>
      <c r="B94" s="30">
        <f>IF($K94="","",IF(INDEX('Prospect Tracker'!$A$5:$A$554,$K94)="","",INDEX('Prospect Tracker'!$A$5:$A$554,$K94)))</f>
        <v/>
      </c>
      <c r="C94" s="30">
        <f>IF($K94="","",IF(INDEX('Prospect Tracker'!$B$5:$B$554,$K94)="","",INDEX('Prospect Tracker'!$B$5:$B$554,$K94)))</f>
        <v/>
      </c>
      <c r="D94" s="30">
        <f>IF($K94="","",IF(INDEX('Prospect Tracker'!$M$5:$M$554,$K94)="","",INDEX('Prospect Tracker'!$M$5:$M$554,$K94)))</f>
        <v/>
      </c>
      <c r="E94" s="30">
        <f>IF($K94="","",IF(INDEX('Prospect Tracker'!$R$5:$R$554,$K94)="","",INDEX('Prospect Tracker'!$R$5:$R$554,$K94)))</f>
        <v/>
      </c>
      <c r="F94" s="30">
        <f>IF($K94="","",IF(INDEX('Prospect Tracker'!$J$5:$J$554,$K94)="","",INDEX('Prospect Tracker'!$J$5:$J$554,$K94)))</f>
        <v/>
      </c>
      <c r="G94" s="30">
        <f>IF($K94="","",IF(INDEX('Prospect Tracker'!$H$5:$H$554,$K94)="","",INDEX('Prospect Tracker'!$H$5:$H$554,$K94)))</f>
        <v/>
      </c>
      <c r="H94" s="31">
        <f>IF($K94="","",IF(INDEX('Prospect Tracker'!$K$5:$K$554,$K94)="","",INDEX('Prospect Tracker'!$K$5:$K$554,$K94)))</f>
        <v/>
      </c>
      <c r="I94" s="30">
        <f>IF($K94="","",IF(INDEX('Prospect Tracker'!$T$5:$T$554,$K94)="","",INDEX('Prospect Tracker'!$T$5:$T$554,$K94)))</f>
        <v/>
      </c>
      <c r="J94" s="30">
        <f>IF($K94="","",IF(INDEX('Prospect Tracker'!$L$5:$L$554,$K94)="","",INDEX('Prospect Tracker'!$L$5:$L$554,$K94)))</f>
        <v/>
      </c>
      <c r="K94" s="19">
        <f>IFERROR(MATCH(SMALL('Prospect Tracker'!$X$5:$X$554,ROW()-4),'Prospect Tracker'!$X$5:$X$554,0),"")</f>
        <v/>
      </c>
    </row>
    <row r="95" ht="15" customHeight="1" s="20">
      <c r="A95" s="25">
        <f>IF($K95="","",IF(INDEX('Prospect Tracker'!$W$5:$W$554,$K95)="","",INDEX('Prospect Tracker'!$W$5:$W$554,$K95)))</f>
        <v/>
      </c>
      <c r="B95" s="25">
        <f>IF($K95="","",IF(INDEX('Prospect Tracker'!$A$5:$A$554,$K95)="","",INDEX('Prospect Tracker'!$A$5:$A$554,$K95)))</f>
        <v/>
      </c>
      <c r="C95" s="25">
        <f>IF($K95="","",IF(INDEX('Prospect Tracker'!$B$5:$B$554,$K95)="","",INDEX('Prospect Tracker'!$B$5:$B$554,$K95)))</f>
        <v/>
      </c>
      <c r="D95" s="25">
        <f>IF($K95="","",IF(INDEX('Prospect Tracker'!$M$5:$M$554,$K95)="","",INDEX('Prospect Tracker'!$M$5:$M$554,$K95)))</f>
        <v/>
      </c>
      <c r="E95" s="25">
        <f>IF($K95="","",IF(INDEX('Prospect Tracker'!$R$5:$R$554,$K95)="","",INDEX('Prospect Tracker'!$R$5:$R$554,$K95)))</f>
        <v/>
      </c>
      <c r="F95" s="25">
        <f>IF($K95="","",IF(INDEX('Prospect Tracker'!$J$5:$J$554,$K95)="","",INDEX('Prospect Tracker'!$J$5:$J$554,$K95)))</f>
        <v/>
      </c>
      <c r="G95" s="25">
        <f>IF($K95="","",IF(INDEX('Prospect Tracker'!$H$5:$H$554,$K95)="","",INDEX('Prospect Tracker'!$H$5:$H$554,$K95)))</f>
        <v/>
      </c>
      <c r="H95" s="26">
        <f>IF($K95="","",IF(INDEX('Prospect Tracker'!$K$5:$K$554,$K95)="","",INDEX('Prospect Tracker'!$K$5:$K$554,$K95)))</f>
        <v/>
      </c>
      <c r="I95" s="25">
        <f>IF($K95="","",IF(INDEX('Prospect Tracker'!$T$5:$T$554,$K95)="","",INDEX('Prospect Tracker'!$T$5:$T$554,$K95)))</f>
        <v/>
      </c>
      <c r="J95" s="25">
        <f>IF($K95="","",IF(INDEX('Prospect Tracker'!$L$5:$L$554,$K95)="","",INDEX('Prospect Tracker'!$L$5:$L$554,$K95)))</f>
        <v/>
      </c>
      <c r="K95" s="19">
        <f>IFERROR(MATCH(SMALL('Prospect Tracker'!$X$5:$X$554,ROW()-4),'Prospect Tracker'!$X$5:$X$554,0),"")</f>
        <v/>
      </c>
    </row>
    <row r="96" ht="15" customHeight="1" s="20">
      <c r="A96" s="30">
        <f>IF($K96="","",IF(INDEX('Prospect Tracker'!$W$5:$W$554,$K96)="","",INDEX('Prospect Tracker'!$W$5:$W$554,$K96)))</f>
        <v/>
      </c>
      <c r="B96" s="30">
        <f>IF($K96="","",IF(INDEX('Prospect Tracker'!$A$5:$A$554,$K96)="","",INDEX('Prospect Tracker'!$A$5:$A$554,$K96)))</f>
        <v/>
      </c>
      <c r="C96" s="30">
        <f>IF($K96="","",IF(INDEX('Prospect Tracker'!$B$5:$B$554,$K96)="","",INDEX('Prospect Tracker'!$B$5:$B$554,$K96)))</f>
        <v/>
      </c>
      <c r="D96" s="30">
        <f>IF($K96="","",IF(INDEX('Prospect Tracker'!$M$5:$M$554,$K96)="","",INDEX('Prospect Tracker'!$M$5:$M$554,$K96)))</f>
        <v/>
      </c>
      <c r="E96" s="30">
        <f>IF($K96="","",IF(INDEX('Prospect Tracker'!$R$5:$R$554,$K96)="","",INDEX('Prospect Tracker'!$R$5:$R$554,$K96)))</f>
        <v/>
      </c>
      <c r="F96" s="30">
        <f>IF($K96="","",IF(INDEX('Prospect Tracker'!$J$5:$J$554,$K96)="","",INDEX('Prospect Tracker'!$J$5:$J$554,$K96)))</f>
        <v/>
      </c>
      <c r="G96" s="30">
        <f>IF($K96="","",IF(INDEX('Prospect Tracker'!$H$5:$H$554,$K96)="","",INDEX('Prospect Tracker'!$H$5:$H$554,$K96)))</f>
        <v/>
      </c>
      <c r="H96" s="31">
        <f>IF($K96="","",IF(INDEX('Prospect Tracker'!$K$5:$K$554,$K96)="","",INDEX('Prospect Tracker'!$K$5:$K$554,$K96)))</f>
        <v/>
      </c>
      <c r="I96" s="30">
        <f>IF($K96="","",IF(INDEX('Prospect Tracker'!$T$5:$T$554,$K96)="","",INDEX('Prospect Tracker'!$T$5:$T$554,$K96)))</f>
        <v/>
      </c>
      <c r="J96" s="30">
        <f>IF($K96="","",IF(INDEX('Prospect Tracker'!$L$5:$L$554,$K96)="","",INDEX('Prospect Tracker'!$L$5:$L$554,$K96)))</f>
        <v/>
      </c>
      <c r="K96" s="19">
        <f>IFERROR(MATCH(SMALL('Prospect Tracker'!$X$5:$X$554,ROW()-4),'Prospect Tracker'!$X$5:$X$554,0),"")</f>
        <v/>
      </c>
    </row>
    <row r="97" ht="15" customHeight="1" s="20">
      <c r="A97" s="25">
        <f>IF($K97="","",IF(INDEX('Prospect Tracker'!$W$5:$W$554,$K97)="","",INDEX('Prospect Tracker'!$W$5:$W$554,$K97)))</f>
        <v/>
      </c>
      <c r="B97" s="25">
        <f>IF($K97="","",IF(INDEX('Prospect Tracker'!$A$5:$A$554,$K97)="","",INDEX('Prospect Tracker'!$A$5:$A$554,$K97)))</f>
        <v/>
      </c>
      <c r="C97" s="25">
        <f>IF($K97="","",IF(INDEX('Prospect Tracker'!$B$5:$B$554,$K97)="","",INDEX('Prospect Tracker'!$B$5:$B$554,$K97)))</f>
        <v/>
      </c>
      <c r="D97" s="25">
        <f>IF($K97="","",IF(INDEX('Prospect Tracker'!$M$5:$M$554,$K97)="","",INDEX('Prospect Tracker'!$M$5:$M$554,$K97)))</f>
        <v/>
      </c>
      <c r="E97" s="25">
        <f>IF($K97="","",IF(INDEX('Prospect Tracker'!$R$5:$R$554,$K97)="","",INDEX('Prospect Tracker'!$R$5:$R$554,$K97)))</f>
        <v/>
      </c>
      <c r="F97" s="25">
        <f>IF($K97="","",IF(INDEX('Prospect Tracker'!$J$5:$J$554,$K97)="","",INDEX('Prospect Tracker'!$J$5:$J$554,$K97)))</f>
        <v/>
      </c>
      <c r="G97" s="25">
        <f>IF($K97="","",IF(INDEX('Prospect Tracker'!$H$5:$H$554,$K97)="","",INDEX('Prospect Tracker'!$H$5:$H$554,$K97)))</f>
        <v/>
      </c>
      <c r="H97" s="26">
        <f>IF($K97="","",IF(INDEX('Prospect Tracker'!$K$5:$K$554,$K97)="","",INDEX('Prospect Tracker'!$K$5:$K$554,$K97)))</f>
        <v/>
      </c>
      <c r="I97" s="25">
        <f>IF($K97="","",IF(INDEX('Prospect Tracker'!$T$5:$T$554,$K97)="","",INDEX('Prospect Tracker'!$T$5:$T$554,$K97)))</f>
        <v/>
      </c>
      <c r="J97" s="25">
        <f>IF($K97="","",IF(INDEX('Prospect Tracker'!$L$5:$L$554,$K97)="","",INDEX('Prospect Tracker'!$L$5:$L$554,$K97)))</f>
        <v/>
      </c>
      <c r="K97" s="19">
        <f>IFERROR(MATCH(SMALL('Prospect Tracker'!$X$5:$X$554,ROW()-4),'Prospect Tracker'!$X$5:$X$554,0),"")</f>
        <v/>
      </c>
    </row>
    <row r="98" ht="15" customHeight="1" s="20">
      <c r="A98" s="30">
        <f>IF($K98="","",IF(INDEX('Prospect Tracker'!$W$5:$W$554,$K98)="","",INDEX('Prospect Tracker'!$W$5:$W$554,$K98)))</f>
        <v/>
      </c>
      <c r="B98" s="30">
        <f>IF($K98="","",IF(INDEX('Prospect Tracker'!$A$5:$A$554,$K98)="","",INDEX('Prospect Tracker'!$A$5:$A$554,$K98)))</f>
        <v/>
      </c>
      <c r="C98" s="30">
        <f>IF($K98="","",IF(INDEX('Prospect Tracker'!$B$5:$B$554,$K98)="","",INDEX('Prospect Tracker'!$B$5:$B$554,$K98)))</f>
        <v/>
      </c>
      <c r="D98" s="30">
        <f>IF($K98="","",IF(INDEX('Prospect Tracker'!$M$5:$M$554,$K98)="","",INDEX('Prospect Tracker'!$M$5:$M$554,$K98)))</f>
        <v/>
      </c>
      <c r="E98" s="30">
        <f>IF($K98="","",IF(INDEX('Prospect Tracker'!$R$5:$R$554,$K98)="","",INDEX('Prospect Tracker'!$R$5:$R$554,$K98)))</f>
        <v/>
      </c>
      <c r="F98" s="30">
        <f>IF($K98="","",IF(INDEX('Prospect Tracker'!$J$5:$J$554,$K98)="","",INDEX('Prospect Tracker'!$J$5:$J$554,$K98)))</f>
        <v/>
      </c>
      <c r="G98" s="30">
        <f>IF($K98="","",IF(INDEX('Prospect Tracker'!$H$5:$H$554,$K98)="","",INDEX('Prospect Tracker'!$H$5:$H$554,$K98)))</f>
        <v/>
      </c>
      <c r="H98" s="31">
        <f>IF($K98="","",IF(INDEX('Prospect Tracker'!$K$5:$K$554,$K98)="","",INDEX('Prospect Tracker'!$K$5:$K$554,$K98)))</f>
        <v/>
      </c>
      <c r="I98" s="30">
        <f>IF($K98="","",IF(INDEX('Prospect Tracker'!$T$5:$T$554,$K98)="","",INDEX('Prospect Tracker'!$T$5:$T$554,$K98)))</f>
        <v/>
      </c>
      <c r="J98" s="30">
        <f>IF($K98="","",IF(INDEX('Prospect Tracker'!$L$5:$L$554,$K98)="","",INDEX('Prospect Tracker'!$L$5:$L$554,$K98)))</f>
        <v/>
      </c>
      <c r="K98" s="19">
        <f>IFERROR(MATCH(SMALL('Prospect Tracker'!$X$5:$X$554,ROW()-4),'Prospect Tracker'!$X$5:$X$554,0),"")</f>
        <v/>
      </c>
    </row>
    <row r="99" ht="15" customHeight="1" s="20">
      <c r="A99" s="25">
        <f>IF($K99="","",IF(INDEX('Prospect Tracker'!$W$5:$W$554,$K99)="","",INDEX('Prospect Tracker'!$W$5:$W$554,$K99)))</f>
        <v/>
      </c>
      <c r="B99" s="25">
        <f>IF($K99="","",IF(INDEX('Prospect Tracker'!$A$5:$A$554,$K99)="","",INDEX('Prospect Tracker'!$A$5:$A$554,$K99)))</f>
        <v/>
      </c>
      <c r="C99" s="25">
        <f>IF($K99="","",IF(INDEX('Prospect Tracker'!$B$5:$B$554,$K99)="","",INDEX('Prospect Tracker'!$B$5:$B$554,$K99)))</f>
        <v/>
      </c>
      <c r="D99" s="25">
        <f>IF($K99="","",IF(INDEX('Prospect Tracker'!$M$5:$M$554,$K99)="","",INDEX('Prospect Tracker'!$M$5:$M$554,$K99)))</f>
        <v/>
      </c>
      <c r="E99" s="25">
        <f>IF($K99="","",IF(INDEX('Prospect Tracker'!$R$5:$R$554,$K99)="","",INDEX('Prospect Tracker'!$R$5:$R$554,$K99)))</f>
        <v/>
      </c>
      <c r="F99" s="25">
        <f>IF($K99="","",IF(INDEX('Prospect Tracker'!$J$5:$J$554,$K99)="","",INDEX('Prospect Tracker'!$J$5:$J$554,$K99)))</f>
        <v/>
      </c>
      <c r="G99" s="25">
        <f>IF($K99="","",IF(INDEX('Prospect Tracker'!$H$5:$H$554,$K99)="","",INDEX('Prospect Tracker'!$H$5:$H$554,$K99)))</f>
        <v/>
      </c>
      <c r="H99" s="26">
        <f>IF($K99="","",IF(INDEX('Prospect Tracker'!$K$5:$K$554,$K99)="","",INDEX('Prospect Tracker'!$K$5:$K$554,$K99)))</f>
        <v/>
      </c>
      <c r="I99" s="25">
        <f>IF($K99="","",IF(INDEX('Prospect Tracker'!$T$5:$T$554,$K99)="","",INDEX('Prospect Tracker'!$T$5:$T$554,$K99)))</f>
        <v/>
      </c>
      <c r="J99" s="25">
        <f>IF($K99="","",IF(INDEX('Prospect Tracker'!$L$5:$L$554,$K99)="","",INDEX('Prospect Tracker'!$L$5:$L$554,$K99)))</f>
        <v/>
      </c>
      <c r="K99" s="19">
        <f>IFERROR(MATCH(SMALL('Prospect Tracker'!$X$5:$X$554,ROW()-4),'Prospect Tracker'!$X$5:$X$554,0),"")</f>
        <v/>
      </c>
    </row>
    <row r="100" ht="15" customHeight="1" s="20">
      <c r="A100" s="30">
        <f>IF($K100="","",IF(INDEX('Prospect Tracker'!$W$5:$W$554,$K100)="","",INDEX('Prospect Tracker'!$W$5:$W$554,$K100)))</f>
        <v/>
      </c>
      <c r="B100" s="30">
        <f>IF($K100="","",IF(INDEX('Prospect Tracker'!$A$5:$A$554,$K100)="","",INDEX('Prospect Tracker'!$A$5:$A$554,$K100)))</f>
        <v/>
      </c>
      <c r="C100" s="30">
        <f>IF($K100="","",IF(INDEX('Prospect Tracker'!$B$5:$B$554,$K100)="","",INDEX('Prospect Tracker'!$B$5:$B$554,$K100)))</f>
        <v/>
      </c>
      <c r="D100" s="30">
        <f>IF($K100="","",IF(INDEX('Prospect Tracker'!$M$5:$M$554,$K100)="","",INDEX('Prospect Tracker'!$M$5:$M$554,$K100)))</f>
        <v/>
      </c>
      <c r="E100" s="30">
        <f>IF($K100="","",IF(INDEX('Prospect Tracker'!$R$5:$R$554,$K100)="","",INDEX('Prospect Tracker'!$R$5:$R$554,$K100)))</f>
        <v/>
      </c>
      <c r="F100" s="30">
        <f>IF($K100="","",IF(INDEX('Prospect Tracker'!$J$5:$J$554,$K100)="","",INDEX('Prospect Tracker'!$J$5:$J$554,$K100)))</f>
        <v/>
      </c>
      <c r="G100" s="30">
        <f>IF($K100="","",IF(INDEX('Prospect Tracker'!$H$5:$H$554,$K100)="","",INDEX('Prospect Tracker'!$H$5:$H$554,$K100)))</f>
        <v/>
      </c>
      <c r="H100" s="31">
        <f>IF($K100="","",IF(INDEX('Prospect Tracker'!$K$5:$K$554,$K100)="","",INDEX('Prospect Tracker'!$K$5:$K$554,$K100)))</f>
        <v/>
      </c>
      <c r="I100" s="30">
        <f>IF($K100="","",IF(INDEX('Prospect Tracker'!$T$5:$T$554,$K100)="","",INDEX('Prospect Tracker'!$T$5:$T$554,$K100)))</f>
        <v/>
      </c>
      <c r="J100" s="30">
        <f>IF($K100="","",IF(INDEX('Prospect Tracker'!$L$5:$L$554,$K100)="","",INDEX('Prospect Tracker'!$L$5:$L$554,$K100)))</f>
        <v/>
      </c>
      <c r="K100" s="19">
        <f>IFERROR(MATCH(SMALL('Prospect Tracker'!$X$5:$X$554,ROW()-4),'Prospect Tracker'!$X$5:$X$554,0),"")</f>
        <v/>
      </c>
    </row>
    <row r="101" ht="15" customHeight="1" s="20">
      <c r="A101" s="25">
        <f>IF($K101="","",IF(INDEX('Prospect Tracker'!$W$5:$W$554,$K101)="","",INDEX('Prospect Tracker'!$W$5:$W$554,$K101)))</f>
        <v/>
      </c>
      <c r="B101" s="25">
        <f>IF($K101="","",IF(INDEX('Prospect Tracker'!$A$5:$A$554,$K101)="","",INDEX('Prospect Tracker'!$A$5:$A$554,$K101)))</f>
        <v/>
      </c>
      <c r="C101" s="25">
        <f>IF($K101="","",IF(INDEX('Prospect Tracker'!$B$5:$B$554,$K101)="","",INDEX('Prospect Tracker'!$B$5:$B$554,$K101)))</f>
        <v/>
      </c>
      <c r="D101" s="25">
        <f>IF($K101="","",IF(INDEX('Prospect Tracker'!$M$5:$M$554,$K101)="","",INDEX('Prospect Tracker'!$M$5:$M$554,$K101)))</f>
        <v/>
      </c>
      <c r="E101" s="25">
        <f>IF($K101="","",IF(INDEX('Prospect Tracker'!$R$5:$R$554,$K101)="","",INDEX('Prospect Tracker'!$R$5:$R$554,$K101)))</f>
        <v/>
      </c>
      <c r="F101" s="25">
        <f>IF($K101="","",IF(INDEX('Prospect Tracker'!$J$5:$J$554,$K101)="","",INDEX('Prospect Tracker'!$J$5:$J$554,$K101)))</f>
        <v/>
      </c>
      <c r="G101" s="25">
        <f>IF($K101="","",IF(INDEX('Prospect Tracker'!$H$5:$H$554,$K101)="","",INDEX('Prospect Tracker'!$H$5:$H$554,$K101)))</f>
        <v/>
      </c>
      <c r="H101" s="26">
        <f>IF($K101="","",IF(INDEX('Prospect Tracker'!$K$5:$K$554,$K101)="","",INDEX('Prospect Tracker'!$K$5:$K$554,$K101)))</f>
        <v/>
      </c>
      <c r="I101" s="25">
        <f>IF($K101="","",IF(INDEX('Prospect Tracker'!$T$5:$T$554,$K101)="","",INDEX('Prospect Tracker'!$T$5:$T$554,$K101)))</f>
        <v/>
      </c>
      <c r="J101" s="25">
        <f>IF($K101="","",IF(INDEX('Prospect Tracker'!$L$5:$L$554,$K101)="","",INDEX('Prospect Tracker'!$L$5:$L$554,$K101)))</f>
        <v/>
      </c>
      <c r="K101" s="19">
        <f>IFERROR(MATCH(SMALL('Prospect Tracker'!$X$5:$X$554,ROW()-4),'Prospect Tracker'!$X$5:$X$554,0),"")</f>
        <v/>
      </c>
    </row>
    <row r="102" ht="15" customHeight="1" s="20">
      <c r="A102" s="30">
        <f>IF($K102="","",IF(INDEX('Prospect Tracker'!$W$5:$W$554,$K102)="","",INDEX('Prospect Tracker'!$W$5:$W$554,$K102)))</f>
        <v/>
      </c>
      <c r="B102" s="30">
        <f>IF($K102="","",IF(INDEX('Prospect Tracker'!$A$5:$A$554,$K102)="","",INDEX('Prospect Tracker'!$A$5:$A$554,$K102)))</f>
        <v/>
      </c>
      <c r="C102" s="30">
        <f>IF($K102="","",IF(INDEX('Prospect Tracker'!$B$5:$B$554,$K102)="","",INDEX('Prospect Tracker'!$B$5:$B$554,$K102)))</f>
        <v/>
      </c>
      <c r="D102" s="30">
        <f>IF($K102="","",IF(INDEX('Prospect Tracker'!$M$5:$M$554,$K102)="","",INDEX('Prospect Tracker'!$M$5:$M$554,$K102)))</f>
        <v/>
      </c>
      <c r="E102" s="30">
        <f>IF($K102="","",IF(INDEX('Prospect Tracker'!$R$5:$R$554,$K102)="","",INDEX('Prospect Tracker'!$R$5:$R$554,$K102)))</f>
        <v/>
      </c>
      <c r="F102" s="30">
        <f>IF($K102="","",IF(INDEX('Prospect Tracker'!$J$5:$J$554,$K102)="","",INDEX('Prospect Tracker'!$J$5:$J$554,$K102)))</f>
        <v/>
      </c>
      <c r="G102" s="30">
        <f>IF($K102="","",IF(INDEX('Prospect Tracker'!$H$5:$H$554,$K102)="","",INDEX('Prospect Tracker'!$H$5:$H$554,$K102)))</f>
        <v/>
      </c>
      <c r="H102" s="31">
        <f>IF($K102="","",IF(INDEX('Prospect Tracker'!$K$5:$K$554,$K102)="","",INDEX('Prospect Tracker'!$K$5:$K$554,$K102)))</f>
        <v/>
      </c>
      <c r="I102" s="30">
        <f>IF($K102="","",IF(INDEX('Prospect Tracker'!$T$5:$T$554,$K102)="","",INDEX('Prospect Tracker'!$T$5:$T$554,$K102)))</f>
        <v/>
      </c>
      <c r="J102" s="30">
        <f>IF($K102="","",IF(INDEX('Prospect Tracker'!$L$5:$L$554,$K102)="","",INDEX('Prospect Tracker'!$L$5:$L$554,$K102)))</f>
        <v/>
      </c>
      <c r="K102" s="19">
        <f>IFERROR(MATCH(SMALL('Prospect Tracker'!$X$5:$X$554,ROW()-4),'Prospect Tracker'!$X$5:$X$554,0),"")</f>
        <v/>
      </c>
    </row>
    <row r="103" ht="15" customHeight="1" s="20">
      <c r="A103" s="25">
        <f>IF($K103="","",IF(INDEX('Prospect Tracker'!$W$5:$W$554,$K103)="","",INDEX('Prospect Tracker'!$W$5:$W$554,$K103)))</f>
        <v/>
      </c>
      <c r="B103" s="25">
        <f>IF($K103="","",IF(INDEX('Prospect Tracker'!$A$5:$A$554,$K103)="","",INDEX('Prospect Tracker'!$A$5:$A$554,$K103)))</f>
        <v/>
      </c>
      <c r="C103" s="25">
        <f>IF($K103="","",IF(INDEX('Prospect Tracker'!$B$5:$B$554,$K103)="","",INDEX('Prospect Tracker'!$B$5:$B$554,$K103)))</f>
        <v/>
      </c>
      <c r="D103" s="25">
        <f>IF($K103="","",IF(INDEX('Prospect Tracker'!$M$5:$M$554,$K103)="","",INDEX('Prospect Tracker'!$M$5:$M$554,$K103)))</f>
        <v/>
      </c>
      <c r="E103" s="25">
        <f>IF($K103="","",IF(INDEX('Prospect Tracker'!$R$5:$R$554,$K103)="","",INDEX('Prospect Tracker'!$R$5:$R$554,$K103)))</f>
        <v/>
      </c>
      <c r="F103" s="25">
        <f>IF($K103="","",IF(INDEX('Prospect Tracker'!$J$5:$J$554,$K103)="","",INDEX('Prospect Tracker'!$J$5:$J$554,$K103)))</f>
        <v/>
      </c>
      <c r="G103" s="25">
        <f>IF($K103="","",IF(INDEX('Prospect Tracker'!$H$5:$H$554,$K103)="","",INDEX('Prospect Tracker'!$H$5:$H$554,$K103)))</f>
        <v/>
      </c>
      <c r="H103" s="26">
        <f>IF($K103="","",IF(INDEX('Prospect Tracker'!$K$5:$K$554,$K103)="","",INDEX('Prospect Tracker'!$K$5:$K$554,$K103)))</f>
        <v/>
      </c>
      <c r="I103" s="25">
        <f>IF($K103="","",IF(INDEX('Prospect Tracker'!$T$5:$T$554,$K103)="","",INDEX('Prospect Tracker'!$T$5:$T$554,$K103)))</f>
        <v/>
      </c>
      <c r="J103" s="25">
        <f>IF($K103="","",IF(INDEX('Prospect Tracker'!$L$5:$L$554,$K103)="","",INDEX('Prospect Tracker'!$L$5:$L$554,$K103)))</f>
        <v/>
      </c>
      <c r="K103" s="19">
        <f>IFERROR(MATCH(SMALL('Prospect Tracker'!$X$5:$X$554,ROW()-4),'Prospect Tracker'!$X$5:$X$554,0),"")</f>
        <v/>
      </c>
    </row>
    <row r="104" ht="15" customHeight="1" s="20">
      <c r="A104" s="30">
        <f>IF($K104="","",IF(INDEX('Prospect Tracker'!$W$5:$W$554,$K104)="","",INDEX('Prospect Tracker'!$W$5:$W$554,$K104)))</f>
        <v/>
      </c>
      <c r="B104" s="30">
        <f>IF($K104="","",IF(INDEX('Prospect Tracker'!$A$5:$A$554,$K104)="","",INDEX('Prospect Tracker'!$A$5:$A$554,$K104)))</f>
        <v/>
      </c>
      <c r="C104" s="30">
        <f>IF($K104="","",IF(INDEX('Prospect Tracker'!$B$5:$B$554,$K104)="","",INDEX('Prospect Tracker'!$B$5:$B$554,$K104)))</f>
        <v/>
      </c>
      <c r="D104" s="30">
        <f>IF($K104="","",IF(INDEX('Prospect Tracker'!$M$5:$M$554,$K104)="","",INDEX('Prospect Tracker'!$M$5:$M$554,$K104)))</f>
        <v/>
      </c>
      <c r="E104" s="30">
        <f>IF($K104="","",IF(INDEX('Prospect Tracker'!$R$5:$R$554,$K104)="","",INDEX('Prospect Tracker'!$R$5:$R$554,$K104)))</f>
        <v/>
      </c>
      <c r="F104" s="30">
        <f>IF($K104="","",IF(INDEX('Prospect Tracker'!$J$5:$J$554,$K104)="","",INDEX('Prospect Tracker'!$J$5:$J$554,$K104)))</f>
        <v/>
      </c>
      <c r="G104" s="30">
        <f>IF($K104="","",IF(INDEX('Prospect Tracker'!$H$5:$H$554,$K104)="","",INDEX('Prospect Tracker'!$H$5:$H$554,$K104)))</f>
        <v/>
      </c>
      <c r="H104" s="31">
        <f>IF($K104="","",IF(INDEX('Prospect Tracker'!$K$5:$K$554,$K104)="","",INDEX('Prospect Tracker'!$K$5:$K$554,$K104)))</f>
        <v/>
      </c>
      <c r="I104" s="30">
        <f>IF($K104="","",IF(INDEX('Prospect Tracker'!$T$5:$T$554,$K104)="","",INDEX('Prospect Tracker'!$T$5:$T$554,$K104)))</f>
        <v/>
      </c>
      <c r="J104" s="30">
        <f>IF($K104="","",IF(INDEX('Prospect Tracker'!$L$5:$L$554,$K104)="","",INDEX('Prospect Tracker'!$L$5:$L$554,$K104)))</f>
        <v/>
      </c>
      <c r="K104" s="19">
        <f>IFERROR(MATCH(SMALL('Prospect Tracker'!$X$5:$X$554,ROW()-4),'Prospect Tracker'!$X$5:$X$554,0),"")</f>
        <v/>
      </c>
    </row>
    <row r="105" ht="15" customHeight="1" s="20">
      <c r="A105" s="25">
        <f>IF($K105="","",IF(INDEX('Prospect Tracker'!$W$5:$W$554,$K105)="","",INDEX('Prospect Tracker'!$W$5:$W$554,$K105)))</f>
        <v/>
      </c>
      <c r="B105" s="25">
        <f>IF($K105="","",IF(INDEX('Prospect Tracker'!$A$5:$A$554,$K105)="","",INDEX('Prospect Tracker'!$A$5:$A$554,$K105)))</f>
        <v/>
      </c>
      <c r="C105" s="25">
        <f>IF($K105="","",IF(INDEX('Prospect Tracker'!$B$5:$B$554,$K105)="","",INDEX('Prospect Tracker'!$B$5:$B$554,$K105)))</f>
        <v/>
      </c>
      <c r="D105" s="25">
        <f>IF($K105="","",IF(INDEX('Prospect Tracker'!$M$5:$M$554,$K105)="","",INDEX('Prospect Tracker'!$M$5:$M$554,$K105)))</f>
        <v/>
      </c>
      <c r="E105" s="25">
        <f>IF($K105="","",IF(INDEX('Prospect Tracker'!$R$5:$R$554,$K105)="","",INDEX('Prospect Tracker'!$R$5:$R$554,$K105)))</f>
        <v/>
      </c>
      <c r="F105" s="25">
        <f>IF($K105="","",IF(INDEX('Prospect Tracker'!$J$5:$J$554,$K105)="","",INDEX('Prospect Tracker'!$J$5:$J$554,$K105)))</f>
        <v/>
      </c>
      <c r="G105" s="25">
        <f>IF($K105="","",IF(INDEX('Prospect Tracker'!$H$5:$H$554,$K105)="","",INDEX('Prospect Tracker'!$H$5:$H$554,$K105)))</f>
        <v/>
      </c>
      <c r="H105" s="26">
        <f>IF($K105="","",IF(INDEX('Prospect Tracker'!$K$5:$K$554,$K105)="","",INDEX('Prospect Tracker'!$K$5:$K$554,$K105)))</f>
        <v/>
      </c>
      <c r="I105" s="25">
        <f>IF($K105="","",IF(INDEX('Prospect Tracker'!$T$5:$T$554,$K105)="","",INDEX('Prospect Tracker'!$T$5:$T$554,$K105)))</f>
        <v/>
      </c>
      <c r="J105" s="25">
        <f>IF($K105="","",IF(INDEX('Prospect Tracker'!$L$5:$L$554,$K105)="","",INDEX('Prospect Tracker'!$L$5:$L$554,$K105)))</f>
        <v/>
      </c>
      <c r="K105" s="19">
        <f>IFERROR(MATCH(SMALL('Prospect Tracker'!$X$5:$X$554,ROW()-4),'Prospect Tracker'!$X$5:$X$554,0),"")</f>
        <v/>
      </c>
    </row>
    <row r="106" ht="15" customHeight="1" s="20">
      <c r="A106" s="30">
        <f>IF($K106="","",IF(INDEX('Prospect Tracker'!$W$5:$W$554,$K106)="","",INDEX('Prospect Tracker'!$W$5:$W$554,$K106)))</f>
        <v/>
      </c>
      <c r="B106" s="30">
        <f>IF($K106="","",IF(INDEX('Prospect Tracker'!$A$5:$A$554,$K106)="","",INDEX('Prospect Tracker'!$A$5:$A$554,$K106)))</f>
        <v/>
      </c>
      <c r="C106" s="30">
        <f>IF($K106="","",IF(INDEX('Prospect Tracker'!$B$5:$B$554,$K106)="","",INDEX('Prospect Tracker'!$B$5:$B$554,$K106)))</f>
        <v/>
      </c>
      <c r="D106" s="30">
        <f>IF($K106="","",IF(INDEX('Prospect Tracker'!$M$5:$M$554,$K106)="","",INDEX('Prospect Tracker'!$M$5:$M$554,$K106)))</f>
        <v/>
      </c>
      <c r="E106" s="30">
        <f>IF($K106="","",IF(INDEX('Prospect Tracker'!$R$5:$R$554,$K106)="","",INDEX('Prospect Tracker'!$R$5:$R$554,$K106)))</f>
        <v/>
      </c>
      <c r="F106" s="30">
        <f>IF($K106="","",IF(INDEX('Prospect Tracker'!$J$5:$J$554,$K106)="","",INDEX('Prospect Tracker'!$J$5:$J$554,$K106)))</f>
        <v/>
      </c>
      <c r="G106" s="30">
        <f>IF($K106="","",IF(INDEX('Prospect Tracker'!$H$5:$H$554,$K106)="","",INDEX('Prospect Tracker'!$H$5:$H$554,$K106)))</f>
        <v/>
      </c>
      <c r="H106" s="31">
        <f>IF($K106="","",IF(INDEX('Prospect Tracker'!$K$5:$K$554,$K106)="","",INDEX('Prospect Tracker'!$K$5:$K$554,$K106)))</f>
        <v/>
      </c>
      <c r="I106" s="30">
        <f>IF($K106="","",IF(INDEX('Prospect Tracker'!$T$5:$T$554,$K106)="","",INDEX('Prospect Tracker'!$T$5:$T$554,$K106)))</f>
        <v/>
      </c>
      <c r="J106" s="30">
        <f>IF($K106="","",IF(INDEX('Prospect Tracker'!$L$5:$L$554,$K106)="","",INDEX('Prospect Tracker'!$L$5:$L$554,$K106)))</f>
        <v/>
      </c>
      <c r="K106" s="19">
        <f>IFERROR(MATCH(SMALL('Prospect Tracker'!$X$5:$X$554,ROW()-4),'Prospect Tracker'!$X$5:$X$554,0),"")</f>
        <v/>
      </c>
    </row>
    <row r="107" ht="15" customHeight="1" s="20">
      <c r="A107" s="25">
        <f>IF($K107="","",IF(INDEX('Prospect Tracker'!$W$5:$W$554,$K107)="","",INDEX('Prospect Tracker'!$W$5:$W$554,$K107)))</f>
        <v/>
      </c>
      <c r="B107" s="25">
        <f>IF($K107="","",IF(INDEX('Prospect Tracker'!$A$5:$A$554,$K107)="","",INDEX('Prospect Tracker'!$A$5:$A$554,$K107)))</f>
        <v/>
      </c>
      <c r="C107" s="25">
        <f>IF($K107="","",IF(INDEX('Prospect Tracker'!$B$5:$B$554,$K107)="","",INDEX('Prospect Tracker'!$B$5:$B$554,$K107)))</f>
        <v/>
      </c>
      <c r="D107" s="25">
        <f>IF($K107="","",IF(INDEX('Prospect Tracker'!$M$5:$M$554,$K107)="","",INDEX('Prospect Tracker'!$M$5:$M$554,$K107)))</f>
        <v/>
      </c>
      <c r="E107" s="25">
        <f>IF($K107="","",IF(INDEX('Prospect Tracker'!$R$5:$R$554,$K107)="","",INDEX('Prospect Tracker'!$R$5:$R$554,$K107)))</f>
        <v/>
      </c>
      <c r="F107" s="25">
        <f>IF($K107="","",IF(INDEX('Prospect Tracker'!$J$5:$J$554,$K107)="","",INDEX('Prospect Tracker'!$J$5:$J$554,$K107)))</f>
        <v/>
      </c>
      <c r="G107" s="25">
        <f>IF($K107="","",IF(INDEX('Prospect Tracker'!$H$5:$H$554,$K107)="","",INDEX('Prospect Tracker'!$H$5:$H$554,$K107)))</f>
        <v/>
      </c>
      <c r="H107" s="26">
        <f>IF($K107="","",IF(INDEX('Prospect Tracker'!$K$5:$K$554,$K107)="","",INDEX('Prospect Tracker'!$K$5:$K$554,$K107)))</f>
        <v/>
      </c>
      <c r="I107" s="25">
        <f>IF($K107="","",IF(INDEX('Prospect Tracker'!$T$5:$T$554,$K107)="","",INDEX('Prospect Tracker'!$T$5:$T$554,$K107)))</f>
        <v/>
      </c>
      <c r="J107" s="25">
        <f>IF($K107="","",IF(INDEX('Prospect Tracker'!$L$5:$L$554,$K107)="","",INDEX('Prospect Tracker'!$L$5:$L$554,$K107)))</f>
        <v/>
      </c>
      <c r="K107" s="19">
        <f>IFERROR(MATCH(SMALL('Prospect Tracker'!$X$5:$X$554,ROW()-4),'Prospect Tracker'!$X$5:$X$554,0),"")</f>
        <v/>
      </c>
    </row>
    <row r="108" ht="15" customHeight="1" s="20">
      <c r="A108" s="30">
        <f>IF($K108="","",IF(INDEX('Prospect Tracker'!$W$5:$W$554,$K108)="","",INDEX('Prospect Tracker'!$W$5:$W$554,$K108)))</f>
        <v/>
      </c>
      <c r="B108" s="30">
        <f>IF($K108="","",IF(INDEX('Prospect Tracker'!$A$5:$A$554,$K108)="","",INDEX('Prospect Tracker'!$A$5:$A$554,$K108)))</f>
        <v/>
      </c>
      <c r="C108" s="30">
        <f>IF($K108="","",IF(INDEX('Prospect Tracker'!$B$5:$B$554,$K108)="","",INDEX('Prospect Tracker'!$B$5:$B$554,$K108)))</f>
        <v/>
      </c>
      <c r="D108" s="30">
        <f>IF($K108="","",IF(INDEX('Prospect Tracker'!$M$5:$M$554,$K108)="","",INDEX('Prospect Tracker'!$M$5:$M$554,$K108)))</f>
        <v/>
      </c>
      <c r="E108" s="30">
        <f>IF($K108="","",IF(INDEX('Prospect Tracker'!$R$5:$R$554,$K108)="","",INDEX('Prospect Tracker'!$R$5:$R$554,$K108)))</f>
        <v/>
      </c>
      <c r="F108" s="30">
        <f>IF($K108="","",IF(INDEX('Prospect Tracker'!$J$5:$J$554,$K108)="","",INDEX('Prospect Tracker'!$J$5:$J$554,$K108)))</f>
        <v/>
      </c>
      <c r="G108" s="30">
        <f>IF($K108="","",IF(INDEX('Prospect Tracker'!$H$5:$H$554,$K108)="","",INDEX('Prospect Tracker'!$H$5:$H$554,$K108)))</f>
        <v/>
      </c>
      <c r="H108" s="31">
        <f>IF($K108="","",IF(INDEX('Prospect Tracker'!$K$5:$K$554,$K108)="","",INDEX('Prospect Tracker'!$K$5:$K$554,$K108)))</f>
        <v/>
      </c>
      <c r="I108" s="30">
        <f>IF($K108="","",IF(INDEX('Prospect Tracker'!$T$5:$T$554,$K108)="","",INDEX('Prospect Tracker'!$T$5:$T$554,$K108)))</f>
        <v/>
      </c>
      <c r="J108" s="30">
        <f>IF($K108="","",IF(INDEX('Prospect Tracker'!$L$5:$L$554,$K108)="","",INDEX('Prospect Tracker'!$L$5:$L$554,$K108)))</f>
        <v/>
      </c>
      <c r="K108" s="19">
        <f>IFERROR(MATCH(SMALL('Prospect Tracker'!$X$5:$X$554,ROW()-4),'Prospect Tracker'!$X$5:$X$554,0),"")</f>
        <v/>
      </c>
    </row>
    <row r="109" ht="15" customHeight="1" s="20">
      <c r="A109" s="25">
        <f>IF($K109="","",IF(INDEX('Prospect Tracker'!$W$5:$W$554,$K109)="","",INDEX('Prospect Tracker'!$W$5:$W$554,$K109)))</f>
        <v/>
      </c>
      <c r="B109" s="25">
        <f>IF($K109="","",IF(INDEX('Prospect Tracker'!$A$5:$A$554,$K109)="","",INDEX('Prospect Tracker'!$A$5:$A$554,$K109)))</f>
        <v/>
      </c>
      <c r="C109" s="25">
        <f>IF($K109="","",IF(INDEX('Prospect Tracker'!$B$5:$B$554,$K109)="","",INDEX('Prospect Tracker'!$B$5:$B$554,$K109)))</f>
        <v/>
      </c>
      <c r="D109" s="25">
        <f>IF($K109="","",IF(INDEX('Prospect Tracker'!$M$5:$M$554,$K109)="","",INDEX('Prospect Tracker'!$M$5:$M$554,$K109)))</f>
        <v/>
      </c>
      <c r="E109" s="25">
        <f>IF($K109="","",IF(INDEX('Prospect Tracker'!$R$5:$R$554,$K109)="","",INDEX('Prospect Tracker'!$R$5:$R$554,$K109)))</f>
        <v/>
      </c>
      <c r="F109" s="25">
        <f>IF($K109="","",IF(INDEX('Prospect Tracker'!$J$5:$J$554,$K109)="","",INDEX('Prospect Tracker'!$J$5:$J$554,$K109)))</f>
        <v/>
      </c>
      <c r="G109" s="25">
        <f>IF($K109="","",IF(INDEX('Prospect Tracker'!$H$5:$H$554,$K109)="","",INDEX('Prospect Tracker'!$H$5:$H$554,$K109)))</f>
        <v/>
      </c>
      <c r="H109" s="26">
        <f>IF($K109="","",IF(INDEX('Prospect Tracker'!$K$5:$K$554,$K109)="","",INDEX('Prospect Tracker'!$K$5:$K$554,$K109)))</f>
        <v/>
      </c>
      <c r="I109" s="25">
        <f>IF($K109="","",IF(INDEX('Prospect Tracker'!$T$5:$T$554,$K109)="","",INDEX('Prospect Tracker'!$T$5:$T$554,$K109)))</f>
        <v/>
      </c>
      <c r="J109" s="25">
        <f>IF($K109="","",IF(INDEX('Prospect Tracker'!$L$5:$L$554,$K109)="","",INDEX('Prospect Tracker'!$L$5:$L$554,$K109)))</f>
        <v/>
      </c>
      <c r="K109" s="19">
        <f>IFERROR(MATCH(SMALL('Prospect Tracker'!$X$5:$X$554,ROW()-4),'Prospect Tracker'!$X$5:$X$554,0),"")</f>
        <v/>
      </c>
    </row>
    <row r="110" ht="15" customHeight="1" s="20">
      <c r="A110" s="30">
        <f>IF($K110="","",IF(INDEX('Prospect Tracker'!$W$5:$W$554,$K110)="","",INDEX('Prospect Tracker'!$W$5:$W$554,$K110)))</f>
        <v/>
      </c>
      <c r="B110" s="30">
        <f>IF($K110="","",IF(INDEX('Prospect Tracker'!$A$5:$A$554,$K110)="","",INDEX('Prospect Tracker'!$A$5:$A$554,$K110)))</f>
        <v/>
      </c>
      <c r="C110" s="30">
        <f>IF($K110="","",IF(INDEX('Prospect Tracker'!$B$5:$B$554,$K110)="","",INDEX('Prospect Tracker'!$B$5:$B$554,$K110)))</f>
        <v/>
      </c>
      <c r="D110" s="30">
        <f>IF($K110="","",IF(INDEX('Prospect Tracker'!$M$5:$M$554,$K110)="","",INDEX('Prospect Tracker'!$M$5:$M$554,$K110)))</f>
        <v/>
      </c>
      <c r="E110" s="30">
        <f>IF($K110="","",IF(INDEX('Prospect Tracker'!$R$5:$R$554,$K110)="","",INDEX('Prospect Tracker'!$R$5:$R$554,$K110)))</f>
        <v/>
      </c>
      <c r="F110" s="30">
        <f>IF($K110="","",IF(INDEX('Prospect Tracker'!$J$5:$J$554,$K110)="","",INDEX('Prospect Tracker'!$J$5:$J$554,$K110)))</f>
        <v/>
      </c>
      <c r="G110" s="30">
        <f>IF($K110="","",IF(INDEX('Prospect Tracker'!$H$5:$H$554,$K110)="","",INDEX('Prospect Tracker'!$H$5:$H$554,$K110)))</f>
        <v/>
      </c>
      <c r="H110" s="31">
        <f>IF($K110="","",IF(INDEX('Prospect Tracker'!$K$5:$K$554,$K110)="","",INDEX('Prospect Tracker'!$K$5:$K$554,$K110)))</f>
        <v/>
      </c>
      <c r="I110" s="30">
        <f>IF($K110="","",IF(INDEX('Prospect Tracker'!$T$5:$T$554,$K110)="","",INDEX('Prospect Tracker'!$T$5:$T$554,$K110)))</f>
        <v/>
      </c>
      <c r="J110" s="30">
        <f>IF($K110="","",IF(INDEX('Prospect Tracker'!$L$5:$L$554,$K110)="","",INDEX('Prospect Tracker'!$L$5:$L$554,$K110)))</f>
        <v/>
      </c>
      <c r="K110" s="19">
        <f>IFERROR(MATCH(SMALL('Prospect Tracker'!$X$5:$X$554,ROW()-4),'Prospect Tracker'!$X$5:$X$554,0),"")</f>
        <v/>
      </c>
    </row>
    <row r="111" ht="15" customHeight="1" s="20">
      <c r="A111" s="25">
        <f>IF($K111="","",IF(INDEX('Prospect Tracker'!$W$5:$W$554,$K111)="","",INDEX('Prospect Tracker'!$W$5:$W$554,$K111)))</f>
        <v/>
      </c>
      <c r="B111" s="25">
        <f>IF($K111="","",IF(INDEX('Prospect Tracker'!$A$5:$A$554,$K111)="","",INDEX('Prospect Tracker'!$A$5:$A$554,$K111)))</f>
        <v/>
      </c>
      <c r="C111" s="25">
        <f>IF($K111="","",IF(INDEX('Prospect Tracker'!$B$5:$B$554,$K111)="","",INDEX('Prospect Tracker'!$B$5:$B$554,$K111)))</f>
        <v/>
      </c>
      <c r="D111" s="25">
        <f>IF($K111="","",IF(INDEX('Prospect Tracker'!$M$5:$M$554,$K111)="","",INDEX('Prospect Tracker'!$M$5:$M$554,$K111)))</f>
        <v/>
      </c>
      <c r="E111" s="25">
        <f>IF($K111="","",IF(INDEX('Prospect Tracker'!$R$5:$R$554,$K111)="","",INDEX('Prospect Tracker'!$R$5:$R$554,$K111)))</f>
        <v/>
      </c>
      <c r="F111" s="25">
        <f>IF($K111="","",IF(INDEX('Prospect Tracker'!$J$5:$J$554,$K111)="","",INDEX('Prospect Tracker'!$J$5:$J$554,$K111)))</f>
        <v/>
      </c>
      <c r="G111" s="25">
        <f>IF($K111="","",IF(INDEX('Prospect Tracker'!$H$5:$H$554,$K111)="","",INDEX('Prospect Tracker'!$H$5:$H$554,$K111)))</f>
        <v/>
      </c>
      <c r="H111" s="26">
        <f>IF($K111="","",IF(INDEX('Prospect Tracker'!$K$5:$K$554,$K111)="","",INDEX('Prospect Tracker'!$K$5:$K$554,$K111)))</f>
        <v/>
      </c>
      <c r="I111" s="25">
        <f>IF($K111="","",IF(INDEX('Prospect Tracker'!$T$5:$T$554,$K111)="","",INDEX('Prospect Tracker'!$T$5:$T$554,$K111)))</f>
        <v/>
      </c>
      <c r="J111" s="25">
        <f>IF($K111="","",IF(INDEX('Prospect Tracker'!$L$5:$L$554,$K111)="","",INDEX('Prospect Tracker'!$L$5:$L$554,$K111)))</f>
        <v/>
      </c>
      <c r="K111" s="19">
        <f>IFERROR(MATCH(SMALL('Prospect Tracker'!$X$5:$X$554,ROW()-4),'Prospect Tracker'!$X$5:$X$554,0),"")</f>
        <v/>
      </c>
    </row>
    <row r="112" ht="15" customHeight="1" s="20">
      <c r="A112" s="30">
        <f>IF($K112="","",IF(INDEX('Prospect Tracker'!$W$5:$W$554,$K112)="","",INDEX('Prospect Tracker'!$W$5:$W$554,$K112)))</f>
        <v/>
      </c>
      <c r="B112" s="30">
        <f>IF($K112="","",IF(INDEX('Prospect Tracker'!$A$5:$A$554,$K112)="","",INDEX('Prospect Tracker'!$A$5:$A$554,$K112)))</f>
        <v/>
      </c>
      <c r="C112" s="30">
        <f>IF($K112="","",IF(INDEX('Prospect Tracker'!$B$5:$B$554,$K112)="","",INDEX('Prospect Tracker'!$B$5:$B$554,$K112)))</f>
        <v/>
      </c>
      <c r="D112" s="30">
        <f>IF($K112="","",IF(INDEX('Prospect Tracker'!$M$5:$M$554,$K112)="","",INDEX('Prospect Tracker'!$M$5:$M$554,$K112)))</f>
        <v/>
      </c>
      <c r="E112" s="30">
        <f>IF($K112="","",IF(INDEX('Prospect Tracker'!$R$5:$R$554,$K112)="","",INDEX('Prospect Tracker'!$R$5:$R$554,$K112)))</f>
        <v/>
      </c>
      <c r="F112" s="30">
        <f>IF($K112="","",IF(INDEX('Prospect Tracker'!$J$5:$J$554,$K112)="","",INDEX('Prospect Tracker'!$J$5:$J$554,$K112)))</f>
        <v/>
      </c>
      <c r="G112" s="30">
        <f>IF($K112="","",IF(INDEX('Prospect Tracker'!$H$5:$H$554,$K112)="","",INDEX('Prospect Tracker'!$H$5:$H$554,$K112)))</f>
        <v/>
      </c>
      <c r="H112" s="31">
        <f>IF($K112="","",IF(INDEX('Prospect Tracker'!$K$5:$K$554,$K112)="","",INDEX('Prospect Tracker'!$K$5:$K$554,$K112)))</f>
        <v/>
      </c>
      <c r="I112" s="30">
        <f>IF($K112="","",IF(INDEX('Prospect Tracker'!$T$5:$T$554,$K112)="","",INDEX('Prospect Tracker'!$T$5:$T$554,$K112)))</f>
        <v/>
      </c>
      <c r="J112" s="30">
        <f>IF($K112="","",IF(INDEX('Prospect Tracker'!$L$5:$L$554,$K112)="","",INDEX('Prospect Tracker'!$L$5:$L$554,$K112)))</f>
        <v/>
      </c>
      <c r="K112" s="19">
        <f>IFERROR(MATCH(SMALL('Prospect Tracker'!$X$5:$X$554,ROW()-4),'Prospect Tracker'!$X$5:$X$554,0),"")</f>
        <v/>
      </c>
    </row>
    <row r="113" ht="15" customHeight="1" s="20">
      <c r="A113" s="25">
        <f>IF($K113="","",IF(INDEX('Prospect Tracker'!$W$5:$W$554,$K113)="","",INDEX('Prospect Tracker'!$W$5:$W$554,$K113)))</f>
        <v/>
      </c>
      <c r="B113" s="25">
        <f>IF($K113="","",IF(INDEX('Prospect Tracker'!$A$5:$A$554,$K113)="","",INDEX('Prospect Tracker'!$A$5:$A$554,$K113)))</f>
        <v/>
      </c>
      <c r="C113" s="25">
        <f>IF($K113="","",IF(INDEX('Prospect Tracker'!$B$5:$B$554,$K113)="","",INDEX('Prospect Tracker'!$B$5:$B$554,$K113)))</f>
        <v/>
      </c>
      <c r="D113" s="25">
        <f>IF($K113="","",IF(INDEX('Prospect Tracker'!$M$5:$M$554,$K113)="","",INDEX('Prospect Tracker'!$M$5:$M$554,$K113)))</f>
        <v/>
      </c>
      <c r="E113" s="25">
        <f>IF($K113="","",IF(INDEX('Prospect Tracker'!$R$5:$R$554,$K113)="","",INDEX('Prospect Tracker'!$R$5:$R$554,$K113)))</f>
        <v/>
      </c>
      <c r="F113" s="25">
        <f>IF($K113="","",IF(INDEX('Prospect Tracker'!$J$5:$J$554,$K113)="","",INDEX('Prospect Tracker'!$J$5:$J$554,$K113)))</f>
        <v/>
      </c>
      <c r="G113" s="25">
        <f>IF($K113="","",IF(INDEX('Prospect Tracker'!$H$5:$H$554,$K113)="","",INDEX('Prospect Tracker'!$H$5:$H$554,$K113)))</f>
        <v/>
      </c>
      <c r="H113" s="26">
        <f>IF($K113="","",IF(INDEX('Prospect Tracker'!$K$5:$K$554,$K113)="","",INDEX('Prospect Tracker'!$K$5:$K$554,$K113)))</f>
        <v/>
      </c>
      <c r="I113" s="25">
        <f>IF($K113="","",IF(INDEX('Prospect Tracker'!$T$5:$T$554,$K113)="","",INDEX('Prospect Tracker'!$T$5:$T$554,$K113)))</f>
        <v/>
      </c>
      <c r="J113" s="25">
        <f>IF($K113="","",IF(INDEX('Prospect Tracker'!$L$5:$L$554,$K113)="","",INDEX('Prospect Tracker'!$L$5:$L$554,$K113)))</f>
        <v/>
      </c>
      <c r="K113" s="19">
        <f>IFERROR(MATCH(SMALL('Prospect Tracker'!$X$5:$X$554,ROW()-4),'Prospect Tracker'!$X$5:$X$554,0),"")</f>
        <v/>
      </c>
    </row>
    <row r="114" ht="15" customHeight="1" s="20">
      <c r="A114" s="30">
        <f>IF($K114="","",IF(INDEX('Prospect Tracker'!$W$5:$W$554,$K114)="","",INDEX('Prospect Tracker'!$W$5:$W$554,$K114)))</f>
        <v/>
      </c>
      <c r="B114" s="30">
        <f>IF($K114="","",IF(INDEX('Prospect Tracker'!$A$5:$A$554,$K114)="","",INDEX('Prospect Tracker'!$A$5:$A$554,$K114)))</f>
        <v/>
      </c>
      <c r="C114" s="30">
        <f>IF($K114="","",IF(INDEX('Prospect Tracker'!$B$5:$B$554,$K114)="","",INDEX('Prospect Tracker'!$B$5:$B$554,$K114)))</f>
        <v/>
      </c>
      <c r="D114" s="30">
        <f>IF($K114="","",IF(INDEX('Prospect Tracker'!$M$5:$M$554,$K114)="","",INDEX('Prospect Tracker'!$M$5:$M$554,$K114)))</f>
        <v/>
      </c>
      <c r="E114" s="30">
        <f>IF($K114="","",IF(INDEX('Prospect Tracker'!$R$5:$R$554,$K114)="","",INDEX('Prospect Tracker'!$R$5:$R$554,$K114)))</f>
        <v/>
      </c>
      <c r="F114" s="30">
        <f>IF($K114="","",IF(INDEX('Prospect Tracker'!$J$5:$J$554,$K114)="","",INDEX('Prospect Tracker'!$J$5:$J$554,$K114)))</f>
        <v/>
      </c>
      <c r="G114" s="30">
        <f>IF($K114="","",IF(INDEX('Prospect Tracker'!$H$5:$H$554,$K114)="","",INDEX('Prospect Tracker'!$H$5:$H$554,$K114)))</f>
        <v/>
      </c>
      <c r="H114" s="31">
        <f>IF($K114="","",IF(INDEX('Prospect Tracker'!$K$5:$K$554,$K114)="","",INDEX('Prospect Tracker'!$K$5:$K$554,$K114)))</f>
        <v/>
      </c>
      <c r="I114" s="30">
        <f>IF($K114="","",IF(INDEX('Prospect Tracker'!$T$5:$T$554,$K114)="","",INDEX('Prospect Tracker'!$T$5:$T$554,$K114)))</f>
        <v/>
      </c>
      <c r="J114" s="30">
        <f>IF($K114="","",IF(INDEX('Prospect Tracker'!$L$5:$L$554,$K114)="","",INDEX('Prospect Tracker'!$L$5:$L$554,$K114)))</f>
        <v/>
      </c>
      <c r="K114" s="19">
        <f>IFERROR(MATCH(SMALL('Prospect Tracker'!$X$5:$X$554,ROW()-4),'Prospect Tracker'!$X$5:$X$554,0),"")</f>
        <v/>
      </c>
    </row>
    <row r="115" ht="15" customHeight="1" s="20">
      <c r="A115" s="25">
        <f>IF($K115="","",IF(INDEX('Prospect Tracker'!$W$5:$W$554,$K115)="","",INDEX('Prospect Tracker'!$W$5:$W$554,$K115)))</f>
        <v/>
      </c>
      <c r="B115" s="25">
        <f>IF($K115="","",IF(INDEX('Prospect Tracker'!$A$5:$A$554,$K115)="","",INDEX('Prospect Tracker'!$A$5:$A$554,$K115)))</f>
        <v/>
      </c>
      <c r="C115" s="25">
        <f>IF($K115="","",IF(INDEX('Prospect Tracker'!$B$5:$B$554,$K115)="","",INDEX('Prospect Tracker'!$B$5:$B$554,$K115)))</f>
        <v/>
      </c>
      <c r="D115" s="25">
        <f>IF($K115="","",IF(INDEX('Prospect Tracker'!$M$5:$M$554,$K115)="","",INDEX('Prospect Tracker'!$M$5:$M$554,$K115)))</f>
        <v/>
      </c>
      <c r="E115" s="25">
        <f>IF($K115="","",IF(INDEX('Prospect Tracker'!$R$5:$R$554,$K115)="","",INDEX('Prospect Tracker'!$R$5:$R$554,$K115)))</f>
        <v/>
      </c>
      <c r="F115" s="25">
        <f>IF($K115="","",IF(INDEX('Prospect Tracker'!$J$5:$J$554,$K115)="","",INDEX('Prospect Tracker'!$J$5:$J$554,$K115)))</f>
        <v/>
      </c>
      <c r="G115" s="25">
        <f>IF($K115="","",IF(INDEX('Prospect Tracker'!$H$5:$H$554,$K115)="","",INDEX('Prospect Tracker'!$H$5:$H$554,$K115)))</f>
        <v/>
      </c>
      <c r="H115" s="26">
        <f>IF($K115="","",IF(INDEX('Prospect Tracker'!$K$5:$K$554,$K115)="","",INDEX('Prospect Tracker'!$K$5:$K$554,$K115)))</f>
        <v/>
      </c>
      <c r="I115" s="25">
        <f>IF($K115="","",IF(INDEX('Prospect Tracker'!$T$5:$T$554,$K115)="","",INDEX('Prospect Tracker'!$T$5:$T$554,$K115)))</f>
        <v/>
      </c>
      <c r="J115" s="25">
        <f>IF($K115="","",IF(INDEX('Prospect Tracker'!$L$5:$L$554,$K115)="","",INDEX('Prospect Tracker'!$L$5:$L$554,$K115)))</f>
        <v/>
      </c>
      <c r="K115" s="19">
        <f>IFERROR(MATCH(SMALL('Prospect Tracker'!$X$5:$X$554,ROW()-4),'Prospect Tracker'!$X$5:$X$554,0),"")</f>
        <v/>
      </c>
    </row>
    <row r="116" ht="15" customHeight="1" s="20">
      <c r="A116" s="30">
        <f>IF($K116="","",IF(INDEX('Prospect Tracker'!$W$5:$W$554,$K116)="","",INDEX('Prospect Tracker'!$W$5:$W$554,$K116)))</f>
        <v/>
      </c>
      <c r="B116" s="30">
        <f>IF($K116="","",IF(INDEX('Prospect Tracker'!$A$5:$A$554,$K116)="","",INDEX('Prospect Tracker'!$A$5:$A$554,$K116)))</f>
        <v/>
      </c>
      <c r="C116" s="30">
        <f>IF($K116="","",IF(INDEX('Prospect Tracker'!$B$5:$B$554,$K116)="","",INDEX('Prospect Tracker'!$B$5:$B$554,$K116)))</f>
        <v/>
      </c>
      <c r="D116" s="30">
        <f>IF($K116="","",IF(INDEX('Prospect Tracker'!$M$5:$M$554,$K116)="","",INDEX('Prospect Tracker'!$M$5:$M$554,$K116)))</f>
        <v/>
      </c>
      <c r="E116" s="30">
        <f>IF($K116="","",IF(INDEX('Prospect Tracker'!$R$5:$R$554,$K116)="","",INDEX('Prospect Tracker'!$R$5:$R$554,$K116)))</f>
        <v/>
      </c>
      <c r="F116" s="30">
        <f>IF($K116="","",IF(INDEX('Prospect Tracker'!$J$5:$J$554,$K116)="","",INDEX('Prospect Tracker'!$J$5:$J$554,$K116)))</f>
        <v/>
      </c>
      <c r="G116" s="30">
        <f>IF($K116="","",IF(INDEX('Prospect Tracker'!$H$5:$H$554,$K116)="","",INDEX('Prospect Tracker'!$H$5:$H$554,$K116)))</f>
        <v/>
      </c>
      <c r="H116" s="31">
        <f>IF($K116="","",IF(INDEX('Prospect Tracker'!$K$5:$K$554,$K116)="","",INDEX('Prospect Tracker'!$K$5:$K$554,$K116)))</f>
        <v/>
      </c>
      <c r="I116" s="30">
        <f>IF($K116="","",IF(INDEX('Prospect Tracker'!$T$5:$T$554,$K116)="","",INDEX('Prospect Tracker'!$T$5:$T$554,$K116)))</f>
        <v/>
      </c>
      <c r="J116" s="30">
        <f>IF($K116="","",IF(INDEX('Prospect Tracker'!$L$5:$L$554,$K116)="","",INDEX('Prospect Tracker'!$L$5:$L$554,$K116)))</f>
        <v/>
      </c>
      <c r="K116" s="19">
        <f>IFERROR(MATCH(SMALL('Prospect Tracker'!$X$5:$X$554,ROW()-4),'Prospect Tracker'!$X$5:$X$554,0),"")</f>
        <v/>
      </c>
    </row>
    <row r="117" ht="15" customHeight="1" s="20">
      <c r="A117" s="25">
        <f>IF($K117="","",IF(INDEX('Prospect Tracker'!$W$5:$W$554,$K117)="","",INDEX('Prospect Tracker'!$W$5:$W$554,$K117)))</f>
        <v/>
      </c>
      <c r="B117" s="25">
        <f>IF($K117="","",IF(INDEX('Prospect Tracker'!$A$5:$A$554,$K117)="","",INDEX('Prospect Tracker'!$A$5:$A$554,$K117)))</f>
        <v/>
      </c>
      <c r="C117" s="25">
        <f>IF($K117="","",IF(INDEX('Prospect Tracker'!$B$5:$B$554,$K117)="","",INDEX('Prospect Tracker'!$B$5:$B$554,$K117)))</f>
        <v/>
      </c>
      <c r="D117" s="25">
        <f>IF($K117="","",IF(INDEX('Prospect Tracker'!$M$5:$M$554,$K117)="","",INDEX('Prospect Tracker'!$M$5:$M$554,$K117)))</f>
        <v/>
      </c>
      <c r="E117" s="25">
        <f>IF($K117="","",IF(INDEX('Prospect Tracker'!$R$5:$R$554,$K117)="","",INDEX('Prospect Tracker'!$R$5:$R$554,$K117)))</f>
        <v/>
      </c>
      <c r="F117" s="25">
        <f>IF($K117="","",IF(INDEX('Prospect Tracker'!$J$5:$J$554,$K117)="","",INDEX('Prospect Tracker'!$J$5:$J$554,$K117)))</f>
        <v/>
      </c>
      <c r="G117" s="25">
        <f>IF($K117="","",IF(INDEX('Prospect Tracker'!$H$5:$H$554,$K117)="","",INDEX('Prospect Tracker'!$H$5:$H$554,$K117)))</f>
        <v/>
      </c>
      <c r="H117" s="26">
        <f>IF($K117="","",IF(INDEX('Prospect Tracker'!$K$5:$K$554,$K117)="","",INDEX('Prospect Tracker'!$K$5:$K$554,$K117)))</f>
        <v/>
      </c>
      <c r="I117" s="25">
        <f>IF($K117="","",IF(INDEX('Prospect Tracker'!$T$5:$T$554,$K117)="","",INDEX('Prospect Tracker'!$T$5:$T$554,$K117)))</f>
        <v/>
      </c>
      <c r="J117" s="25">
        <f>IF($K117="","",IF(INDEX('Prospect Tracker'!$L$5:$L$554,$K117)="","",INDEX('Prospect Tracker'!$L$5:$L$554,$K117)))</f>
        <v/>
      </c>
      <c r="K117" s="19">
        <f>IFERROR(MATCH(SMALL('Prospect Tracker'!$X$5:$X$554,ROW()-4),'Prospect Tracker'!$X$5:$X$554,0),"")</f>
        <v/>
      </c>
    </row>
    <row r="118" ht="15" customHeight="1" s="20">
      <c r="A118" s="30">
        <f>IF($K118="","",IF(INDEX('Prospect Tracker'!$W$5:$W$554,$K118)="","",INDEX('Prospect Tracker'!$W$5:$W$554,$K118)))</f>
        <v/>
      </c>
      <c r="B118" s="30">
        <f>IF($K118="","",IF(INDEX('Prospect Tracker'!$A$5:$A$554,$K118)="","",INDEX('Prospect Tracker'!$A$5:$A$554,$K118)))</f>
        <v/>
      </c>
      <c r="C118" s="30">
        <f>IF($K118="","",IF(INDEX('Prospect Tracker'!$B$5:$B$554,$K118)="","",INDEX('Prospect Tracker'!$B$5:$B$554,$K118)))</f>
        <v/>
      </c>
      <c r="D118" s="30">
        <f>IF($K118="","",IF(INDEX('Prospect Tracker'!$M$5:$M$554,$K118)="","",INDEX('Prospect Tracker'!$M$5:$M$554,$K118)))</f>
        <v/>
      </c>
      <c r="E118" s="30">
        <f>IF($K118="","",IF(INDEX('Prospect Tracker'!$R$5:$R$554,$K118)="","",INDEX('Prospect Tracker'!$R$5:$R$554,$K118)))</f>
        <v/>
      </c>
      <c r="F118" s="30">
        <f>IF($K118="","",IF(INDEX('Prospect Tracker'!$J$5:$J$554,$K118)="","",INDEX('Prospect Tracker'!$J$5:$J$554,$K118)))</f>
        <v/>
      </c>
      <c r="G118" s="30">
        <f>IF($K118="","",IF(INDEX('Prospect Tracker'!$H$5:$H$554,$K118)="","",INDEX('Prospect Tracker'!$H$5:$H$554,$K118)))</f>
        <v/>
      </c>
      <c r="H118" s="31">
        <f>IF($K118="","",IF(INDEX('Prospect Tracker'!$K$5:$K$554,$K118)="","",INDEX('Prospect Tracker'!$K$5:$K$554,$K118)))</f>
        <v/>
      </c>
      <c r="I118" s="30">
        <f>IF($K118="","",IF(INDEX('Prospect Tracker'!$T$5:$T$554,$K118)="","",INDEX('Prospect Tracker'!$T$5:$T$554,$K118)))</f>
        <v/>
      </c>
      <c r="J118" s="30">
        <f>IF($K118="","",IF(INDEX('Prospect Tracker'!$L$5:$L$554,$K118)="","",INDEX('Prospect Tracker'!$L$5:$L$554,$K118)))</f>
        <v/>
      </c>
      <c r="K118" s="19">
        <f>IFERROR(MATCH(SMALL('Prospect Tracker'!$X$5:$X$554,ROW()-4),'Prospect Tracker'!$X$5:$X$554,0),"")</f>
        <v/>
      </c>
    </row>
    <row r="119" ht="15" customHeight="1" s="20">
      <c r="A119" s="25">
        <f>IF($K119="","",IF(INDEX('Prospect Tracker'!$W$5:$W$554,$K119)="","",INDEX('Prospect Tracker'!$W$5:$W$554,$K119)))</f>
        <v/>
      </c>
      <c r="B119" s="25">
        <f>IF($K119="","",IF(INDEX('Prospect Tracker'!$A$5:$A$554,$K119)="","",INDEX('Prospect Tracker'!$A$5:$A$554,$K119)))</f>
        <v/>
      </c>
      <c r="C119" s="25">
        <f>IF($K119="","",IF(INDEX('Prospect Tracker'!$B$5:$B$554,$K119)="","",INDEX('Prospect Tracker'!$B$5:$B$554,$K119)))</f>
        <v/>
      </c>
      <c r="D119" s="25">
        <f>IF($K119="","",IF(INDEX('Prospect Tracker'!$M$5:$M$554,$K119)="","",INDEX('Prospect Tracker'!$M$5:$M$554,$K119)))</f>
        <v/>
      </c>
      <c r="E119" s="25">
        <f>IF($K119="","",IF(INDEX('Prospect Tracker'!$R$5:$R$554,$K119)="","",INDEX('Prospect Tracker'!$R$5:$R$554,$K119)))</f>
        <v/>
      </c>
      <c r="F119" s="25">
        <f>IF($K119="","",IF(INDEX('Prospect Tracker'!$J$5:$J$554,$K119)="","",INDEX('Prospect Tracker'!$J$5:$J$554,$K119)))</f>
        <v/>
      </c>
      <c r="G119" s="25">
        <f>IF($K119="","",IF(INDEX('Prospect Tracker'!$H$5:$H$554,$K119)="","",INDEX('Prospect Tracker'!$H$5:$H$554,$K119)))</f>
        <v/>
      </c>
      <c r="H119" s="26">
        <f>IF($K119="","",IF(INDEX('Prospect Tracker'!$K$5:$K$554,$K119)="","",INDEX('Prospect Tracker'!$K$5:$K$554,$K119)))</f>
        <v/>
      </c>
      <c r="I119" s="25">
        <f>IF($K119="","",IF(INDEX('Prospect Tracker'!$T$5:$T$554,$K119)="","",INDEX('Prospect Tracker'!$T$5:$T$554,$K119)))</f>
        <v/>
      </c>
      <c r="J119" s="25">
        <f>IF($K119="","",IF(INDEX('Prospect Tracker'!$L$5:$L$554,$K119)="","",INDEX('Prospect Tracker'!$L$5:$L$554,$K119)))</f>
        <v/>
      </c>
      <c r="K119" s="19">
        <f>IFERROR(MATCH(SMALL('Prospect Tracker'!$X$5:$X$554,ROW()-4),'Prospect Tracker'!$X$5:$X$554,0),"")</f>
        <v/>
      </c>
    </row>
    <row r="120" ht="15" customHeight="1" s="20">
      <c r="A120" s="30">
        <f>IF($K120="","",IF(INDEX('Prospect Tracker'!$W$5:$W$554,$K120)="","",INDEX('Prospect Tracker'!$W$5:$W$554,$K120)))</f>
        <v/>
      </c>
      <c r="B120" s="30">
        <f>IF($K120="","",IF(INDEX('Prospect Tracker'!$A$5:$A$554,$K120)="","",INDEX('Prospect Tracker'!$A$5:$A$554,$K120)))</f>
        <v/>
      </c>
      <c r="C120" s="30">
        <f>IF($K120="","",IF(INDEX('Prospect Tracker'!$B$5:$B$554,$K120)="","",INDEX('Prospect Tracker'!$B$5:$B$554,$K120)))</f>
        <v/>
      </c>
      <c r="D120" s="30">
        <f>IF($K120="","",IF(INDEX('Prospect Tracker'!$M$5:$M$554,$K120)="","",INDEX('Prospect Tracker'!$M$5:$M$554,$K120)))</f>
        <v/>
      </c>
      <c r="E120" s="30">
        <f>IF($K120="","",IF(INDEX('Prospect Tracker'!$R$5:$R$554,$K120)="","",INDEX('Prospect Tracker'!$R$5:$R$554,$K120)))</f>
        <v/>
      </c>
      <c r="F120" s="30">
        <f>IF($K120="","",IF(INDEX('Prospect Tracker'!$J$5:$J$554,$K120)="","",INDEX('Prospect Tracker'!$J$5:$J$554,$K120)))</f>
        <v/>
      </c>
      <c r="G120" s="30">
        <f>IF($K120="","",IF(INDEX('Prospect Tracker'!$H$5:$H$554,$K120)="","",INDEX('Prospect Tracker'!$H$5:$H$554,$K120)))</f>
        <v/>
      </c>
      <c r="H120" s="31">
        <f>IF($K120="","",IF(INDEX('Prospect Tracker'!$K$5:$K$554,$K120)="","",INDEX('Prospect Tracker'!$K$5:$K$554,$K120)))</f>
        <v/>
      </c>
      <c r="I120" s="30">
        <f>IF($K120="","",IF(INDEX('Prospect Tracker'!$T$5:$T$554,$K120)="","",INDEX('Prospect Tracker'!$T$5:$T$554,$K120)))</f>
        <v/>
      </c>
      <c r="J120" s="30">
        <f>IF($K120="","",IF(INDEX('Prospect Tracker'!$L$5:$L$554,$K120)="","",INDEX('Prospect Tracker'!$L$5:$L$554,$K120)))</f>
        <v/>
      </c>
      <c r="K120" s="19">
        <f>IFERROR(MATCH(SMALL('Prospect Tracker'!$X$5:$X$554,ROW()-4),'Prospect Tracker'!$X$5:$X$554,0),"")</f>
        <v/>
      </c>
    </row>
    <row r="121" ht="15" customHeight="1" s="20">
      <c r="A121" s="25">
        <f>IF($K121="","",IF(INDEX('Prospect Tracker'!$W$5:$W$554,$K121)="","",INDEX('Prospect Tracker'!$W$5:$W$554,$K121)))</f>
        <v/>
      </c>
      <c r="B121" s="25">
        <f>IF($K121="","",IF(INDEX('Prospect Tracker'!$A$5:$A$554,$K121)="","",INDEX('Prospect Tracker'!$A$5:$A$554,$K121)))</f>
        <v/>
      </c>
      <c r="C121" s="25">
        <f>IF($K121="","",IF(INDEX('Prospect Tracker'!$B$5:$B$554,$K121)="","",INDEX('Prospect Tracker'!$B$5:$B$554,$K121)))</f>
        <v/>
      </c>
      <c r="D121" s="25">
        <f>IF($K121="","",IF(INDEX('Prospect Tracker'!$M$5:$M$554,$K121)="","",INDEX('Prospect Tracker'!$M$5:$M$554,$K121)))</f>
        <v/>
      </c>
      <c r="E121" s="25">
        <f>IF($K121="","",IF(INDEX('Prospect Tracker'!$R$5:$R$554,$K121)="","",INDEX('Prospect Tracker'!$R$5:$R$554,$K121)))</f>
        <v/>
      </c>
      <c r="F121" s="25">
        <f>IF($K121="","",IF(INDEX('Prospect Tracker'!$J$5:$J$554,$K121)="","",INDEX('Prospect Tracker'!$J$5:$J$554,$K121)))</f>
        <v/>
      </c>
      <c r="G121" s="25">
        <f>IF($K121="","",IF(INDEX('Prospect Tracker'!$H$5:$H$554,$K121)="","",INDEX('Prospect Tracker'!$H$5:$H$554,$K121)))</f>
        <v/>
      </c>
      <c r="H121" s="26">
        <f>IF($K121="","",IF(INDEX('Prospect Tracker'!$K$5:$K$554,$K121)="","",INDEX('Prospect Tracker'!$K$5:$K$554,$K121)))</f>
        <v/>
      </c>
      <c r="I121" s="25">
        <f>IF($K121="","",IF(INDEX('Prospect Tracker'!$T$5:$T$554,$K121)="","",INDEX('Prospect Tracker'!$T$5:$T$554,$K121)))</f>
        <v/>
      </c>
      <c r="J121" s="25">
        <f>IF($K121="","",IF(INDEX('Prospect Tracker'!$L$5:$L$554,$K121)="","",INDEX('Prospect Tracker'!$L$5:$L$554,$K121)))</f>
        <v/>
      </c>
      <c r="K121" s="19">
        <f>IFERROR(MATCH(SMALL('Prospect Tracker'!$X$5:$X$554,ROW()-4),'Prospect Tracker'!$X$5:$X$554,0),"")</f>
        <v/>
      </c>
    </row>
    <row r="122" ht="15" customHeight="1" s="20">
      <c r="A122" s="30">
        <f>IF($K122="","",IF(INDEX('Prospect Tracker'!$W$5:$W$554,$K122)="","",INDEX('Prospect Tracker'!$W$5:$W$554,$K122)))</f>
        <v/>
      </c>
      <c r="B122" s="30">
        <f>IF($K122="","",IF(INDEX('Prospect Tracker'!$A$5:$A$554,$K122)="","",INDEX('Prospect Tracker'!$A$5:$A$554,$K122)))</f>
        <v/>
      </c>
      <c r="C122" s="30">
        <f>IF($K122="","",IF(INDEX('Prospect Tracker'!$B$5:$B$554,$K122)="","",INDEX('Prospect Tracker'!$B$5:$B$554,$K122)))</f>
        <v/>
      </c>
      <c r="D122" s="30">
        <f>IF($K122="","",IF(INDEX('Prospect Tracker'!$M$5:$M$554,$K122)="","",INDEX('Prospect Tracker'!$M$5:$M$554,$K122)))</f>
        <v/>
      </c>
      <c r="E122" s="30">
        <f>IF($K122="","",IF(INDEX('Prospect Tracker'!$R$5:$R$554,$K122)="","",INDEX('Prospect Tracker'!$R$5:$R$554,$K122)))</f>
        <v/>
      </c>
      <c r="F122" s="30">
        <f>IF($K122="","",IF(INDEX('Prospect Tracker'!$J$5:$J$554,$K122)="","",INDEX('Prospect Tracker'!$J$5:$J$554,$K122)))</f>
        <v/>
      </c>
      <c r="G122" s="30">
        <f>IF($K122="","",IF(INDEX('Prospect Tracker'!$H$5:$H$554,$K122)="","",INDEX('Prospect Tracker'!$H$5:$H$554,$K122)))</f>
        <v/>
      </c>
      <c r="H122" s="31">
        <f>IF($K122="","",IF(INDEX('Prospect Tracker'!$K$5:$K$554,$K122)="","",INDEX('Prospect Tracker'!$K$5:$K$554,$K122)))</f>
        <v/>
      </c>
      <c r="I122" s="30">
        <f>IF($K122="","",IF(INDEX('Prospect Tracker'!$T$5:$T$554,$K122)="","",INDEX('Prospect Tracker'!$T$5:$T$554,$K122)))</f>
        <v/>
      </c>
      <c r="J122" s="30">
        <f>IF($K122="","",IF(INDEX('Prospect Tracker'!$L$5:$L$554,$K122)="","",INDEX('Prospect Tracker'!$L$5:$L$554,$K122)))</f>
        <v/>
      </c>
      <c r="K122" s="19">
        <f>IFERROR(MATCH(SMALL('Prospect Tracker'!$X$5:$X$554,ROW()-4),'Prospect Tracker'!$X$5:$X$554,0),"")</f>
        <v/>
      </c>
    </row>
    <row r="123" ht="15" customHeight="1" s="20">
      <c r="A123" s="25">
        <f>IF($K123="","",IF(INDEX('Prospect Tracker'!$W$5:$W$554,$K123)="","",INDEX('Prospect Tracker'!$W$5:$W$554,$K123)))</f>
        <v/>
      </c>
      <c r="B123" s="25">
        <f>IF($K123="","",IF(INDEX('Prospect Tracker'!$A$5:$A$554,$K123)="","",INDEX('Prospect Tracker'!$A$5:$A$554,$K123)))</f>
        <v/>
      </c>
      <c r="C123" s="25">
        <f>IF($K123="","",IF(INDEX('Prospect Tracker'!$B$5:$B$554,$K123)="","",INDEX('Prospect Tracker'!$B$5:$B$554,$K123)))</f>
        <v/>
      </c>
      <c r="D123" s="25">
        <f>IF($K123="","",IF(INDEX('Prospect Tracker'!$M$5:$M$554,$K123)="","",INDEX('Prospect Tracker'!$M$5:$M$554,$K123)))</f>
        <v/>
      </c>
      <c r="E123" s="25">
        <f>IF($K123="","",IF(INDEX('Prospect Tracker'!$R$5:$R$554,$K123)="","",INDEX('Prospect Tracker'!$R$5:$R$554,$K123)))</f>
        <v/>
      </c>
      <c r="F123" s="25">
        <f>IF($K123="","",IF(INDEX('Prospect Tracker'!$J$5:$J$554,$K123)="","",INDEX('Prospect Tracker'!$J$5:$J$554,$K123)))</f>
        <v/>
      </c>
      <c r="G123" s="25">
        <f>IF($K123="","",IF(INDEX('Prospect Tracker'!$H$5:$H$554,$K123)="","",INDEX('Prospect Tracker'!$H$5:$H$554,$K123)))</f>
        <v/>
      </c>
      <c r="H123" s="26">
        <f>IF($K123="","",IF(INDEX('Prospect Tracker'!$K$5:$K$554,$K123)="","",INDEX('Prospect Tracker'!$K$5:$K$554,$K123)))</f>
        <v/>
      </c>
      <c r="I123" s="25">
        <f>IF($K123="","",IF(INDEX('Prospect Tracker'!$T$5:$T$554,$K123)="","",INDEX('Prospect Tracker'!$T$5:$T$554,$K123)))</f>
        <v/>
      </c>
      <c r="J123" s="25">
        <f>IF($K123="","",IF(INDEX('Prospect Tracker'!$L$5:$L$554,$K123)="","",INDEX('Prospect Tracker'!$L$5:$L$554,$K123)))</f>
        <v/>
      </c>
      <c r="K123" s="19">
        <f>IFERROR(MATCH(SMALL('Prospect Tracker'!$X$5:$X$554,ROW()-4),'Prospect Tracker'!$X$5:$X$554,0),"")</f>
        <v/>
      </c>
    </row>
    <row r="124" ht="15" customHeight="1" s="20">
      <c r="A124" s="30">
        <f>IF($K124="","",IF(INDEX('Prospect Tracker'!$W$5:$W$554,$K124)="","",INDEX('Prospect Tracker'!$W$5:$W$554,$K124)))</f>
        <v/>
      </c>
      <c r="B124" s="30">
        <f>IF($K124="","",IF(INDEX('Prospect Tracker'!$A$5:$A$554,$K124)="","",INDEX('Prospect Tracker'!$A$5:$A$554,$K124)))</f>
        <v/>
      </c>
      <c r="C124" s="30">
        <f>IF($K124="","",IF(INDEX('Prospect Tracker'!$B$5:$B$554,$K124)="","",INDEX('Prospect Tracker'!$B$5:$B$554,$K124)))</f>
        <v/>
      </c>
      <c r="D124" s="30">
        <f>IF($K124="","",IF(INDEX('Prospect Tracker'!$M$5:$M$554,$K124)="","",INDEX('Prospect Tracker'!$M$5:$M$554,$K124)))</f>
        <v/>
      </c>
      <c r="E124" s="30">
        <f>IF($K124="","",IF(INDEX('Prospect Tracker'!$R$5:$R$554,$K124)="","",INDEX('Prospect Tracker'!$R$5:$R$554,$K124)))</f>
        <v/>
      </c>
      <c r="F124" s="30">
        <f>IF($K124="","",IF(INDEX('Prospect Tracker'!$J$5:$J$554,$K124)="","",INDEX('Prospect Tracker'!$J$5:$J$554,$K124)))</f>
        <v/>
      </c>
      <c r="G124" s="30">
        <f>IF($K124="","",IF(INDEX('Prospect Tracker'!$H$5:$H$554,$K124)="","",INDEX('Prospect Tracker'!$H$5:$H$554,$K124)))</f>
        <v/>
      </c>
      <c r="H124" s="31">
        <f>IF($K124="","",IF(INDEX('Prospect Tracker'!$K$5:$K$554,$K124)="","",INDEX('Prospect Tracker'!$K$5:$K$554,$K124)))</f>
        <v/>
      </c>
      <c r="I124" s="30">
        <f>IF($K124="","",IF(INDEX('Prospect Tracker'!$T$5:$T$554,$K124)="","",INDEX('Prospect Tracker'!$T$5:$T$554,$K124)))</f>
        <v/>
      </c>
      <c r="J124" s="30">
        <f>IF($K124="","",IF(INDEX('Prospect Tracker'!$L$5:$L$554,$K124)="","",INDEX('Prospect Tracker'!$L$5:$L$554,$K124)))</f>
        <v/>
      </c>
      <c r="K124" s="19">
        <f>IFERROR(MATCH(SMALL('Prospect Tracker'!$X$5:$X$554,ROW()-4),'Prospect Tracker'!$X$5:$X$554,0),"")</f>
        <v/>
      </c>
    </row>
    <row r="125" ht="15" customHeight="1" s="20">
      <c r="A125" s="25">
        <f>IF($K125="","",IF(INDEX('Prospect Tracker'!$W$5:$W$554,$K125)="","",INDEX('Prospect Tracker'!$W$5:$W$554,$K125)))</f>
        <v/>
      </c>
      <c r="B125" s="25">
        <f>IF($K125="","",IF(INDEX('Prospect Tracker'!$A$5:$A$554,$K125)="","",INDEX('Prospect Tracker'!$A$5:$A$554,$K125)))</f>
        <v/>
      </c>
      <c r="C125" s="25">
        <f>IF($K125="","",IF(INDEX('Prospect Tracker'!$B$5:$B$554,$K125)="","",INDEX('Prospect Tracker'!$B$5:$B$554,$K125)))</f>
        <v/>
      </c>
      <c r="D125" s="25">
        <f>IF($K125="","",IF(INDEX('Prospect Tracker'!$M$5:$M$554,$K125)="","",INDEX('Prospect Tracker'!$M$5:$M$554,$K125)))</f>
        <v/>
      </c>
      <c r="E125" s="25">
        <f>IF($K125="","",IF(INDEX('Prospect Tracker'!$R$5:$R$554,$K125)="","",INDEX('Prospect Tracker'!$R$5:$R$554,$K125)))</f>
        <v/>
      </c>
      <c r="F125" s="25">
        <f>IF($K125="","",IF(INDEX('Prospect Tracker'!$J$5:$J$554,$K125)="","",INDEX('Prospect Tracker'!$J$5:$J$554,$K125)))</f>
        <v/>
      </c>
      <c r="G125" s="25">
        <f>IF($K125="","",IF(INDEX('Prospect Tracker'!$H$5:$H$554,$K125)="","",INDEX('Prospect Tracker'!$H$5:$H$554,$K125)))</f>
        <v/>
      </c>
      <c r="H125" s="26">
        <f>IF($K125="","",IF(INDEX('Prospect Tracker'!$K$5:$K$554,$K125)="","",INDEX('Prospect Tracker'!$K$5:$K$554,$K125)))</f>
        <v/>
      </c>
      <c r="I125" s="25">
        <f>IF($K125="","",IF(INDEX('Prospect Tracker'!$T$5:$T$554,$K125)="","",INDEX('Prospect Tracker'!$T$5:$T$554,$K125)))</f>
        <v/>
      </c>
      <c r="J125" s="25">
        <f>IF($K125="","",IF(INDEX('Prospect Tracker'!$L$5:$L$554,$K125)="","",INDEX('Prospect Tracker'!$L$5:$L$554,$K125)))</f>
        <v/>
      </c>
      <c r="K125" s="19">
        <f>IFERROR(MATCH(SMALL('Prospect Tracker'!$X$5:$X$554,ROW()-4),'Prospect Tracker'!$X$5:$X$554,0),"")</f>
        <v/>
      </c>
    </row>
    <row r="126" ht="15" customHeight="1" s="20">
      <c r="A126" s="30">
        <f>IF($K126="","",IF(INDEX('Prospect Tracker'!$W$5:$W$554,$K126)="","",INDEX('Prospect Tracker'!$W$5:$W$554,$K126)))</f>
        <v/>
      </c>
      <c r="B126" s="30">
        <f>IF($K126="","",IF(INDEX('Prospect Tracker'!$A$5:$A$554,$K126)="","",INDEX('Prospect Tracker'!$A$5:$A$554,$K126)))</f>
        <v/>
      </c>
      <c r="C126" s="30">
        <f>IF($K126="","",IF(INDEX('Prospect Tracker'!$B$5:$B$554,$K126)="","",INDEX('Prospect Tracker'!$B$5:$B$554,$K126)))</f>
        <v/>
      </c>
      <c r="D126" s="30">
        <f>IF($K126="","",IF(INDEX('Prospect Tracker'!$M$5:$M$554,$K126)="","",INDEX('Prospect Tracker'!$M$5:$M$554,$K126)))</f>
        <v/>
      </c>
      <c r="E126" s="30">
        <f>IF($K126="","",IF(INDEX('Prospect Tracker'!$R$5:$R$554,$K126)="","",INDEX('Prospect Tracker'!$R$5:$R$554,$K126)))</f>
        <v/>
      </c>
      <c r="F126" s="30">
        <f>IF($K126="","",IF(INDEX('Prospect Tracker'!$J$5:$J$554,$K126)="","",INDEX('Prospect Tracker'!$J$5:$J$554,$K126)))</f>
        <v/>
      </c>
      <c r="G126" s="30">
        <f>IF($K126="","",IF(INDEX('Prospect Tracker'!$H$5:$H$554,$K126)="","",INDEX('Prospect Tracker'!$H$5:$H$554,$K126)))</f>
        <v/>
      </c>
      <c r="H126" s="31">
        <f>IF($K126="","",IF(INDEX('Prospect Tracker'!$K$5:$K$554,$K126)="","",INDEX('Prospect Tracker'!$K$5:$K$554,$K126)))</f>
        <v/>
      </c>
      <c r="I126" s="30">
        <f>IF($K126="","",IF(INDEX('Prospect Tracker'!$T$5:$T$554,$K126)="","",INDEX('Prospect Tracker'!$T$5:$T$554,$K126)))</f>
        <v/>
      </c>
      <c r="J126" s="30">
        <f>IF($K126="","",IF(INDEX('Prospect Tracker'!$L$5:$L$554,$K126)="","",INDEX('Prospect Tracker'!$L$5:$L$554,$K126)))</f>
        <v/>
      </c>
      <c r="K126" s="19">
        <f>IFERROR(MATCH(SMALL('Prospect Tracker'!$X$5:$X$554,ROW()-4),'Prospect Tracker'!$X$5:$X$554,0),"")</f>
        <v/>
      </c>
    </row>
    <row r="127" ht="15" customHeight="1" s="20">
      <c r="A127" s="25">
        <f>IF($K127="","",IF(INDEX('Prospect Tracker'!$W$5:$W$554,$K127)="","",INDEX('Prospect Tracker'!$W$5:$W$554,$K127)))</f>
        <v/>
      </c>
      <c r="B127" s="25">
        <f>IF($K127="","",IF(INDEX('Prospect Tracker'!$A$5:$A$554,$K127)="","",INDEX('Prospect Tracker'!$A$5:$A$554,$K127)))</f>
        <v/>
      </c>
      <c r="C127" s="25">
        <f>IF($K127="","",IF(INDEX('Prospect Tracker'!$B$5:$B$554,$K127)="","",INDEX('Prospect Tracker'!$B$5:$B$554,$K127)))</f>
        <v/>
      </c>
      <c r="D127" s="25">
        <f>IF($K127="","",IF(INDEX('Prospect Tracker'!$M$5:$M$554,$K127)="","",INDEX('Prospect Tracker'!$M$5:$M$554,$K127)))</f>
        <v/>
      </c>
      <c r="E127" s="25">
        <f>IF($K127="","",IF(INDEX('Prospect Tracker'!$R$5:$R$554,$K127)="","",INDEX('Prospect Tracker'!$R$5:$R$554,$K127)))</f>
        <v/>
      </c>
      <c r="F127" s="25">
        <f>IF($K127="","",IF(INDEX('Prospect Tracker'!$J$5:$J$554,$K127)="","",INDEX('Prospect Tracker'!$J$5:$J$554,$K127)))</f>
        <v/>
      </c>
      <c r="G127" s="25">
        <f>IF($K127="","",IF(INDEX('Prospect Tracker'!$H$5:$H$554,$K127)="","",INDEX('Prospect Tracker'!$H$5:$H$554,$K127)))</f>
        <v/>
      </c>
      <c r="H127" s="26">
        <f>IF($K127="","",IF(INDEX('Prospect Tracker'!$K$5:$K$554,$K127)="","",INDEX('Prospect Tracker'!$K$5:$K$554,$K127)))</f>
        <v/>
      </c>
      <c r="I127" s="25">
        <f>IF($K127="","",IF(INDEX('Prospect Tracker'!$T$5:$T$554,$K127)="","",INDEX('Prospect Tracker'!$T$5:$T$554,$K127)))</f>
        <v/>
      </c>
      <c r="J127" s="25">
        <f>IF($K127="","",IF(INDEX('Prospect Tracker'!$L$5:$L$554,$K127)="","",INDEX('Prospect Tracker'!$L$5:$L$554,$K127)))</f>
        <v/>
      </c>
      <c r="K127" s="19">
        <f>IFERROR(MATCH(SMALL('Prospect Tracker'!$X$5:$X$554,ROW()-4),'Prospect Tracker'!$X$5:$X$554,0),"")</f>
        <v/>
      </c>
    </row>
    <row r="128" ht="15" customHeight="1" s="20">
      <c r="A128" s="30">
        <f>IF($K128="","",IF(INDEX('Prospect Tracker'!$W$5:$W$554,$K128)="","",INDEX('Prospect Tracker'!$W$5:$W$554,$K128)))</f>
        <v/>
      </c>
      <c r="B128" s="30">
        <f>IF($K128="","",IF(INDEX('Prospect Tracker'!$A$5:$A$554,$K128)="","",INDEX('Prospect Tracker'!$A$5:$A$554,$K128)))</f>
        <v/>
      </c>
      <c r="C128" s="30">
        <f>IF($K128="","",IF(INDEX('Prospect Tracker'!$B$5:$B$554,$K128)="","",INDEX('Prospect Tracker'!$B$5:$B$554,$K128)))</f>
        <v/>
      </c>
      <c r="D128" s="30">
        <f>IF($K128="","",IF(INDEX('Prospect Tracker'!$M$5:$M$554,$K128)="","",INDEX('Prospect Tracker'!$M$5:$M$554,$K128)))</f>
        <v/>
      </c>
      <c r="E128" s="30">
        <f>IF($K128="","",IF(INDEX('Prospect Tracker'!$R$5:$R$554,$K128)="","",INDEX('Prospect Tracker'!$R$5:$R$554,$K128)))</f>
        <v/>
      </c>
      <c r="F128" s="30">
        <f>IF($K128="","",IF(INDEX('Prospect Tracker'!$J$5:$J$554,$K128)="","",INDEX('Prospect Tracker'!$J$5:$J$554,$K128)))</f>
        <v/>
      </c>
      <c r="G128" s="30">
        <f>IF($K128="","",IF(INDEX('Prospect Tracker'!$H$5:$H$554,$K128)="","",INDEX('Prospect Tracker'!$H$5:$H$554,$K128)))</f>
        <v/>
      </c>
      <c r="H128" s="31">
        <f>IF($K128="","",IF(INDEX('Prospect Tracker'!$K$5:$K$554,$K128)="","",INDEX('Prospect Tracker'!$K$5:$K$554,$K128)))</f>
        <v/>
      </c>
      <c r="I128" s="30">
        <f>IF($K128="","",IF(INDEX('Prospect Tracker'!$T$5:$T$554,$K128)="","",INDEX('Prospect Tracker'!$T$5:$T$554,$K128)))</f>
        <v/>
      </c>
      <c r="J128" s="30">
        <f>IF($K128="","",IF(INDEX('Prospect Tracker'!$L$5:$L$554,$K128)="","",INDEX('Prospect Tracker'!$L$5:$L$554,$K128)))</f>
        <v/>
      </c>
      <c r="K128" s="19">
        <f>IFERROR(MATCH(SMALL('Prospect Tracker'!$X$5:$X$554,ROW()-4),'Prospect Tracker'!$X$5:$X$554,0),"")</f>
        <v/>
      </c>
    </row>
    <row r="129" ht="15" customHeight="1" s="20">
      <c r="A129" s="25">
        <f>IF($K129="","",IF(INDEX('Prospect Tracker'!$W$5:$W$554,$K129)="","",INDEX('Prospect Tracker'!$W$5:$W$554,$K129)))</f>
        <v/>
      </c>
      <c r="B129" s="25">
        <f>IF($K129="","",IF(INDEX('Prospect Tracker'!$A$5:$A$554,$K129)="","",INDEX('Prospect Tracker'!$A$5:$A$554,$K129)))</f>
        <v/>
      </c>
      <c r="C129" s="25">
        <f>IF($K129="","",IF(INDEX('Prospect Tracker'!$B$5:$B$554,$K129)="","",INDEX('Prospect Tracker'!$B$5:$B$554,$K129)))</f>
        <v/>
      </c>
      <c r="D129" s="25">
        <f>IF($K129="","",IF(INDEX('Prospect Tracker'!$M$5:$M$554,$K129)="","",INDEX('Prospect Tracker'!$M$5:$M$554,$K129)))</f>
        <v/>
      </c>
      <c r="E129" s="25">
        <f>IF($K129="","",IF(INDEX('Prospect Tracker'!$R$5:$R$554,$K129)="","",INDEX('Prospect Tracker'!$R$5:$R$554,$K129)))</f>
        <v/>
      </c>
      <c r="F129" s="25">
        <f>IF($K129="","",IF(INDEX('Prospect Tracker'!$J$5:$J$554,$K129)="","",INDEX('Prospect Tracker'!$J$5:$J$554,$K129)))</f>
        <v/>
      </c>
      <c r="G129" s="25">
        <f>IF($K129="","",IF(INDEX('Prospect Tracker'!$H$5:$H$554,$K129)="","",INDEX('Prospect Tracker'!$H$5:$H$554,$K129)))</f>
        <v/>
      </c>
      <c r="H129" s="26">
        <f>IF($K129="","",IF(INDEX('Prospect Tracker'!$K$5:$K$554,$K129)="","",INDEX('Prospect Tracker'!$K$5:$K$554,$K129)))</f>
        <v/>
      </c>
      <c r="I129" s="25">
        <f>IF($K129="","",IF(INDEX('Prospect Tracker'!$T$5:$T$554,$K129)="","",INDEX('Prospect Tracker'!$T$5:$T$554,$K129)))</f>
        <v/>
      </c>
      <c r="J129" s="25">
        <f>IF($K129="","",IF(INDEX('Prospect Tracker'!$L$5:$L$554,$K129)="","",INDEX('Prospect Tracker'!$L$5:$L$554,$K129)))</f>
        <v/>
      </c>
      <c r="K129" s="19">
        <f>IFERROR(MATCH(SMALL('Prospect Tracker'!$X$5:$X$554,ROW()-4),'Prospect Tracker'!$X$5:$X$554,0),"")</f>
        <v/>
      </c>
    </row>
    <row r="130" ht="15" customHeight="1" s="20">
      <c r="A130" s="30">
        <f>IF($K130="","",IF(INDEX('Prospect Tracker'!$W$5:$W$554,$K130)="","",INDEX('Prospect Tracker'!$W$5:$W$554,$K130)))</f>
        <v/>
      </c>
      <c r="B130" s="30">
        <f>IF($K130="","",IF(INDEX('Prospect Tracker'!$A$5:$A$554,$K130)="","",INDEX('Prospect Tracker'!$A$5:$A$554,$K130)))</f>
        <v/>
      </c>
      <c r="C130" s="30">
        <f>IF($K130="","",IF(INDEX('Prospect Tracker'!$B$5:$B$554,$K130)="","",INDEX('Prospect Tracker'!$B$5:$B$554,$K130)))</f>
        <v/>
      </c>
      <c r="D130" s="30">
        <f>IF($K130="","",IF(INDEX('Prospect Tracker'!$M$5:$M$554,$K130)="","",INDEX('Prospect Tracker'!$M$5:$M$554,$K130)))</f>
        <v/>
      </c>
      <c r="E130" s="30">
        <f>IF($K130="","",IF(INDEX('Prospect Tracker'!$R$5:$R$554,$K130)="","",INDEX('Prospect Tracker'!$R$5:$R$554,$K130)))</f>
        <v/>
      </c>
      <c r="F130" s="30">
        <f>IF($K130="","",IF(INDEX('Prospect Tracker'!$J$5:$J$554,$K130)="","",INDEX('Prospect Tracker'!$J$5:$J$554,$K130)))</f>
        <v/>
      </c>
      <c r="G130" s="30">
        <f>IF($K130="","",IF(INDEX('Prospect Tracker'!$H$5:$H$554,$K130)="","",INDEX('Prospect Tracker'!$H$5:$H$554,$K130)))</f>
        <v/>
      </c>
      <c r="H130" s="31">
        <f>IF($K130="","",IF(INDEX('Prospect Tracker'!$K$5:$K$554,$K130)="","",INDEX('Prospect Tracker'!$K$5:$K$554,$K130)))</f>
        <v/>
      </c>
      <c r="I130" s="30">
        <f>IF($K130="","",IF(INDEX('Prospect Tracker'!$T$5:$T$554,$K130)="","",INDEX('Prospect Tracker'!$T$5:$T$554,$K130)))</f>
        <v/>
      </c>
      <c r="J130" s="30">
        <f>IF($K130="","",IF(INDEX('Prospect Tracker'!$L$5:$L$554,$K130)="","",INDEX('Prospect Tracker'!$L$5:$L$554,$K130)))</f>
        <v/>
      </c>
      <c r="K130" s="19">
        <f>IFERROR(MATCH(SMALL('Prospect Tracker'!$X$5:$X$554,ROW()-4),'Prospect Tracker'!$X$5:$X$554,0),"")</f>
        <v/>
      </c>
    </row>
    <row r="131" ht="15" customHeight="1" s="20">
      <c r="A131" s="25">
        <f>IF($K131="","",IF(INDEX('Prospect Tracker'!$W$5:$W$554,$K131)="","",INDEX('Prospect Tracker'!$W$5:$W$554,$K131)))</f>
        <v/>
      </c>
      <c r="B131" s="25">
        <f>IF($K131="","",IF(INDEX('Prospect Tracker'!$A$5:$A$554,$K131)="","",INDEX('Prospect Tracker'!$A$5:$A$554,$K131)))</f>
        <v/>
      </c>
      <c r="C131" s="25">
        <f>IF($K131="","",IF(INDEX('Prospect Tracker'!$B$5:$B$554,$K131)="","",INDEX('Prospect Tracker'!$B$5:$B$554,$K131)))</f>
        <v/>
      </c>
      <c r="D131" s="25">
        <f>IF($K131="","",IF(INDEX('Prospect Tracker'!$M$5:$M$554,$K131)="","",INDEX('Prospect Tracker'!$M$5:$M$554,$K131)))</f>
        <v/>
      </c>
      <c r="E131" s="25">
        <f>IF($K131="","",IF(INDEX('Prospect Tracker'!$R$5:$R$554,$K131)="","",INDEX('Prospect Tracker'!$R$5:$R$554,$K131)))</f>
        <v/>
      </c>
      <c r="F131" s="25">
        <f>IF($K131="","",IF(INDEX('Prospect Tracker'!$J$5:$J$554,$K131)="","",INDEX('Prospect Tracker'!$J$5:$J$554,$K131)))</f>
        <v/>
      </c>
      <c r="G131" s="25">
        <f>IF($K131="","",IF(INDEX('Prospect Tracker'!$H$5:$H$554,$K131)="","",INDEX('Prospect Tracker'!$H$5:$H$554,$K131)))</f>
        <v/>
      </c>
      <c r="H131" s="26">
        <f>IF($K131="","",IF(INDEX('Prospect Tracker'!$K$5:$K$554,$K131)="","",INDEX('Prospect Tracker'!$K$5:$K$554,$K131)))</f>
        <v/>
      </c>
      <c r="I131" s="25">
        <f>IF($K131="","",IF(INDEX('Prospect Tracker'!$T$5:$T$554,$K131)="","",INDEX('Prospect Tracker'!$T$5:$T$554,$K131)))</f>
        <v/>
      </c>
      <c r="J131" s="25">
        <f>IF($K131="","",IF(INDEX('Prospect Tracker'!$L$5:$L$554,$K131)="","",INDEX('Prospect Tracker'!$L$5:$L$554,$K131)))</f>
        <v/>
      </c>
      <c r="K131" s="19">
        <f>IFERROR(MATCH(SMALL('Prospect Tracker'!$X$5:$X$554,ROW()-4),'Prospect Tracker'!$X$5:$X$554,0),"")</f>
        <v/>
      </c>
    </row>
    <row r="132" ht="15" customHeight="1" s="20">
      <c r="A132" s="30">
        <f>IF($K132="","",IF(INDEX('Prospect Tracker'!$W$5:$W$554,$K132)="","",INDEX('Prospect Tracker'!$W$5:$W$554,$K132)))</f>
        <v/>
      </c>
      <c r="B132" s="30">
        <f>IF($K132="","",IF(INDEX('Prospect Tracker'!$A$5:$A$554,$K132)="","",INDEX('Prospect Tracker'!$A$5:$A$554,$K132)))</f>
        <v/>
      </c>
      <c r="C132" s="30">
        <f>IF($K132="","",IF(INDEX('Prospect Tracker'!$B$5:$B$554,$K132)="","",INDEX('Prospect Tracker'!$B$5:$B$554,$K132)))</f>
        <v/>
      </c>
      <c r="D132" s="30">
        <f>IF($K132="","",IF(INDEX('Prospect Tracker'!$M$5:$M$554,$K132)="","",INDEX('Prospect Tracker'!$M$5:$M$554,$K132)))</f>
        <v/>
      </c>
      <c r="E132" s="30">
        <f>IF($K132="","",IF(INDEX('Prospect Tracker'!$R$5:$R$554,$K132)="","",INDEX('Prospect Tracker'!$R$5:$R$554,$K132)))</f>
        <v/>
      </c>
      <c r="F132" s="30">
        <f>IF($K132="","",IF(INDEX('Prospect Tracker'!$J$5:$J$554,$K132)="","",INDEX('Prospect Tracker'!$J$5:$J$554,$K132)))</f>
        <v/>
      </c>
      <c r="G132" s="30">
        <f>IF($K132="","",IF(INDEX('Prospect Tracker'!$H$5:$H$554,$K132)="","",INDEX('Prospect Tracker'!$H$5:$H$554,$K132)))</f>
        <v/>
      </c>
      <c r="H132" s="31">
        <f>IF($K132="","",IF(INDEX('Prospect Tracker'!$K$5:$K$554,$K132)="","",INDEX('Prospect Tracker'!$K$5:$K$554,$K132)))</f>
        <v/>
      </c>
      <c r="I132" s="30">
        <f>IF($K132="","",IF(INDEX('Prospect Tracker'!$T$5:$T$554,$K132)="","",INDEX('Prospect Tracker'!$T$5:$T$554,$K132)))</f>
        <v/>
      </c>
      <c r="J132" s="30">
        <f>IF($K132="","",IF(INDEX('Prospect Tracker'!$L$5:$L$554,$K132)="","",INDEX('Prospect Tracker'!$L$5:$L$554,$K132)))</f>
        <v/>
      </c>
      <c r="K132" s="19">
        <f>IFERROR(MATCH(SMALL('Prospect Tracker'!$X$5:$X$554,ROW()-4),'Prospect Tracker'!$X$5:$X$554,0),"")</f>
        <v/>
      </c>
    </row>
    <row r="133" ht="15" customHeight="1" s="20">
      <c r="A133" s="25">
        <f>IF($K133="","",IF(INDEX('Prospect Tracker'!$W$5:$W$554,$K133)="","",INDEX('Prospect Tracker'!$W$5:$W$554,$K133)))</f>
        <v/>
      </c>
      <c r="B133" s="25">
        <f>IF($K133="","",IF(INDEX('Prospect Tracker'!$A$5:$A$554,$K133)="","",INDEX('Prospect Tracker'!$A$5:$A$554,$K133)))</f>
        <v/>
      </c>
      <c r="C133" s="25">
        <f>IF($K133="","",IF(INDEX('Prospect Tracker'!$B$5:$B$554,$K133)="","",INDEX('Prospect Tracker'!$B$5:$B$554,$K133)))</f>
        <v/>
      </c>
      <c r="D133" s="25">
        <f>IF($K133="","",IF(INDEX('Prospect Tracker'!$M$5:$M$554,$K133)="","",INDEX('Prospect Tracker'!$M$5:$M$554,$K133)))</f>
        <v/>
      </c>
      <c r="E133" s="25">
        <f>IF($K133="","",IF(INDEX('Prospect Tracker'!$R$5:$R$554,$K133)="","",INDEX('Prospect Tracker'!$R$5:$R$554,$K133)))</f>
        <v/>
      </c>
      <c r="F133" s="25">
        <f>IF($K133="","",IF(INDEX('Prospect Tracker'!$J$5:$J$554,$K133)="","",INDEX('Prospect Tracker'!$J$5:$J$554,$K133)))</f>
        <v/>
      </c>
      <c r="G133" s="25">
        <f>IF($K133="","",IF(INDEX('Prospect Tracker'!$H$5:$H$554,$K133)="","",INDEX('Prospect Tracker'!$H$5:$H$554,$K133)))</f>
        <v/>
      </c>
      <c r="H133" s="26">
        <f>IF($K133="","",IF(INDEX('Prospect Tracker'!$K$5:$K$554,$K133)="","",INDEX('Prospect Tracker'!$K$5:$K$554,$K133)))</f>
        <v/>
      </c>
      <c r="I133" s="25">
        <f>IF($K133="","",IF(INDEX('Prospect Tracker'!$T$5:$T$554,$K133)="","",INDEX('Prospect Tracker'!$T$5:$T$554,$K133)))</f>
        <v/>
      </c>
      <c r="J133" s="25">
        <f>IF($K133="","",IF(INDEX('Prospect Tracker'!$L$5:$L$554,$K133)="","",INDEX('Prospect Tracker'!$L$5:$L$554,$K133)))</f>
        <v/>
      </c>
      <c r="K133" s="19">
        <f>IFERROR(MATCH(SMALL('Prospect Tracker'!$X$5:$X$554,ROW()-4),'Prospect Tracker'!$X$5:$X$554,0),"")</f>
        <v/>
      </c>
    </row>
    <row r="134" ht="15" customHeight="1" s="20">
      <c r="A134" s="30">
        <f>IF($K134="","",IF(INDEX('Prospect Tracker'!$W$5:$W$554,$K134)="","",INDEX('Prospect Tracker'!$W$5:$W$554,$K134)))</f>
        <v/>
      </c>
      <c r="B134" s="30">
        <f>IF($K134="","",IF(INDEX('Prospect Tracker'!$A$5:$A$554,$K134)="","",INDEX('Prospect Tracker'!$A$5:$A$554,$K134)))</f>
        <v/>
      </c>
      <c r="C134" s="30">
        <f>IF($K134="","",IF(INDEX('Prospect Tracker'!$B$5:$B$554,$K134)="","",INDEX('Prospect Tracker'!$B$5:$B$554,$K134)))</f>
        <v/>
      </c>
      <c r="D134" s="30">
        <f>IF($K134="","",IF(INDEX('Prospect Tracker'!$M$5:$M$554,$K134)="","",INDEX('Prospect Tracker'!$M$5:$M$554,$K134)))</f>
        <v/>
      </c>
      <c r="E134" s="30">
        <f>IF($K134="","",IF(INDEX('Prospect Tracker'!$R$5:$R$554,$K134)="","",INDEX('Prospect Tracker'!$R$5:$R$554,$K134)))</f>
        <v/>
      </c>
      <c r="F134" s="30">
        <f>IF($K134="","",IF(INDEX('Prospect Tracker'!$J$5:$J$554,$K134)="","",INDEX('Prospect Tracker'!$J$5:$J$554,$K134)))</f>
        <v/>
      </c>
      <c r="G134" s="30">
        <f>IF($K134="","",IF(INDEX('Prospect Tracker'!$H$5:$H$554,$K134)="","",INDEX('Prospect Tracker'!$H$5:$H$554,$K134)))</f>
        <v/>
      </c>
      <c r="H134" s="31">
        <f>IF($K134="","",IF(INDEX('Prospect Tracker'!$K$5:$K$554,$K134)="","",INDEX('Prospect Tracker'!$K$5:$K$554,$K134)))</f>
        <v/>
      </c>
      <c r="I134" s="30">
        <f>IF($K134="","",IF(INDEX('Prospect Tracker'!$T$5:$T$554,$K134)="","",INDEX('Prospect Tracker'!$T$5:$T$554,$K134)))</f>
        <v/>
      </c>
      <c r="J134" s="30">
        <f>IF($K134="","",IF(INDEX('Prospect Tracker'!$L$5:$L$554,$K134)="","",INDEX('Prospect Tracker'!$L$5:$L$554,$K134)))</f>
        <v/>
      </c>
      <c r="K134" s="19">
        <f>IFERROR(MATCH(SMALL('Prospect Tracker'!$X$5:$X$554,ROW()-4),'Prospect Tracker'!$X$5:$X$554,0),"")</f>
        <v/>
      </c>
    </row>
    <row r="135" ht="15" customHeight="1" s="20">
      <c r="A135" s="25">
        <f>IF($K135="","",IF(INDEX('Prospect Tracker'!$W$5:$W$554,$K135)="","",INDEX('Prospect Tracker'!$W$5:$W$554,$K135)))</f>
        <v/>
      </c>
      <c r="B135" s="25">
        <f>IF($K135="","",IF(INDEX('Prospect Tracker'!$A$5:$A$554,$K135)="","",INDEX('Prospect Tracker'!$A$5:$A$554,$K135)))</f>
        <v/>
      </c>
      <c r="C135" s="25">
        <f>IF($K135="","",IF(INDEX('Prospect Tracker'!$B$5:$B$554,$K135)="","",INDEX('Prospect Tracker'!$B$5:$B$554,$K135)))</f>
        <v/>
      </c>
      <c r="D135" s="25">
        <f>IF($K135="","",IF(INDEX('Prospect Tracker'!$M$5:$M$554,$K135)="","",INDEX('Prospect Tracker'!$M$5:$M$554,$K135)))</f>
        <v/>
      </c>
      <c r="E135" s="25">
        <f>IF($K135="","",IF(INDEX('Prospect Tracker'!$R$5:$R$554,$K135)="","",INDEX('Prospect Tracker'!$R$5:$R$554,$K135)))</f>
        <v/>
      </c>
      <c r="F135" s="25">
        <f>IF($K135="","",IF(INDEX('Prospect Tracker'!$J$5:$J$554,$K135)="","",INDEX('Prospect Tracker'!$J$5:$J$554,$K135)))</f>
        <v/>
      </c>
      <c r="G135" s="25">
        <f>IF($K135="","",IF(INDEX('Prospect Tracker'!$H$5:$H$554,$K135)="","",INDEX('Prospect Tracker'!$H$5:$H$554,$K135)))</f>
        <v/>
      </c>
      <c r="H135" s="26">
        <f>IF($K135="","",IF(INDEX('Prospect Tracker'!$K$5:$K$554,$K135)="","",INDEX('Prospect Tracker'!$K$5:$K$554,$K135)))</f>
        <v/>
      </c>
      <c r="I135" s="25">
        <f>IF($K135="","",IF(INDEX('Prospect Tracker'!$T$5:$T$554,$K135)="","",INDEX('Prospect Tracker'!$T$5:$T$554,$K135)))</f>
        <v/>
      </c>
      <c r="J135" s="25">
        <f>IF($K135="","",IF(INDEX('Prospect Tracker'!$L$5:$L$554,$K135)="","",INDEX('Prospect Tracker'!$L$5:$L$554,$K135)))</f>
        <v/>
      </c>
      <c r="K135" s="19">
        <f>IFERROR(MATCH(SMALL('Prospect Tracker'!$X$5:$X$554,ROW()-4),'Prospect Tracker'!$X$5:$X$554,0),"")</f>
        <v/>
      </c>
    </row>
    <row r="136" ht="15" customHeight="1" s="20">
      <c r="A136" s="30">
        <f>IF($K136="","",IF(INDEX('Prospect Tracker'!$W$5:$W$554,$K136)="","",INDEX('Prospect Tracker'!$W$5:$W$554,$K136)))</f>
        <v/>
      </c>
      <c r="B136" s="30">
        <f>IF($K136="","",IF(INDEX('Prospect Tracker'!$A$5:$A$554,$K136)="","",INDEX('Prospect Tracker'!$A$5:$A$554,$K136)))</f>
        <v/>
      </c>
      <c r="C136" s="30">
        <f>IF($K136="","",IF(INDEX('Prospect Tracker'!$B$5:$B$554,$K136)="","",INDEX('Prospect Tracker'!$B$5:$B$554,$K136)))</f>
        <v/>
      </c>
      <c r="D136" s="30">
        <f>IF($K136="","",IF(INDEX('Prospect Tracker'!$M$5:$M$554,$K136)="","",INDEX('Prospect Tracker'!$M$5:$M$554,$K136)))</f>
        <v/>
      </c>
      <c r="E136" s="30">
        <f>IF($K136="","",IF(INDEX('Prospect Tracker'!$R$5:$R$554,$K136)="","",INDEX('Prospect Tracker'!$R$5:$R$554,$K136)))</f>
        <v/>
      </c>
      <c r="F136" s="30">
        <f>IF($K136="","",IF(INDEX('Prospect Tracker'!$J$5:$J$554,$K136)="","",INDEX('Prospect Tracker'!$J$5:$J$554,$K136)))</f>
        <v/>
      </c>
      <c r="G136" s="30">
        <f>IF($K136="","",IF(INDEX('Prospect Tracker'!$H$5:$H$554,$K136)="","",INDEX('Prospect Tracker'!$H$5:$H$554,$K136)))</f>
        <v/>
      </c>
      <c r="H136" s="31">
        <f>IF($K136="","",IF(INDEX('Prospect Tracker'!$K$5:$K$554,$K136)="","",INDEX('Prospect Tracker'!$K$5:$K$554,$K136)))</f>
        <v/>
      </c>
      <c r="I136" s="30">
        <f>IF($K136="","",IF(INDEX('Prospect Tracker'!$T$5:$T$554,$K136)="","",INDEX('Prospect Tracker'!$T$5:$T$554,$K136)))</f>
        <v/>
      </c>
      <c r="J136" s="30">
        <f>IF($K136="","",IF(INDEX('Prospect Tracker'!$L$5:$L$554,$K136)="","",INDEX('Prospect Tracker'!$L$5:$L$554,$K136)))</f>
        <v/>
      </c>
      <c r="K136" s="19">
        <f>IFERROR(MATCH(SMALL('Prospect Tracker'!$X$5:$X$554,ROW()-4),'Prospect Tracker'!$X$5:$X$554,0),"")</f>
        <v/>
      </c>
    </row>
    <row r="137" ht="15" customHeight="1" s="20">
      <c r="A137" s="25">
        <f>IF($K137="","",IF(INDEX('Prospect Tracker'!$W$5:$W$554,$K137)="","",INDEX('Prospect Tracker'!$W$5:$W$554,$K137)))</f>
        <v/>
      </c>
      <c r="B137" s="25">
        <f>IF($K137="","",IF(INDEX('Prospect Tracker'!$A$5:$A$554,$K137)="","",INDEX('Prospect Tracker'!$A$5:$A$554,$K137)))</f>
        <v/>
      </c>
      <c r="C137" s="25">
        <f>IF($K137="","",IF(INDEX('Prospect Tracker'!$B$5:$B$554,$K137)="","",INDEX('Prospect Tracker'!$B$5:$B$554,$K137)))</f>
        <v/>
      </c>
      <c r="D137" s="25">
        <f>IF($K137="","",IF(INDEX('Prospect Tracker'!$M$5:$M$554,$K137)="","",INDEX('Prospect Tracker'!$M$5:$M$554,$K137)))</f>
        <v/>
      </c>
      <c r="E137" s="25">
        <f>IF($K137="","",IF(INDEX('Prospect Tracker'!$R$5:$R$554,$K137)="","",INDEX('Prospect Tracker'!$R$5:$R$554,$K137)))</f>
        <v/>
      </c>
      <c r="F137" s="25">
        <f>IF($K137="","",IF(INDEX('Prospect Tracker'!$J$5:$J$554,$K137)="","",INDEX('Prospect Tracker'!$J$5:$J$554,$K137)))</f>
        <v/>
      </c>
      <c r="G137" s="25">
        <f>IF($K137="","",IF(INDEX('Prospect Tracker'!$H$5:$H$554,$K137)="","",INDEX('Prospect Tracker'!$H$5:$H$554,$K137)))</f>
        <v/>
      </c>
      <c r="H137" s="26">
        <f>IF($K137="","",IF(INDEX('Prospect Tracker'!$K$5:$K$554,$K137)="","",INDEX('Prospect Tracker'!$K$5:$K$554,$K137)))</f>
        <v/>
      </c>
      <c r="I137" s="25">
        <f>IF($K137="","",IF(INDEX('Prospect Tracker'!$T$5:$T$554,$K137)="","",INDEX('Prospect Tracker'!$T$5:$T$554,$K137)))</f>
        <v/>
      </c>
      <c r="J137" s="25">
        <f>IF($K137="","",IF(INDEX('Prospect Tracker'!$L$5:$L$554,$K137)="","",INDEX('Prospect Tracker'!$L$5:$L$554,$K137)))</f>
        <v/>
      </c>
      <c r="K137" s="19">
        <f>IFERROR(MATCH(SMALL('Prospect Tracker'!$X$5:$X$554,ROW()-4),'Prospect Tracker'!$X$5:$X$554,0),"")</f>
        <v/>
      </c>
    </row>
    <row r="138" ht="15" customHeight="1" s="20">
      <c r="A138" s="30">
        <f>IF($K138="","",IF(INDEX('Prospect Tracker'!$W$5:$W$554,$K138)="","",INDEX('Prospect Tracker'!$W$5:$W$554,$K138)))</f>
        <v/>
      </c>
      <c r="B138" s="30">
        <f>IF($K138="","",IF(INDEX('Prospect Tracker'!$A$5:$A$554,$K138)="","",INDEX('Prospect Tracker'!$A$5:$A$554,$K138)))</f>
        <v/>
      </c>
      <c r="C138" s="30">
        <f>IF($K138="","",IF(INDEX('Prospect Tracker'!$B$5:$B$554,$K138)="","",INDEX('Prospect Tracker'!$B$5:$B$554,$K138)))</f>
        <v/>
      </c>
      <c r="D138" s="30">
        <f>IF($K138="","",IF(INDEX('Prospect Tracker'!$M$5:$M$554,$K138)="","",INDEX('Prospect Tracker'!$M$5:$M$554,$K138)))</f>
        <v/>
      </c>
      <c r="E138" s="30">
        <f>IF($K138="","",IF(INDEX('Prospect Tracker'!$R$5:$R$554,$K138)="","",INDEX('Prospect Tracker'!$R$5:$R$554,$K138)))</f>
        <v/>
      </c>
      <c r="F138" s="30">
        <f>IF($K138="","",IF(INDEX('Prospect Tracker'!$J$5:$J$554,$K138)="","",INDEX('Prospect Tracker'!$J$5:$J$554,$K138)))</f>
        <v/>
      </c>
      <c r="G138" s="30">
        <f>IF($K138="","",IF(INDEX('Prospect Tracker'!$H$5:$H$554,$K138)="","",INDEX('Prospect Tracker'!$H$5:$H$554,$K138)))</f>
        <v/>
      </c>
      <c r="H138" s="31">
        <f>IF($K138="","",IF(INDEX('Prospect Tracker'!$K$5:$K$554,$K138)="","",INDEX('Prospect Tracker'!$K$5:$K$554,$K138)))</f>
        <v/>
      </c>
      <c r="I138" s="30">
        <f>IF($K138="","",IF(INDEX('Prospect Tracker'!$T$5:$T$554,$K138)="","",INDEX('Prospect Tracker'!$T$5:$T$554,$K138)))</f>
        <v/>
      </c>
      <c r="J138" s="30">
        <f>IF($K138="","",IF(INDEX('Prospect Tracker'!$L$5:$L$554,$K138)="","",INDEX('Prospect Tracker'!$L$5:$L$554,$K138)))</f>
        <v/>
      </c>
      <c r="K138" s="19">
        <f>IFERROR(MATCH(SMALL('Prospect Tracker'!$X$5:$X$554,ROW()-4),'Prospect Tracker'!$X$5:$X$554,0),"")</f>
        <v/>
      </c>
    </row>
    <row r="139" ht="15" customHeight="1" s="20">
      <c r="A139" s="25">
        <f>IF($K139="","",IF(INDEX('Prospect Tracker'!$W$5:$W$554,$K139)="","",INDEX('Prospect Tracker'!$W$5:$W$554,$K139)))</f>
        <v/>
      </c>
      <c r="B139" s="25">
        <f>IF($K139="","",IF(INDEX('Prospect Tracker'!$A$5:$A$554,$K139)="","",INDEX('Prospect Tracker'!$A$5:$A$554,$K139)))</f>
        <v/>
      </c>
      <c r="C139" s="25">
        <f>IF($K139="","",IF(INDEX('Prospect Tracker'!$B$5:$B$554,$K139)="","",INDEX('Prospect Tracker'!$B$5:$B$554,$K139)))</f>
        <v/>
      </c>
      <c r="D139" s="25">
        <f>IF($K139="","",IF(INDEX('Prospect Tracker'!$M$5:$M$554,$K139)="","",INDEX('Prospect Tracker'!$M$5:$M$554,$K139)))</f>
        <v/>
      </c>
      <c r="E139" s="25">
        <f>IF($K139="","",IF(INDEX('Prospect Tracker'!$R$5:$R$554,$K139)="","",INDEX('Prospect Tracker'!$R$5:$R$554,$K139)))</f>
        <v/>
      </c>
      <c r="F139" s="25">
        <f>IF($K139="","",IF(INDEX('Prospect Tracker'!$J$5:$J$554,$K139)="","",INDEX('Prospect Tracker'!$J$5:$J$554,$K139)))</f>
        <v/>
      </c>
      <c r="G139" s="25">
        <f>IF($K139="","",IF(INDEX('Prospect Tracker'!$H$5:$H$554,$K139)="","",INDEX('Prospect Tracker'!$H$5:$H$554,$K139)))</f>
        <v/>
      </c>
      <c r="H139" s="26">
        <f>IF($K139="","",IF(INDEX('Prospect Tracker'!$K$5:$K$554,$K139)="","",INDEX('Prospect Tracker'!$K$5:$K$554,$K139)))</f>
        <v/>
      </c>
      <c r="I139" s="25">
        <f>IF($K139="","",IF(INDEX('Prospect Tracker'!$T$5:$T$554,$K139)="","",INDEX('Prospect Tracker'!$T$5:$T$554,$K139)))</f>
        <v/>
      </c>
      <c r="J139" s="25">
        <f>IF($K139="","",IF(INDEX('Prospect Tracker'!$L$5:$L$554,$K139)="","",INDEX('Prospect Tracker'!$L$5:$L$554,$K139)))</f>
        <v/>
      </c>
      <c r="K139" s="19">
        <f>IFERROR(MATCH(SMALL('Prospect Tracker'!$X$5:$X$554,ROW()-4),'Prospect Tracker'!$X$5:$X$554,0),"")</f>
        <v/>
      </c>
    </row>
    <row r="140" ht="15" customHeight="1" s="20">
      <c r="A140" s="30">
        <f>IF($K140="","",IF(INDEX('Prospect Tracker'!$W$5:$W$554,$K140)="","",INDEX('Prospect Tracker'!$W$5:$W$554,$K140)))</f>
        <v/>
      </c>
      <c r="B140" s="30">
        <f>IF($K140="","",IF(INDEX('Prospect Tracker'!$A$5:$A$554,$K140)="","",INDEX('Prospect Tracker'!$A$5:$A$554,$K140)))</f>
        <v/>
      </c>
      <c r="C140" s="30">
        <f>IF($K140="","",IF(INDEX('Prospect Tracker'!$B$5:$B$554,$K140)="","",INDEX('Prospect Tracker'!$B$5:$B$554,$K140)))</f>
        <v/>
      </c>
      <c r="D140" s="30">
        <f>IF($K140="","",IF(INDEX('Prospect Tracker'!$M$5:$M$554,$K140)="","",INDEX('Prospect Tracker'!$M$5:$M$554,$K140)))</f>
        <v/>
      </c>
      <c r="E140" s="30">
        <f>IF($K140="","",IF(INDEX('Prospect Tracker'!$R$5:$R$554,$K140)="","",INDEX('Prospect Tracker'!$R$5:$R$554,$K140)))</f>
        <v/>
      </c>
      <c r="F140" s="30">
        <f>IF($K140="","",IF(INDEX('Prospect Tracker'!$J$5:$J$554,$K140)="","",INDEX('Prospect Tracker'!$J$5:$J$554,$K140)))</f>
        <v/>
      </c>
      <c r="G140" s="30">
        <f>IF($K140="","",IF(INDEX('Prospect Tracker'!$H$5:$H$554,$K140)="","",INDEX('Prospect Tracker'!$H$5:$H$554,$K140)))</f>
        <v/>
      </c>
      <c r="H140" s="31">
        <f>IF($K140="","",IF(INDEX('Prospect Tracker'!$K$5:$K$554,$K140)="","",INDEX('Prospect Tracker'!$K$5:$K$554,$K140)))</f>
        <v/>
      </c>
      <c r="I140" s="30">
        <f>IF($K140="","",IF(INDEX('Prospect Tracker'!$T$5:$T$554,$K140)="","",INDEX('Prospect Tracker'!$T$5:$T$554,$K140)))</f>
        <v/>
      </c>
      <c r="J140" s="30">
        <f>IF($K140="","",IF(INDEX('Prospect Tracker'!$L$5:$L$554,$K140)="","",INDEX('Prospect Tracker'!$L$5:$L$554,$K140)))</f>
        <v/>
      </c>
      <c r="K140" s="19">
        <f>IFERROR(MATCH(SMALL('Prospect Tracker'!$X$5:$X$554,ROW()-4),'Prospect Tracker'!$X$5:$X$554,0),"")</f>
        <v/>
      </c>
    </row>
    <row r="141" ht="15" customHeight="1" s="20">
      <c r="A141" s="25">
        <f>IF($K141="","",IF(INDEX('Prospect Tracker'!$W$5:$W$554,$K141)="","",INDEX('Prospect Tracker'!$W$5:$W$554,$K141)))</f>
        <v/>
      </c>
      <c r="B141" s="25">
        <f>IF($K141="","",IF(INDEX('Prospect Tracker'!$A$5:$A$554,$K141)="","",INDEX('Prospect Tracker'!$A$5:$A$554,$K141)))</f>
        <v/>
      </c>
      <c r="C141" s="25">
        <f>IF($K141="","",IF(INDEX('Prospect Tracker'!$B$5:$B$554,$K141)="","",INDEX('Prospect Tracker'!$B$5:$B$554,$K141)))</f>
        <v/>
      </c>
      <c r="D141" s="25">
        <f>IF($K141="","",IF(INDEX('Prospect Tracker'!$M$5:$M$554,$K141)="","",INDEX('Prospect Tracker'!$M$5:$M$554,$K141)))</f>
        <v/>
      </c>
      <c r="E141" s="25">
        <f>IF($K141="","",IF(INDEX('Prospect Tracker'!$R$5:$R$554,$K141)="","",INDEX('Prospect Tracker'!$R$5:$R$554,$K141)))</f>
        <v/>
      </c>
      <c r="F141" s="25">
        <f>IF($K141="","",IF(INDEX('Prospect Tracker'!$J$5:$J$554,$K141)="","",INDEX('Prospect Tracker'!$J$5:$J$554,$K141)))</f>
        <v/>
      </c>
      <c r="G141" s="25">
        <f>IF($K141="","",IF(INDEX('Prospect Tracker'!$H$5:$H$554,$K141)="","",INDEX('Prospect Tracker'!$H$5:$H$554,$K141)))</f>
        <v/>
      </c>
      <c r="H141" s="26">
        <f>IF($K141="","",IF(INDEX('Prospect Tracker'!$K$5:$K$554,$K141)="","",INDEX('Prospect Tracker'!$K$5:$K$554,$K141)))</f>
        <v/>
      </c>
      <c r="I141" s="25">
        <f>IF($K141="","",IF(INDEX('Prospect Tracker'!$T$5:$T$554,$K141)="","",INDEX('Prospect Tracker'!$T$5:$T$554,$K141)))</f>
        <v/>
      </c>
      <c r="J141" s="25">
        <f>IF($K141="","",IF(INDEX('Prospect Tracker'!$L$5:$L$554,$K141)="","",INDEX('Prospect Tracker'!$L$5:$L$554,$K141)))</f>
        <v/>
      </c>
      <c r="K141" s="19">
        <f>IFERROR(MATCH(SMALL('Prospect Tracker'!$X$5:$X$554,ROW()-4),'Prospect Tracker'!$X$5:$X$554,0),"")</f>
        <v/>
      </c>
    </row>
    <row r="142" ht="15" customHeight="1" s="20">
      <c r="A142" s="30">
        <f>IF($K142="","",IF(INDEX('Prospect Tracker'!$W$5:$W$554,$K142)="","",INDEX('Prospect Tracker'!$W$5:$W$554,$K142)))</f>
        <v/>
      </c>
      <c r="B142" s="30">
        <f>IF($K142="","",IF(INDEX('Prospect Tracker'!$A$5:$A$554,$K142)="","",INDEX('Prospect Tracker'!$A$5:$A$554,$K142)))</f>
        <v/>
      </c>
      <c r="C142" s="30">
        <f>IF($K142="","",IF(INDEX('Prospect Tracker'!$B$5:$B$554,$K142)="","",INDEX('Prospect Tracker'!$B$5:$B$554,$K142)))</f>
        <v/>
      </c>
      <c r="D142" s="30">
        <f>IF($K142="","",IF(INDEX('Prospect Tracker'!$M$5:$M$554,$K142)="","",INDEX('Prospect Tracker'!$M$5:$M$554,$K142)))</f>
        <v/>
      </c>
      <c r="E142" s="30">
        <f>IF($K142="","",IF(INDEX('Prospect Tracker'!$R$5:$R$554,$K142)="","",INDEX('Prospect Tracker'!$R$5:$R$554,$K142)))</f>
        <v/>
      </c>
      <c r="F142" s="30">
        <f>IF($K142="","",IF(INDEX('Prospect Tracker'!$J$5:$J$554,$K142)="","",INDEX('Prospect Tracker'!$J$5:$J$554,$K142)))</f>
        <v/>
      </c>
      <c r="G142" s="30">
        <f>IF($K142="","",IF(INDEX('Prospect Tracker'!$H$5:$H$554,$K142)="","",INDEX('Prospect Tracker'!$H$5:$H$554,$K142)))</f>
        <v/>
      </c>
      <c r="H142" s="31">
        <f>IF($K142="","",IF(INDEX('Prospect Tracker'!$K$5:$K$554,$K142)="","",INDEX('Prospect Tracker'!$K$5:$K$554,$K142)))</f>
        <v/>
      </c>
      <c r="I142" s="30">
        <f>IF($K142="","",IF(INDEX('Prospect Tracker'!$T$5:$T$554,$K142)="","",INDEX('Prospect Tracker'!$T$5:$T$554,$K142)))</f>
        <v/>
      </c>
      <c r="J142" s="30">
        <f>IF($K142="","",IF(INDEX('Prospect Tracker'!$L$5:$L$554,$K142)="","",INDEX('Prospect Tracker'!$L$5:$L$554,$K142)))</f>
        <v/>
      </c>
      <c r="K142" s="19">
        <f>IFERROR(MATCH(SMALL('Prospect Tracker'!$X$5:$X$554,ROW()-4),'Prospect Tracker'!$X$5:$X$554,0),"")</f>
        <v/>
      </c>
    </row>
    <row r="143" ht="15" customHeight="1" s="20">
      <c r="A143" s="25">
        <f>IF($K143="","",IF(INDEX('Prospect Tracker'!$W$5:$W$554,$K143)="","",INDEX('Prospect Tracker'!$W$5:$W$554,$K143)))</f>
        <v/>
      </c>
      <c r="B143" s="25">
        <f>IF($K143="","",IF(INDEX('Prospect Tracker'!$A$5:$A$554,$K143)="","",INDEX('Prospect Tracker'!$A$5:$A$554,$K143)))</f>
        <v/>
      </c>
      <c r="C143" s="25">
        <f>IF($K143="","",IF(INDEX('Prospect Tracker'!$B$5:$B$554,$K143)="","",INDEX('Prospect Tracker'!$B$5:$B$554,$K143)))</f>
        <v/>
      </c>
      <c r="D143" s="25">
        <f>IF($K143="","",IF(INDEX('Prospect Tracker'!$M$5:$M$554,$K143)="","",INDEX('Prospect Tracker'!$M$5:$M$554,$K143)))</f>
        <v/>
      </c>
      <c r="E143" s="25">
        <f>IF($K143="","",IF(INDEX('Prospect Tracker'!$R$5:$R$554,$K143)="","",INDEX('Prospect Tracker'!$R$5:$R$554,$K143)))</f>
        <v/>
      </c>
      <c r="F143" s="25">
        <f>IF($K143="","",IF(INDEX('Prospect Tracker'!$J$5:$J$554,$K143)="","",INDEX('Prospect Tracker'!$J$5:$J$554,$K143)))</f>
        <v/>
      </c>
      <c r="G143" s="25">
        <f>IF($K143="","",IF(INDEX('Prospect Tracker'!$H$5:$H$554,$K143)="","",INDEX('Prospect Tracker'!$H$5:$H$554,$K143)))</f>
        <v/>
      </c>
      <c r="H143" s="26">
        <f>IF($K143="","",IF(INDEX('Prospect Tracker'!$K$5:$K$554,$K143)="","",INDEX('Prospect Tracker'!$K$5:$K$554,$K143)))</f>
        <v/>
      </c>
      <c r="I143" s="25">
        <f>IF($K143="","",IF(INDEX('Prospect Tracker'!$T$5:$T$554,$K143)="","",INDEX('Prospect Tracker'!$T$5:$T$554,$K143)))</f>
        <v/>
      </c>
      <c r="J143" s="25">
        <f>IF($K143="","",IF(INDEX('Prospect Tracker'!$L$5:$L$554,$K143)="","",INDEX('Prospect Tracker'!$L$5:$L$554,$K143)))</f>
        <v/>
      </c>
      <c r="K143" s="19">
        <f>IFERROR(MATCH(SMALL('Prospect Tracker'!$X$5:$X$554,ROW()-4),'Prospect Tracker'!$X$5:$X$554,0),"")</f>
        <v/>
      </c>
    </row>
    <row r="144" ht="15" customHeight="1" s="20">
      <c r="A144" s="30">
        <f>IF($K144="","",IF(INDEX('Prospect Tracker'!$W$5:$W$554,$K144)="","",INDEX('Prospect Tracker'!$W$5:$W$554,$K144)))</f>
        <v/>
      </c>
      <c r="B144" s="30">
        <f>IF($K144="","",IF(INDEX('Prospect Tracker'!$A$5:$A$554,$K144)="","",INDEX('Prospect Tracker'!$A$5:$A$554,$K144)))</f>
        <v/>
      </c>
      <c r="C144" s="30">
        <f>IF($K144="","",IF(INDEX('Prospect Tracker'!$B$5:$B$554,$K144)="","",INDEX('Prospect Tracker'!$B$5:$B$554,$K144)))</f>
        <v/>
      </c>
      <c r="D144" s="30">
        <f>IF($K144="","",IF(INDEX('Prospect Tracker'!$M$5:$M$554,$K144)="","",INDEX('Prospect Tracker'!$M$5:$M$554,$K144)))</f>
        <v/>
      </c>
      <c r="E144" s="30">
        <f>IF($K144="","",IF(INDEX('Prospect Tracker'!$R$5:$R$554,$K144)="","",INDEX('Prospect Tracker'!$R$5:$R$554,$K144)))</f>
        <v/>
      </c>
      <c r="F144" s="30">
        <f>IF($K144="","",IF(INDEX('Prospect Tracker'!$J$5:$J$554,$K144)="","",INDEX('Prospect Tracker'!$J$5:$J$554,$K144)))</f>
        <v/>
      </c>
      <c r="G144" s="30">
        <f>IF($K144="","",IF(INDEX('Prospect Tracker'!$H$5:$H$554,$K144)="","",INDEX('Prospect Tracker'!$H$5:$H$554,$K144)))</f>
        <v/>
      </c>
      <c r="H144" s="31">
        <f>IF($K144="","",IF(INDEX('Prospect Tracker'!$K$5:$K$554,$K144)="","",INDEX('Prospect Tracker'!$K$5:$K$554,$K144)))</f>
        <v/>
      </c>
      <c r="I144" s="30">
        <f>IF($K144="","",IF(INDEX('Prospect Tracker'!$T$5:$T$554,$K144)="","",INDEX('Prospect Tracker'!$T$5:$T$554,$K144)))</f>
        <v/>
      </c>
      <c r="J144" s="30">
        <f>IF($K144="","",IF(INDEX('Prospect Tracker'!$L$5:$L$554,$K144)="","",INDEX('Prospect Tracker'!$L$5:$L$554,$K144)))</f>
        <v/>
      </c>
      <c r="K144" s="19">
        <f>IFERROR(MATCH(SMALL('Prospect Tracker'!$X$5:$X$554,ROW()-4),'Prospect Tracker'!$X$5:$X$554,0),"")</f>
        <v/>
      </c>
    </row>
    <row r="145" ht="15" customHeight="1" s="20">
      <c r="A145" s="25">
        <f>IF($K145="","",IF(INDEX('Prospect Tracker'!$W$5:$W$554,$K145)="","",INDEX('Prospect Tracker'!$W$5:$W$554,$K145)))</f>
        <v/>
      </c>
      <c r="B145" s="25">
        <f>IF($K145="","",IF(INDEX('Prospect Tracker'!$A$5:$A$554,$K145)="","",INDEX('Prospect Tracker'!$A$5:$A$554,$K145)))</f>
        <v/>
      </c>
      <c r="C145" s="25">
        <f>IF($K145="","",IF(INDEX('Prospect Tracker'!$B$5:$B$554,$K145)="","",INDEX('Prospect Tracker'!$B$5:$B$554,$K145)))</f>
        <v/>
      </c>
      <c r="D145" s="25">
        <f>IF($K145="","",IF(INDEX('Prospect Tracker'!$M$5:$M$554,$K145)="","",INDEX('Prospect Tracker'!$M$5:$M$554,$K145)))</f>
        <v/>
      </c>
      <c r="E145" s="25">
        <f>IF($K145="","",IF(INDEX('Prospect Tracker'!$R$5:$R$554,$K145)="","",INDEX('Prospect Tracker'!$R$5:$R$554,$K145)))</f>
        <v/>
      </c>
      <c r="F145" s="25">
        <f>IF($K145="","",IF(INDEX('Prospect Tracker'!$J$5:$J$554,$K145)="","",INDEX('Prospect Tracker'!$J$5:$J$554,$K145)))</f>
        <v/>
      </c>
      <c r="G145" s="25">
        <f>IF($K145="","",IF(INDEX('Prospect Tracker'!$H$5:$H$554,$K145)="","",INDEX('Prospect Tracker'!$H$5:$H$554,$K145)))</f>
        <v/>
      </c>
      <c r="H145" s="26">
        <f>IF($K145="","",IF(INDEX('Prospect Tracker'!$K$5:$K$554,$K145)="","",INDEX('Prospect Tracker'!$K$5:$K$554,$K145)))</f>
        <v/>
      </c>
      <c r="I145" s="25">
        <f>IF($K145="","",IF(INDEX('Prospect Tracker'!$T$5:$T$554,$K145)="","",INDEX('Prospect Tracker'!$T$5:$T$554,$K145)))</f>
        <v/>
      </c>
      <c r="J145" s="25">
        <f>IF($K145="","",IF(INDEX('Prospect Tracker'!$L$5:$L$554,$K145)="","",INDEX('Prospect Tracker'!$L$5:$L$554,$K145)))</f>
        <v/>
      </c>
      <c r="K145" s="19">
        <f>IFERROR(MATCH(SMALL('Prospect Tracker'!$X$5:$X$554,ROW()-4),'Prospect Tracker'!$X$5:$X$554,0),"")</f>
        <v/>
      </c>
    </row>
    <row r="146" ht="15" customHeight="1" s="20">
      <c r="A146" s="30">
        <f>IF($K146="","",IF(INDEX('Prospect Tracker'!$W$5:$W$554,$K146)="","",INDEX('Prospect Tracker'!$W$5:$W$554,$K146)))</f>
        <v/>
      </c>
      <c r="B146" s="30">
        <f>IF($K146="","",IF(INDEX('Prospect Tracker'!$A$5:$A$554,$K146)="","",INDEX('Prospect Tracker'!$A$5:$A$554,$K146)))</f>
        <v/>
      </c>
      <c r="C146" s="30">
        <f>IF($K146="","",IF(INDEX('Prospect Tracker'!$B$5:$B$554,$K146)="","",INDEX('Prospect Tracker'!$B$5:$B$554,$K146)))</f>
        <v/>
      </c>
      <c r="D146" s="30">
        <f>IF($K146="","",IF(INDEX('Prospect Tracker'!$M$5:$M$554,$K146)="","",INDEX('Prospect Tracker'!$M$5:$M$554,$K146)))</f>
        <v/>
      </c>
      <c r="E146" s="30">
        <f>IF($K146="","",IF(INDEX('Prospect Tracker'!$R$5:$R$554,$K146)="","",INDEX('Prospect Tracker'!$R$5:$R$554,$K146)))</f>
        <v/>
      </c>
      <c r="F146" s="30">
        <f>IF($K146="","",IF(INDEX('Prospect Tracker'!$J$5:$J$554,$K146)="","",INDEX('Prospect Tracker'!$J$5:$J$554,$K146)))</f>
        <v/>
      </c>
      <c r="G146" s="30">
        <f>IF($K146="","",IF(INDEX('Prospect Tracker'!$H$5:$H$554,$K146)="","",INDEX('Prospect Tracker'!$H$5:$H$554,$K146)))</f>
        <v/>
      </c>
      <c r="H146" s="31">
        <f>IF($K146="","",IF(INDEX('Prospect Tracker'!$K$5:$K$554,$K146)="","",INDEX('Prospect Tracker'!$K$5:$K$554,$K146)))</f>
        <v/>
      </c>
      <c r="I146" s="30">
        <f>IF($K146="","",IF(INDEX('Prospect Tracker'!$T$5:$T$554,$K146)="","",INDEX('Prospect Tracker'!$T$5:$T$554,$K146)))</f>
        <v/>
      </c>
      <c r="J146" s="30">
        <f>IF($K146="","",IF(INDEX('Prospect Tracker'!$L$5:$L$554,$K146)="","",INDEX('Prospect Tracker'!$L$5:$L$554,$K146)))</f>
        <v/>
      </c>
      <c r="K146" s="19">
        <f>IFERROR(MATCH(SMALL('Prospect Tracker'!$X$5:$X$554,ROW()-4),'Prospect Tracker'!$X$5:$X$554,0),"")</f>
        <v/>
      </c>
    </row>
    <row r="147" ht="15" customHeight="1" s="20">
      <c r="A147" s="25">
        <f>IF($K147="","",IF(INDEX('Prospect Tracker'!$W$5:$W$554,$K147)="","",INDEX('Prospect Tracker'!$W$5:$W$554,$K147)))</f>
        <v/>
      </c>
      <c r="B147" s="25">
        <f>IF($K147="","",IF(INDEX('Prospect Tracker'!$A$5:$A$554,$K147)="","",INDEX('Prospect Tracker'!$A$5:$A$554,$K147)))</f>
        <v/>
      </c>
      <c r="C147" s="25">
        <f>IF($K147="","",IF(INDEX('Prospect Tracker'!$B$5:$B$554,$K147)="","",INDEX('Prospect Tracker'!$B$5:$B$554,$K147)))</f>
        <v/>
      </c>
      <c r="D147" s="25">
        <f>IF($K147="","",IF(INDEX('Prospect Tracker'!$M$5:$M$554,$K147)="","",INDEX('Prospect Tracker'!$M$5:$M$554,$K147)))</f>
        <v/>
      </c>
      <c r="E147" s="25">
        <f>IF($K147="","",IF(INDEX('Prospect Tracker'!$R$5:$R$554,$K147)="","",INDEX('Prospect Tracker'!$R$5:$R$554,$K147)))</f>
        <v/>
      </c>
      <c r="F147" s="25">
        <f>IF($K147="","",IF(INDEX('Prospect Tracker'!$J$5:$J$554,$K147)="","",INDEX('Prospect Tracker'!$J$5:$J$554,$K147)))</f>
        <v/>
      </c>
      <c r="G147" s="25">
        <f>IF($K147="","",IF(INDEX('Prospect Tracker'!$H$5:$H$554,$K147)="","",INDEX('Prospect Tracker'!$H$5:$H$554,$K147)))</f>
        <v/>
      </c>
      <c r="H147" s="26">
        <f>IF($K147="","",IF(INDEX('Prospect Tracker'!$K$5:$K$554,$K147)="","",INDEX('Prospect Tracker'!$K$5:$K$554,$K147)))</f>
        <v/>
      </c>
      <c r="I147" s="25">
        <f>IF($K147="","",IF(INDEX('Prospect Tracker'!$T$5:$T$554,$K147)="","",INDEX('Prospect Tracker'!$T$5:$T$554,$K147)))</f>
        <v/>
      </c>
      <c r="J147" s="25">
        <f>IF($K147="","",IF(INDEX('Prospect Tracker'!$L$5:$L$554,$K147)="","",INDEX('Prospect Tracker'!$L$5:$L$554,$K147)))</f>
        <v/>
      </c>
      <c r="K147" s="19">
        <f>IFERROR(MATCH(SMALL('Prospect Tracker'!$X$5:$X$554,ROW()-4),'Prospect Tracker'!$X$5:$X$554,0),"")</f>
        <v/>
      </c>
    </row>
    <row r="148" ht="15" customHeight="1" s="20">
      <c r="A148" s="30">
        <f>IF($K148="","",IF(INDEX('Prospect Tracker'!$W$5:$W$554,$K148)="","",INDEX('Prospect Tracker'!$W$5:$W$554,$K148)))</f>
        <v/>
      </c>
      <c r="B148" s="30">
        <f>IF($K148="","",IF(INDEX('Prospect Tracker'!$A$5:$A$554,$K148)="","",INDEX('Prospect Tracker'!$A$5:$A$554,$K148)))</f>
        <v/>
      </c>
      <c r="C148" s="30">
        <f>IF($K148="","",IF(INDEX('Prospect Tracker'!$B$5:$B$554,$K148)="","",INDEX('Prospect Tracker'!$B$5:$B$554,$K148)))</f>
        <v/>
      </c>
      <c r="D148" s="30">
        <f>IF($K148="","",IF(INDEX('Prospect Tracker'!$M$5:$M$554,$K148)="","",INDEX('Prospect Tracker'!$M$5:$M$554,$K148)))</f>
        <v/>
      </c>
      <c r="E148" s="30">
        <f>IF($K148="","",IF(INDEX('Prospect Tracker'!$R$5:$R$554,$K148)="","",INDEX('Prospect Tracker'!$R$5:$R$554,$K148)))</f>
        <v/>
      </c>
      <c r="F148" s="30">
        <f>IF($K148="","",IF(INDEX('Prospect Tracker'!$J$5:$J$554,$K148)="","",INDEX('Prospect Tracker'!$J$5:$J$554,$K148)))</f>
        <v/>
      </c>
      <c r="G148" s="30">
        <f>IF($K148="","",IF(INDEX('Prospect Tracker'!$H$5:$H$554,$K148)="","",INDEX('Prospect Tracker'!$H$5:$H$554,$K148)))</f>
        <v/>
      </c>
      <c r="H148" s="31">
        <f>IF($K148="","",IF(INDEX('Prospect Tracker'!$K$5:$K$554,$K148)="","",INDEX('Prospect Tracker'!$K$5:$K$554,$K148)))</f>
        <v/>
      </c>
      <c r="I148" s="30">
        <f>IF($K148="","",IF(INDEX('Prospect Tracker'!$T$5:$T$554,$K148)="","",INDEX('Prospect Tracker'!$T$5:$T$554,$K148)))</f>
        <v/>
      </c>
      <c r="J148" s="30">
        <f>IF($K148="","",IF(INDEX('Prospect Tracker'!$L$5:$L$554,$K148)="","",INDEX('Prospect Tracker'!$L$5:$L$554,$K148)))</f>
        <v/>
      </c>
      <c r="K148" s="19">
        <f>IFERROR(MATCH(SMALL('Prospect Tracker'!$X$5:$X$554,ROW()-4),'Prospect Tracker'!$X$5:$X$554,0),"")</f>
        <v/>
      </c>
    </row>
    <row r="149" ht="15" customHeight="1" s="20">
      <c r="A149" s="25">
        <f>IF($K149="","",IF(INDEX('Prospect Tracker'!$W$5:$W$554,$K149)="","",INDEX('Prospect Tracker'!$W$5:$W$554,$K149)))</f>
        <v/>
      </c>
      <c r="B149" s="25">
        <f>IF($K149="","",IF(INDEX('Prospect Tracker'!$A$5:$A$554,$K149)="","",INDEX('Prospect Tracker'!$A$5:$A$554,$K149)))</f>
        <v/>
      </c>
      <c r="C149" s="25">
        <f>IF($K149="","",IF(INDEX('Prospect Tracker'!$B$5:$B$554,$K149)="","",INDEX('Prospect Tracker'!$B$5:$B$554,$K149)))</f>
        <v/>
      </c>
      <c r="D149" s="25">
        <f>IF($K149="","",IF(INDEX('Prospect Tracker'!$M$5:$M$554,$K149)="","",INDEX('Prospect Tracker'!$M$5:$M$554,$K149)))</f>
        <v/>
      </c>
      <c r="E149" s="25">
        <f>IF($K149="","",IF(INDEX('Prospect Tracker'!$R$5:$R$554,$K149)="","",INDEX('Prospect Tracker'!$R$5:$R$554,$K149)))</f>
        <v/>
      </c>
      <c r="F149" s="25">
        <f>IF($K149="","",IF(INDEX('Prospect Tracker'!$J$5:$J$554,$K149)="","",INDEX('Prospect Tracker'!$J$5:$J$554,$K149)))</f>
        <v/>
      </c>
      <c r="G149" s="25">
        <f>IF($K149="","",IF(INDEX('Prospect Tracker'!$H$5:$H$554,$K149)="","",INDEX('Prospect Tracker'!$H$5:$H$554,$K149)))</f>
        <v/>
      </c>
      <c r="H149" s="26">
        <f>IF($K149="","",IF(INDEX('Prospect Tracker'!$K$5:$K$554,$K149)="","",INDEX('Prospect Tracker'!$K$5:$K$554,$K149)))</f>
        <v/>
      </c>
      <c r="I149" s="25">
        <f>IF($K149="","",IF(INDEX('Prospect Tracker'!$T$5:$T$554,$K149)="","",INDEX('Prospect Tracker'!$T$5:$T$554,$K149)))</f>
        <v/>
      </c>
      <c r="J149" s="25">
        <f>IF($K149="","",IF(INDEX('Prospect Tracker'!$L$5:$L$554,$K149)="","",INDEX('Prospect Tracker'!$L$5:$L$554,$K149)))</f>
        <v/>
      </c>
      <c r="K149" s="19">
        <f>IFERROR(MATCH(SMALL('Prospect Tracker'!$X$5:$X$554,ROW()-4),'Prospect Tracker'!$X$5:$X$554,0),"")</f>
        <v/>
      </c>
    </row>
    <row r="150" ht="15" customHeight="1" s="20">
      <c r="A150" s="30">
        <f>IF($K150="","",IF(INDEX('Prospect Tracker'!$W$5:$W$554,$K150)="","",INDEX('Prospect Tracker'!$W$5:$W$554,$K150)))</f>
        <v/>
      </c>
      <c r="B150" s="30">
        <f>IF($K150="","",IF(INDEX('Prospect Tracker'!$A$5:$A$554,$K150)="","",INDEX('Prospect Tracker'!$A$5:$A$554,$K150)))</f>
        <v/>
      </c>
      <c r="C150" s="30">
        <f>IF($K150="","",IF(INDEX('Prospect Tracker'!$B$5:$B$554,$K150)="","",INDEX('Prospect Tracker'!$B$5:$B$554,$K150)))</f>
        <v/>
      </c>
      <c r="D150" s="30">
        <f>IF($K150="","",IF(INDEX('Prospect Tracker'!$M$5:$M$554,$K150)="","",INDEX('Prospect Tracker'!$M$5:$M$554,$K150)))</f>
        <v/>
      </c>
      <c r="E150" s="30">
        <f>IF($K150="","",IF(INDEX('Prospect Tracker'!$R$5:$R$554,$K150)="","",INDEX('Prospect Tracker'!$R$5:$R$554,$K150)))</f>
        <v/>
      </c>
      <c r="F150" s="30">
        <f>IF($K150="","",IF(INDEX('Prospect Tracker'!$J$5:$J$554,$K150)="","",INDEX('Prospect Tracker'!$J$5:$J$554,$K150)))</f>
        <v/>
      </c>
      <c r="G150" s="30">
        <f>IF($K150="","",IF(INDEX('Prospect Tracker'!$H$5:$H$554,$K150)="","",INDEX('Prospect Tracker'!$H$5:$H$554,$K150)))</f>
        <v/>
      </c>
      <c r="H150" s="31">
        <f>IF($K150="","",IF(INDEX('Prospect Tracker'!$K$5:$K$554,$K150)="","",INDEX('Prospect Tracker'!$K$5:$K$554,$K150)))</f>
        <v/>
      </c>
      <c r="I150" s="30">
        <f>IF($K150="","",IF(INDEX('Prospect Tracker'!$T$5:$T$554,$K150)="","",INDEX('Prospect Tracker'!$T$5:$T$554,$K150)))</f>
        <v/>
      </c>
      <c r="J150" s="30">
        <f>IF($K150="","",IF(INDEX('Prospect Tracker'!$L$5:$L$554,$K150)="","",INDEX('Prospect Tracker'!$L$5:$L$554,$K150)))</f>
        <v/>
      </c>
      <c r="K150" s="19">
        <f>IFERROR(MATCH(SMALL('Prospect Tracker'!$X$5:$X$554,ROW()-4),'Prospect Tracker'!$X$5:$X$554,0),"")</f>
        <v/>
      </c>
    </row>
    <row r="151" ht="15" customHeight="1" s="20">
      <c r="A151" s="25">
        <f>IF($K151="","",IF(INDEX('Prospect Tracker'!$W$5:$W$554,$K151)="","",INDEX('Prospect Tracker'!$W$5:$W$554,$K151)))</f>
        <v/>
      </c>
      <c r="B151" s="25">
        <f>IF($K151="","",IF(INDEX('Prospect Tracker'!$A$5:$A$554,$K151)="","",INDEX('Prospect Tracker'!$A$5:$A$554,$K151)))</f>
        <v/>
      </c>
      <c r="C151" s="25">
        <f>IF($K151="","",IF(INDEX('Prospect Tracker'!$B$5:$B$554,$K151)="","",INDEX('Prospect Tracker'!$B$5:$B$554,$K151)))</f>
        <v/>
      </c>
      <c r="D151" s="25">
        <f>IF($K151="","",IF(INDEX('Prospect Tracker'!$M$5:$M$554,$K151)="","",INDEX('Prospect Tracker'!$M$5:$M$554,$K151)))</f>
        <v/>
      </c>
      <c r="E151" s="25">
        <f>IF($K151="","",IF(INDEX('Prospect Tracker'!$R$5:$R$554,$K151)="","",INDEX('Prospect Tracker'!$R$5:$R$554,$K151)))</f>
        <v/>
      </c>
      <c r="F151" s="25">
        <f>IF($K151="","",IF(INDEX('Prospect Tracker'!$J$5:$J$554,$K151)="","",INDEX('Prospect Tracker'!$J$5:$J$554,$K151)))</f>
        <v/>
      </c>
      <c r="G151" s="25">
        <f>IF($K151="","",IF(INDEX('Prospect Tracker'!$H$5:$H$554,$K151)="","",INDEX('Prospect Tracker'!$H$5:$H$554,$K151)))</f>
        <v/>
      </c>
      <c r="H151" s="26">
        <f>IF($K151="","",IF(INDEX('Prospect Tracker'!$K$5:$K$554,$K151)="","",INDEX('Prospect Tracker'!$K$5:$K$554,$K151)))</f>
        <v/>
      </c>
      <c r="I151" s="25">
        <f>IF($K151="","",IF(INDEX('Prospect Tracker'!$T$5:$T$554,$K151)="","",INDEX('Prospect Tracker'!$T$5:$T$554,$K151)))</f>
        <v/>
      </c>
      <c r="J151" s="25">
        <f>IF($K151="","",IF(INDEX('Prospect Tracker'!$L$5:$L$554,$K151)="","",INDEX('Prospect Tracker'!$L$5:$L$554,$K151)))</f>
        <v/>
      </c>
      <c r="K151" s="19">
        <f>IFERROR(MATCH(SMALL('Prospect Tracker'!$X$5:$X$554,ROW()-4),'Prospect Tracker'!$X$5:$X$554,0),"")</f>
        <v/>
      </c>
    </row>
    <row r="152" ht="15" customHeight="1" s="20">
      <c r="A152" s="30">
        <f>IF($K152="","",IF(INDEX('Prospect Tracker'!$W$5:$W$554,$K152)="","",INDEX('Prospect Tracker'!$W$5:$W$554,$K152)))</f>
        <v/>
      </c>
      <c r="B152" s="30">
        <f>IF($K152="","",IF(INDEX('Prospect Tracker'!$A$5:$A$554,$K152)="","",INDEX('Prospect Tracker'!$A$5:$A$554,$K152)))</f>
        <v/>
      </c>
      <c r="C152" s="30">
        <f>IF($K152="","",IF(INDEX('Prospect Tracker'!$B$5:$B$554,$K152)="","",INDEX('Prospect Tracker'!$B$5:$B$554,$K152)))</f>
        <v/>
      </c>
      <c r="D152" s="30">
        <f>IF($K152="","",IF(INDEX('Prospect Tracker'!$M$5:$M$554,$K152)="","",INDEX('Prospect Tracker'!$M$5:$M$554,$K152)))</f>
        <v/>
      </c>
      <c r="E152" s="30">
        <f>IF($K152="","",IF(INDEX('Prospect Tracker'!$R$5:$R$554,$K152)="","",INDEX('Prospect Tracker'!$R$5:$R$554,$K152)))</f>
        <v/>
      </c>
      <c r="F152" s="30">
        <f>IF($K152="","",IF(INDEX('Prospect Tracker'!$J$5:$J$554,$K152)="","",INDEX('Prospect Tracker'!$J$5:$J$554,$K152)))</f>
        <v/>
      </c>
      <c r="G152" s="30">
        <f>IF($K152="","",IF(INDEX('Prospect Tracker'!$H$5:$H$554,$K152)="","",INDEX('Prospect Tracker'!$H$5:$H$554,$K152)))</f>
        <v/>
      </c>
      <c r="H152" s="31">
        <f>IF($K152="","",IF(INDEX('Prospect Tracker'!$K$5:$K$554,$K152)="","",INDEX('Prospect Tracker'!$K$5:$K$554,$K152)))</f>
        <v/>
      </c>
      <c r="I152" s="30">
        <f>IF($K152="","",IF(INDEX('Prospect Tracker'!$T$5:$T$554,$K152)="","",INDEX('Prospect Tracker'!$T$5:$T$554,$K152)))</f>
        <v/>
      </c>
      <c r="J152" s="30">
        <f>IF($K152="","",IF(INDEX('Prospect Tracker'!$L$5:$L$554,$K152)="","",INDEX('Prospect Tracker'!$L$5:$L$554,$K152)))</f>
        <v/>
      </c>
      <c r="K152" s="19">
        <f>IFERROR(MATCH(SMALL('Prospect Tracker'!$X$5:$X$554,ROW()-4),'Prospect Tracker'!$X$5:$X$554,0),"")</f>
        <v/>
      </c>
    </row>
    <row r="153" ht="15" customHeight="1" s="20">
      <c r="A153" s="25">
        <f>IF($K153="","",IF(INDEX('Prospect Tracker'!$W$5:$W$554,$K153)="","",INDEX('Prospect Tracker'!$W$5:$W$554,$K153)))</f>
        <v/>
      </c>
      <c r="B153" s="25">
        <f>IF($K153="","",IF(INDEX('Prospect Tracker'!$A$5:$A$554,$K153)="","",INDEX('Prospect Tracker'!$A$5:$A$554,$K153)))</f>
        <v/>
      </c>
      <c r="C153" s="25">
        <f>IF($K153="","",IF(INDEX('Prospect Tracker'!$B$5:$B$554,$K153)="","",INDEX('Prospect Tracker'!$B$5:$B$554,$K153)))</f>
        <v/>
      </c>
      <c r="D153" s="25">
        <f>IF($K153="","",IF(INDEX('Prospect Tracker'!$M$5:$M$554,$K153)="","",INDEX('Prospect Tracker'!$M$5:$M$554,$K153)))</f>
        <v/>
      </c>
      <c r="E153" s="25">
        <f>IF($K153="","",IF(INDEX('Prospect Tracker'!$R$5:$R$554,$K153)="","",INDEX('Prospect Tracker'!$R$5:$R$554,$K153)))</f>
        <v/>
      </c>
      <c r="F153" s="25">
        <f>IF($K153="","",IF(INDEX('Prospect Tracker'!$J$5:$J$554,$K153)="","",INDEX('Prospect Tracker'!$J$5:$J$554,$K153)))</f>
        <v/>
      </c>
      <c r="G153" s="25">
        <f>IF($K153="","",IF(INDEX('Prospect Tracker'!$H$5:$H$554,$K153)="","",INDEX('Prospect Tracker'!$H$5:$H$554,$K153)))</f>
        <v/>
      </c>
      <c r="H153" s="26">
        <f>IF($K153="","",IF(INDEX('Prospect Tracker'!$K$5:$K$554,$K153)="","",INDEX('Prospect Tracker'!$K$5:$K$554,$K153)))</f>
        <v/>
      </c>
      <c r="I153" s="25">
        <f>IF($K153="","",IF(INDEX('Prospect Tracker'!$T$5:$T$554,$K153)="","",INDEX('Prospect Tracker'!$T$5:$T$554,$K153)))</f>
        <v/>
      </c>
      <c r="J153" s="25">
        <f>IF($K153="","",IF(INDEX('Prospect Tracker'!$L$5:$L$554,$K153)="","",INDEX('Prospect Tracker'!$L$5:$L$554,$K153)))</f>
        <v/>
      </c>
      <c r="K153" s="19">
        <f>IFERROR(MATCH(SMALL('Prospect Tracker'!$X$5:$X$554,ROW()-4),'Prospect Tracker'!$X$5:$X$554,0),"")</f>
        <v/>
      </c>
    </row>
    <row r="154" ht="15" customHeight="1" s="20">
      <c r="A154" s="30">
        <f>IF($K154="","",IF(INDEX('Prospect Tracker'!$W$5:$W$554,$K154)="","",INDEX('Prospect Tracker'!$W$5:$W$554,$K154)))</f>
        <v/>
      </c>
      <c r="B154" s="30">
        <f>IF($K154="","",IF(INDEX('Prospect Tracker'!$A$5:$A$554,$K154)="","",INDEX('Prospect Tracker'!$A$5:$A$554,$K154)))</f>
        <v/>
      </c>
      <c r="C154" s="30">
        <f>IF($K154="","",IF(INDEX('Prospect Tracker'!$B$5:$B$554,$K154)="","",INDEX('Prospect Tracker'!$B$5:$B$554,$K154)))</f>
        <v/>
      </c>
      <c r="D154" s="30">
        <f>IF($K154="","",IF(INDEX('Prospect Tracker'!$M$5:$M$554,$K154)="","",INDEX('Prospect Tracker'!$M$5:$M$554,$K154)))</f>
        <v/>
      </c>
      <c r="E154" s="30">
        <f>IF($K154="","",IF(INDEX('Prospect Tracker'!$R$5:$R$554,$K154)="","",INDEX('Prospect Tracker'!$R$5:$R$554,$K154)))</f>
        <v/>
      </c>
      <c r="F154" s="30">
        <f>IF($K154="","",IF(INDEX('Prospect Tracker'!$J$5:$J$554,$K154)="","",INDEX('Prospect Tracker'!$J$5:$J$554,$K154)))</f>
        <v/>
      </c>
      <c r="G154" s="30">
        <f>IF($K154="","",IF(INDEX('Prospect Tracker'!$H$5:$H$554,$K154)="","",INDEX('Prospect Tracker'!$H$5:$H$554,$K154)))</f>
        <v/>
      </c>
      <c r="H154" s="31">
        <f>IF($K154="","",IF(INDEX('Prospect Tracker'!$K$5:$K$554,$K154)="","",INDEX('Prospect Tracker'!$K$5:$K$554,$K154)))</f>
        <v/>
      </c>
      <c r="I154" s="30">
        <f>IF($K154="","",IF(INDEX('Prospect Tracker'!$T$5:$T$554,$K154)="","",INDEX('Prospect Tracker'!$T$5:$T$554,$K154)))</f>
        <v/>
      </c>
      <c r="J154" s="30">
        <f>IF($K154="","",IF(INDEX('Prospect Tracker'!$L$5:$L$554,$K154)="","",INDEX('Prospect Tracker'!$L$5:$L$554,$K154)))</f>
        <v/>
      </c>
      <c r="K154" s="19">
        <f>IFERROR(MATCH(SMALL('Prospect Tracker'!$X$5:$X$554,ROW()-4),'Prospect Tracker'!$X$5:$X$554,0),"")</f>
        <v/>
      </c>
    </row>
    <row r="155" ht="15" customHeight="1" s="20">
      <c r="A155" s="25">
        <f>IF($K155="","",IF(INDEX('Prospect Tracker'!$W$5:$W$554,$K155)="","",INDEX('Prospect Tracker'!$W$5:$W$554,$K155)))</f>
        <v/>
      </c>
      <c r="B155" s="25">
        <f>IF($K155="","",IF(INDEX('Prospect Tracker'!$A$5:$A$554,$K155)="","",INDEX('Prospect Tracker'!$A$5:$A$554,$K155)))</f>
        <v/>
      </c>
      <c r="C155" s="25">
        <f>IF($K155="","",IF(INDEX('Prospect Tracker'!$B$5:$B$554,$K155)="","",INDEX('Prospect Tracker'!$B$5:$B$554,$K155)))</f>
        <v/>
      </c>
      <c r="D155" s="25">
        <f>IF($K155="","",IF(INDEX('Prospect Tracker'!$M$5:$M$554,$K155)="","",INDEX('Prospect Tracker'!$M$5:$M$554,$K155)))</f>
        <v/>
      </c>
      <c r="E155" s="25">
        <f>IF($K155="","",IF(INDEX('Prospect Tracker'!$R$5:$R$554,$K155)="","",INDEX('Prospect Tracker'!$R$5:$R$554,$K155)))</f>
        <v/>
      </c>
      <c r="F155" s="25">
        <f>IF($K155="","",IF(INDEX('Prospect Tracker'!$J$5:$J$554,$K155)="","",INDEX('Prospect Tracker'!$J$5:$J$554,$K155)))</f>
        <v/>
      </c>
      <c r="G155" s="25">
        <f>IF($K155="","",IF(INDEX('Prospect Tracker'!$H$5:$H$554,$K155)="","",INDEX('Prospect Tracker'!$H$5:$H$554,$K155)))</f>
        <v/>
      </c>
      <c r="H155" s="26">
        <f>IF($K155="","",IF(INDEX('Prospect Tracker'!$K$5:$K$554,$K155)="","",INDEX('Prospect Tracker'!$K$5:$K$554,$K155)))</f>
        <v/>
      </c>
      <c r="I155" s="25">
        <f>IF($K155="","",IF(INDEX('Prospect Tracker'!$T$5:$T$554,$K155)="","",INDEX('Prospect Tracker'!$T$5:$T$554,$K155)))</f>
        <v/>
      </c>
      <c r="J155" s="25">
        <f>IF($K155="","",IF(INDEX('Prospect Tracker'!$L$5:$L$554,$K155)="","",INDEX('Prospect Tracker'!$L$5:$L$554,$K155)))</f>
        <v/>
      </c>
      <c r="K155" s="19">
        <f>IFERROR(MATCH(SMALL('Prospect Tracker'!$X$5:$X$554,ROW()-4),'Prospect Tracker'!$X$5:$X$554,0),"")</f>
        <v/>
      </c>
    </row>
    <row r="156" ht="15" customHeight="1" s="20">
      <c r="A156" s="30">
        <f>IF($K156="","",IF(INDEX('Prospect Tracker'!$W$5:$W$554,$K156)="","",INDEX('Prospect Tracker'!$W$5:$W$554,$K156)))</f>
        <v/>
      </c>
      <c r="B156" s="30">
        <f>IF($K156="","",IF(INDEX('Prospect Tracker'!$A$5:$A$554,$K156)="","",INDEX('Prospect Tracker'!$A$5:$A$554,$K156)))</f>
        <v/>
      </c>
      <c r="C156" s="30">
        <f>IF($K156="","",IF(INDEX('Prospect Tracker'!$B$5:$B$554,$K156)="","",INDEX('Prospect Tracker'!$B$5:$B$554,$K156)))</f>
        <v/>
      </c>
      <c r="D156" s="30">
        <f>IF($K156="","",IF(INDEX('Prospect Tracker'!$M$5:$M$554,$K156)="","",INDEX('Prospect Tracker'!$M$5:$M$554,$K156)))</f>
        <v/>
      </c>
      <c r="E156" s="30">
        <f>IF($K156="","",IF(INDEX('Prospect Tracker'!$R$5:$R$554,$K156)="","",INDEX('Prospect Tracker'!$R$5:$R$554,$K156)))</f>
        <v/>
      </c>
      <c r="F156" s="30">
        <f>IF($K156="","",IF(INDEX('Prospect Tracker'!$J$5:$J$554,$K156)="","",INDEX('Prospect Tracker'!$J$5:$J$554,$K156)))</f>
        <v/>
      </c>
      <c r="G156" s="30">
        <f>IF($K156="","",IF(INDEX('Prospect Tracker'!$H$5:$H$554,$K156)="","",INDEX('Prospect Tracker'!$H$5:$H$554,$K156)))</f>
        <v/>
      </c>
      <c r="H156" s="31">
        <f>IF($K156="","",IF(INDEX('Prospect Tracker'!$K$5:$K$554,$K156)="","",INDEX('Prospect Tracker'!$K$5:$K$554,$K156)))</f>
        <v/>
      </c>
      <c r="I156" s="30">
        <f>IF($K156="","",IF(INDEX('Prospect Tracker'!$T$5:$T$554,$K156)="","",INDEX('Prospect Tracker'!$T$5:$T$554,$K156)))</f>
        <v/>
      </c>
      <c r="J156" s="30">
        <f>IF($K156="","",IF(INDEX('Prospect Tracker'!$L$5:$L$554,$K156)="","",INDEX('Prospect Tracker'!$L$5:$L$554,$K156)))</f>
        <v/>
      </c>
      <c r="K156" s="19">
        <f>IFERROR(MATCH(SMALL('Prospect Tracker'!$X$5:$X$554,ROW()-4),'Prospect Tracker'!$X$5:$X$554,0),"")</f>
        <v/>
      </c>
    </row>
    <row r="157" ht="15" customHeight="1" s="20">
      <c r="A157" s="25">
        <f>IF($K157="","",IF(INDEX('Prospect Tracker'!$W$5:$W$554,$K157)="","",INDEX('Prospect Tracker'!$W$5:$W$554,$K157)))</f>
        <v/>
      </c>
      <c r="B157" s="25">
        <f>IF($K157="","",IF(INDEX('Prospect Tracker'!$A$5:$A$554,$K157)="","",INDEX('Prospect Tracker'!$A$5:$A$554,$K157)))</f>
        <v/>
      </c>
      <c r="C157" s="25">
        <f>IF($K157="","",IF(INDEX('Prospect Tracker'!$B$5:$B$554,$K157)="","",INDEX('Prospect Tracker'!$B$5:$B$554,$K157)))</f>
        <v/>
      </c>
      <c r="D157" s="25">
        <f>IF($K157="","",IF(INDEX('Prospect Tracker'!$M$5:$M$554,$K157)="","",INDEX('Prospect Tracker'!$M$5:$M$554,$K157)))</f>
        <v/>
      </c>
      <c r="E157" s="25">
        <f>IF($K157="","",IF(INDEX('Prospect Tracker'!$R$5:$R$554,$K157)="","",INDEX('Prospect Tracker'!$R$5:$R$554,$K157)))</f>
        <v/>
      </c>
      <c r="F157" s="25">
        <f>IF($K157="","",IF(INDEX('Prospect Tracker'!$J$5:$J$554,$K157)="","",INDEX('Prospect Tracker'!$J$5:$J$554,$K157)))</f>
        <v/>
      </c>
      <c r="G157" s="25">
        <f>IF($K157="","",IF(INDEX('Prospect Tracker'!$H$5:$H$554,$K157)="","",INDEX('Prospect Tracker'!$H$5:$H$554,$K157)))</f>
        <v/>
      </c>
      <c r="H157" s="26">
        <f>IF($K157="","",IF(INDEX('Prospect Tracker'!$K$5:$K$554,$K157)="","",INDEX('Prospect Tracker'!$K$5:$K$554,$K157)))</f>
        <v/>
      </c>
      <c r="I157" s="25">
        <f>IF($K157="","",IF(INDEX('Prospect Tracker'!$T$5:$T$554,$K157)="","",INDEX('Prospect Tracker'!$T$5:$T$554,$K157)))</f>
        <v/>
      </c>
      <c r="J157" s="25">
        <f>IF($K157="","",IF(INDEX('Prospect Tracker'!$L$5:$L$554,$K157)="","",INDEX('Prospect Tracker'!$L$5:$L$554,$K157)))</f>
        <v/>
      </c>
      <c r="K157" s="19">
        <f>IFERROR(MATCH(SMALL('Prospect Tracker'!$X$5:$X$554,ROW()-4),'Prospect Tracker'!$X$5:$X$554,0),"")</f>
        <v/>
      </c>
    </row>
    <row r="158" ht="15" customHeight="1" s="20">
      <c r="A158" s="30">
        <f>IF($K158="","",IF(INDEX('Prospect Tracker'!$W$5:$W$554,$K158)="","",INDEX('Prospect Tracker'!$W$5:$W$554,$K158)))</f>
        <v/>
      </c>
      <c r="B158" s="30">
        <f>IF($K158="","",IF(INDEX('Prospect Tracker'!$A$5:$A$554,$K158)="","",INDEX('Prospect Tracker'!$A$5:$A$554,$K158)))</f>
        <v/>
      </c>
      <c r="C158" s="30">
        <f>IF($K158="","",IF(INDEX('Prospect Tracker'!$B$5:$B$554,$K158)="","",INDEX('Prospect Tracker'!$B$5:$B$554,$K158)))</f>
        <v/>
      </c>
      <c r="D158" s="30">
        <f>IF($K158="","",IF(INDEX('Prospect Tracker'!$M$5:$M$554,$K158)="","",INDEX('Prospect Tracker'!$M$5:$M$554,$K158)))</f>
        <v/>
      </c>
      <c r="E158" s="30">
        <f>IF($K158="","",IF(INDEX('Prospect Tracker'!$R$5:$R$554,$K158)="","",INDEX('Prospect Tracker'!$R$5:$R$554,$K158)))</f>
        <v/>
      </c>
      <c r="F158" s="30">
        <f>IF($K158="","",IF(INDEX('Prospect Tracker'!$J$5:$J$554,$K158)="","",INDEX('Prospect Tracker'!$J$5:$J$554,$K158)))</f>
        <v/>
      </c>
      <c r="G158" s="30">
        <f>IF($K158="","",IF(INDEX('Prospect Tracker'!$H$5:$H$554,$K158)="","",INDEX('Prospect Tracker'!$H$5:$H$554,$K158)))</f>
        <v/>
      </c>
      <c r="H158" s="31">
        <f>IF($K158="","",IF(INDEX('Prospect Tracker'!$K$5:$K$554,$K158)="","",INDEX('Prospect Tracker'!$K$5:$K$554,$K158)))</f>
        <v/>
      </c>
      <c r="I158" s="30">
        <f>IF($K158="","",IF(INDEX('Prospect Tracker'!$T$5:$T$554,$K158)="","",INDEX('Prospect Tracker'!$T$5:$T$554,$K158)))</f>
        <v/>
      </c>
      <c r="J158" s="30">
        <f>IF($K158="","",IF(INDEX('Prospect Tracker'!$L$5:$L$554,$K158)="","",INDEX('Prospect Tracker'!$L$5:$L$554,$K158)))</f>
        <v/>
      </c>
      <c r="K158" s="19">
        <f>IFERROR(MATCH(SMALL('Prospect Tracker'!$X$5:$X$554,ROW()-4),'Prospect Tracker'!$X$5:$X$554,0),"")</f>
        <v/>
      </c>
    </row>
    <row r="159" ht="15" customHeight="1" s="20">
      <c r="A159" s="25">
        <f>IF($K159="","",IF(INDEX('Prospect Tracker'!$W$5:$W$554,$K159)="","",INDEX('Prospect Tracker'!$W$5:$W$554,$K159)))</f>
        <v/>
      </c>
      <c r="B159" s="25">
        <f>IF($K159="","",IF(INDEX('Prospect Tracker'!$A$5:$A$554,$K159)="","",INDEX('Prospect Tracker'!$A$5:$A$554,$K159)))</f>
        <v/>
      </c>
      <c r="C159" s="25">
        <f>IF($K159="","",IF(INDEX('Prospect Tracker'!$B$5:$B$554,$K159)="","",INDEX('Prospect Tracker'!$B$5:$B$554,$K159)))</f>
        <v/>
      </c>
      <c r="D159" s="25">
        <f>IF($K159="","",IF(INDEX('Prospect Tracker'!$M$5:$M$554,$K159)="","",INDEX('Prospect Tracker'!$M$5:$M$554,$K159)))</f>
        <v/>
      </c>
      <c r="E159" s="25">
        <f>IF($K159="","",IF(INDEX('Prospect Tracker'!$R$5:$R$554,$K159)="","",INDEX('Prospect Tracker'!$R$5:$R$554,$K159)))</f>
        <v/>
      </c>
      <c r="F159" s="25">
        <f>IF($K159="","",IF(INDEX('Prospect Tracker'!$J$5:$J$554,$K159)="","",INDEX('Prospect Tracker'!$J$5:$J$554,$K159)))</f>
        <v/>
      </c>
      <c r="G159" s="25">
        <f>IF($K159="","",IF(INDEX('Prospect Tracker'!$H$5:$H$554,$K159)="","",INDEX('Prospect Tracker'!$H$5:$H$554,$K159)))</f>
        <v/>
      </c>
      <c r="H159" s="26">
        <f>IF($K159="","",IF(INDEX('Prospect Tracker'!$K$5:$K$554,$K159)="","",INDEX('Prospect Tracker'!$K$5:$K$554,$K159)))</f>
        <v/>
      </c>
      <c r="I159" s="25">
        <f>IF($K159="","",IF(INDEX('Prospect Tracker'!$T$5:$T$554,$K159)="","",INDEX('Prospect Tracker'!$T$5:$T$554,$K159)))</f>
        <v/>
      </c>
      <c r="J159" s="25">
        <f>IF($K159="","",IF(INDEX('Prospect Tracker'!$L$5:$L$554,$K159)="","",INDEX('Prospect Tracker'!$L$5:$L$554,$K159)))</f>
        <v/>
      </c>
      <c r="K159" s="19">
        <f>IFERROR(MATCH(SMALL('Prospect Tracker'!$X$5:$X$554,ROW()-4),'Prospect Tracker'!$X$5:$X$554,0),"")</f>
        <v/>
      </c>
    </row>
    <row r="160" ht="15" customHeight="1" s="20">
      <c r="A160" s="30">
        <f>IF($K160="","",IF(INDEX('Prospect Tracker'!$W$5:$W$554,$K160)="","",INDEX('Prospect Tracker'!$W$5:$W$554,$K160)))</f>
        <v/>
      </c>
      <c r="B160" s="30">
        <f>IF($K160="","",IF(INDEX('Prospect Tracker'!$A$5:$A$554,$K160)="","",INDEX('Prospect Tracker'!$A$5:$A$554,$K160)))</f>
        <v/>
      </c>
      <c r="C160" s="30">
        <f>IF($K160="","",IF(INDEX('Prospect Tracker'!$B$5:$B$554,$K160)="","",INDEX('Prospect Tracker'!$B$5:$B$554,$K160)))</f>
        <v/>
      </c>
      <c r="D160" s="30">
        <f>IF($K160="","",IF(INDEX('Prospect Tracker'!$M$5:$M$554,$K160)="","",INDEX('Prospect Tracker'!$M$5:$M$554,$K160)))</f>
        <v/>
      </c>
      <c r="E160" s="30">
        <f>IF($K160="","",IF(INDEX('Prospect Tracker'!$R$5:$R$554,$K160)="","",INDEX('Prospect Tracker'!$R$5:$R$554,$K160)))</f>
        <v/>
      </c>
      <c r="F160" s="30">
        <f>IF($K160="","",IF(INDEX('Prospect Tracker'!$J$5:$J$554,$K160)="","",INDEX('Prospect Tracker'!$J$5:$J$554,$K160)))</f>
        <v/>
      </c>
      <c r="G160" s="30">
        <f>IF($K160="","",IF(INDEX('Prospect Tracker'!$H$5:$H$554,$K160)="","",INDEX('Prospect Tracker'!$H$5:$H$554,$K160)))</f>
        <v/>
      </c>
      <c r="H160" s="31">
        <f>IF($K160="","",IF(INDEX('Prospect Tracker'!$K$5:$K$554,$K160)="","",INDEX('Prospect Tracker'!$K$5:$K$554,$K160)))</f>
        <v/>
      </c>
      <c r="I160" s="30">
        <f>IF($K160="","",IF(INDEX('Prospect Tracker'!$T$5:$T$554,$K160)="","",INDEX('Prospect Tracker'!$T$5:$T$554,$K160)))</f>
        <v/>
      </c>
      <c r="J160" s="30">
        <f>IF($K160="","",IF(INDEX('Prospect Tracker'!$L$5:$L$554,$K160)="","",INDEX('Prospect Tracker'!$L$5:$L$554,$K160)))</f>
        <v/>
      </c>
      <c r="K160" s="19">
        <f>IFERROR(MATCH(SMALL('Prospect Tracker'!$X$5:$X$554,ROW()-4),'Prospect Tracker'!$X$5:$X$554,0),"")</f>
        <v/>
      </c>
    </row>
    <row r="161" ht="15" customHeight="1" s="20">
      <c r="A161" s="25">
        <f>IF($K161="","",IF(INDEX('Prospect Tracker'!$W$5:$W$554,$K161)="","",INDEX('Prospect Tracker'!$W$5:$W$554,$K161)))</f>
        <v/>
      </c>
      <c r="B161" s="25">
        <f>IF($K161="","",IF(INDEX('Prospect Tracker'!$A$5:$A$554,$K161)="","",INDEX('Prospect Tracker'!$A$5:$A$554,$K161)))</f>
        <v/>
      </c>
      <c r="C161" s="25">
        <f>IF($K161="","",IF(INDEX('Prospect Tracker'!$B$5:$B$554,$K161)="","",INDEX('Prospect Tracker'!$B$5:$B$554,$K161)))</f>
        <v/>
      </c>
      <c r="D161" s="25">
        <f>IF($K161="","",IF(INDEX('Prospect Tracker'!$M$5:$M$554,$K161)="","",INDEX('Prospect Tracker'!$M$5:$M$554,$K161)))</f>
        <v/>
      </c>
      <c r="E161" s="25">
        <f>IF($K161="","",IF(INDEX('Prospect Tracker'!$R$5:$R$554,$K161)="","",INDEX('Prospect Tracker'!$R$5:$R$554,$K161)))</f>
        <v/>
      </c>
      <c r="F161" s="25">
        <f>IF($K161="","",IF(INDEX('Prospect Tracker'!$J$5:$J$554,$K161)="","",INDEX('Prospect Tracker'!$J$5:$J$554,$K161)))</f>
        <v/>
      </c>
      <c r="G161" s="25">
        <f>IF($K161="","",IF(INDEX('Prospect Tracker'!$H$5:$H$554,$K161)="","",INDEX('Prospect Tracker'!$H$5:$H$554,$K161)))</f>
        <v/>
      </c>
      <c r="H161" s="26">
        <f>IF($K161="","",IF(INDEX('Prospect Tracker'!$K$5:$K$554,$K161)="","",INDEX('Prospect Tracker'!$K$5:$K$554,$K161)))</f>
        <v/>
      </c>
      <c r="I161" s="25">
        <f>IF($K161="","",IF(INDEX('Prospect Tracker'!$T$5:$T$554,$K161)="","",INDEX('Prospect Tracker'!$T$5:$T$554,$K161)))</f>
        <v/>
      </c>
      <c r="J161" s="25">
        <f>IF($K161="","",IF(INDEX('Prospect Tracker'!$L$5:$L$554,$K161)="","",INDEX('Prospect Tracker'!$L$5:$L$554,$K161)))</f>
        <v/>
      </c>
      <c r="K161" s="19">
        <f>IFERROR(MATCH(SMALL('Prospect Tracker'!$X$5:$X$554,ROW()-4),'Prospect Tracker'!$X$5:$X$554,0),"")</f>
        <v/>
      </c>
    </row>
    <row r="162" ht="15" customHeight="1" s="20">
      <c r="A162" s="30">
        <f>IF($K162="","",IF(INDEX('Prospect Tracker'!$W$5:$W$554,$K162)="","",INDEX('Prospect Tracker'!$W$5:$W$554,$K162)))</f>
        <v/>
      </c>
      <c r="B162" s="30">
        <f>IF($K162="","",IF(INDEX('Prospect Tracker'!$A$5:$A$554,$K162)="","",INDEX('Prospect Tracker'!$A$5:$A$554,$K162)))</f>
        <v/>
      </c>
      <c r="C162" s="30">
        <f>IF($K162="","",IF(INDEX('Prospect Tracker'!$B$5:$B$554,$K162)="","",INDEX('Prospect Tracker'!$B$5:$B$554,$K162)))</f>
        <v/>
      </c>
      <c r="D162" s="30">
        <f>IF($K162="","",IF(INDEX('Prospect Tracker'!$M$5:$M$554,$K162)="","",INDEX('Prospect Tracker'!$M$5:$M$554,$K162)))</f>
        <v/>
      </c>
      <c r="E162" s="30">
        <f>IF($K162="","",IF(INDEX('Prospect Tracker'!$R$5:$R$554,$K162)="","",INDEX('Prospect Tracker'!$R$5:$R$554,$K162)))</f>
        <v/>
      </c>
      <c r="F162" s="30">
        <f>IF($K162="","",IF(INDEX('Prospect Tracker'!$J$5:$J$554,$K162)="","",INDEX('Prospect Tracker'!$J$5:$J$554,$K162)))</f>
        <v/>
      </c>
      <c r="G162" s="30">
        <f>IF($K162="","",IF(INDEX('Prospect Tracker'!$H$5:$H$554,$K162)="","",INDEX('Prospect Tracker'!$H$5:$H$554,$K162)))</f>
        <v/>
      </c>
      <c r="H162" s="31">
        <f>IF($K162="","",IF(INDEX('Prospect Tracker'!$K$5:$K$554,$K162)="","",INDEX('Prospect Tracker'!$K$5:$K$554,$K162)))</f>
        <v/>
      </c>
      <c r="I162" s="30">
        <f>IF($K162="","",IF(INDEX('Prospect Tracker'!$T$5:$T$554,$K162)="","",INDEX('Prospect Tracker'!$T$5:$T$554,$K162)))</f>
        <v/>
      </c>
      <c r="J162" s="30">
        <f>IF($K162="","",IF(INDEX('Prospect Tracker'!$L$5:$L$554,$K162)="","",INDEX('Prospect Tracker'!$L$5:$L$554,$K162)))</f>
        <v/>
      </c>
      <c r="K162" s="19">
        <f>IFERROR(MATCH(SMALL('Prospect Tracker'!$X$5:$X$554,ROW()-4),'Prospect Tracker'!$X$5:$X$554,0),"")</f>
        <v/>
      </c>
    </row>
    <row r="163" ht="15" customHeight="1" s="20">
      <c r="A163" s="25">
        <f>IF($K163="","",IF(INDEX('Prospect Tracker'!$W$5:$W$554,$K163)="","",INDEX('Prospect Tracker'!$W$5:$W$554,$K163)))</f>
        <v/>
      </c>
      <c r="B163" s="25">
        <f>IF($K163="","",IF(INDEX('Prospect Tracker'!$A$5:$A$554,$K163)="","",INDEX('Prospect Tracker'!$A$5:$A$554,$K163)))</f>
        <v/>
      </c>
      <c r="C163" s="25">
        <f>IF($K163="","",IF(INDEX('Prospect Tracker'!$B$5:$B$554,$K163)="","",INDEX('Prospect Tracker'!$B$5:$B$554,$K163)))</f>
        <v/>
      </c>
      <c r="D163" s="25">
        <f>IF($K163="","",IF(INDEX('Prospect Tracker'!$M$5:$M$554,$K163)="","",INDEX('Prospect Tracker'!$M$5:$M$554,$K163)))</f>
        <v/>
      </c>
      <c r="E163" s="25">
        <f>IF($K163="","",IF(INDEX('Prospect Tracker'!$R$5:$R$554,$K163)="","",INDEX('Prospect Tracker'!$R$5:$R$554,$K163)))</f>
        <v/>
      </c>
      <c r="F163" s="25">
        <f>IF($K163="","",IF(INDEX('Prospect Tracker'!$J$5:$J$554,$K163)="","",INDEX('Prospect Tracker'!$J$5:$J$554,$K163)))</f>
        <v/>
      </c>
      <c r="G163" s="25">
        <f>IF($K163="","",IF(INDEX('Prospect Tracker'!$H$5:$H$554,$K163)="","",INDEX('Prospect Tracker'!$H$5:$H$554,$K163)))</f>
        <v/>
      </c>
      <c r="H163" s="26">
        <f>IF($K163="","",IF(INDEX('Prospect Tracker'!$K$5:$K$554,$K163)="","",INDEX('Prospect Tracker'!$K$5:$K$554,$K163)))</f>
        <v/>
      </c>
      <c r="I163" s="25">
        <f>IF($K163="","",IF(INDEX('Prospect Tracker'!$T$5:$T$554,$K163)="","",INDEX('Prospect Tracker'!$T$5:$T$554,$K163)))</f>
        <v/>
      </c>
      <c r="J163" s="25">
        <f>IF($K163="","",IF(INDEX('Prospect Tracker'!$L$5:$L$554,$K163)="","",INDEX('Prospect Tracker'!$L$5:$L$554,$K163)))</f>
        <v/>
      </c>
      <c r="K163" s="19">
        <f>IFERROR(MATCH(SMALL('Prospect Tracker'!$X$5:$X$554,ROW()-4),'Prospect Tracker'!$X$5:$X$554,0),"")</f>
        <v/>
      </c>
    </row>
    <row r="164" ht="15" customHeight="1" s="20">
      <c r="A164" s="30">
        <f>IF($K164="","",IF(INDEX('Prospect Tracker'!$W$5:$W$554,$K164)="","",INDEX('Prospect Tracker'!$W$5:$W$554,$K164)))</f>
        <v/>
      </c>
      <c r="B164" s="30">
        <f>IF($K164="","",IF(INDEX('Prospect Tracker'!$A$5:$A$554,$K164)="","",INDEX('Prospect Tracker'!$A$5:$A$554,$K164)))</f>
        <v/>
      </c>
      <c r="C164" s="30">
        <f>IF($K164="","",IF(INDEX('Prospect Tracker'!$B$5:$B$554,$K164)="","",INDEX('Prospect Tracker'!$B$5:$B$554,$K164)))</f>
        <v/>
      </c>
      <c r="D164" s="30">
        <f>IF($K164="","",IF(INDEX('Prospect Tracker'!$M$5:$M$554,$K164)="","",INDEX('Prospect Tracker'!$M$5:$M$554,$K164)))</f>
        <v/>
      </c>
      <c r="E164" s="30">
        <f>IF($K164="","",IF(INDEX('Prospect Tracker'!$R$5:$R$554,$K164)="","",INDEX('Prospect Tracker'!$R$5:$R$554,$K164)))</f>
        <v/>
      </c>
      <c r="F164" s="30">
        <f>IF($K164="","",IF(INDEX('Prospect Tracker'!$J$5:$J$554,$K164)="","",INDEX('Prospect Tracker'!$J$5:$J$554,$K164)))</f>
        <v/>
      </c>
      <c r="G164" s="30">
        <f>IF($K164="","",IF(INDEX('Prospect Tracker'!$H$5:$H$554,$K164)="","",INDEX('Prospect Tracker'!$H$5:$H$554,$K164)))</f>
        <v/>
      </c>
      <c r="H164" s="31">
        <f>IF($K164="","",IF(INDEX('Prospect Tracker'!$K$5:$K$554,$K164)="","",INDEX('Prospect Tracker'!$K$5:$K$554,$K164)))</f>
        <v/>
      </c>
      <c r="I164" s="30">
        <f>IF($K164="","",IF(INDEX('Prospect Tracker'!$T$5:$T$554,$K164)="","",INDEX('Prospect Tracker'!$T$5:$T$554,$K164)))</f>
        <v/>
      </c>
      <c r="J164" s="30">
        <f>IF($K164="","",IF(INDEX('Prospect Tracker'!$L$5:$L$554,$K164)="","",INDEX('Prospect Tracker'!$L$5:$L$554,$K164)))</f>
        <v/>
      </c>
      <c r="K164" s="19">
        <f>IFERROR(MATCH(SMALL('Prospect Tracker'!$X$5:$X$554,ROW()-4),'Prospect Tracker'!$X$5:$X$554,0),"")</f>
        <v/>
      </c>
    </row>
    <row r="165" ht="15" customHeight="1" s="20">
      <c r="A165" s="25">
        <f>IF($K165="","",IF(INDEX('Prospect Tracker'!$W$5:$W$554,$K165)="","",INDEX('Prospect Tracker'!$W$5:$W$554,$K165)))</f>
        <v/>
      </c>
      <c r="B165" s="25">
        <f>IF($K165="","",IF(INDEX('Prospect Tracker'!$A$5:$A$554,$K165)="","",INDEX('Prospect Tracker'!$A$5:$A$554,$K165)))</f>
        <v/>
      </c>
      <c r="C165" s="25">
        <f>IF($K165="","",IF(INDEX('Prospect Tracker'!$B$5:$B$554,$K165)="","",INDEX('Prospect Tracker'!$B$5:$B$554,$K165)))</f>
        <v/>
      </c>
      <c r="D165" s="25">
        <f>IF($K165="","",IF(INDEX('Prospect Tracker'!$M$5:$M$554,$K165)="","",INDEX('Prospect Tracker'!$M$5:$M$554,$K165)))</f>
        <v/>
      </c>
      <c r="E165" s="25">
        <f>IF($K165="","",IF(INDEX('Prospect Tracker'!$R$5:$R$554,$K165)="","",INDEX('Prospect Tracker'!$R$5:$R$554,$K165)))</f>
        <v/>
      </c>
      <c r="F165" s="25">
        <f>IF($K165="","",IF(INDEX('Prospect Tracker'!$J$5:$J$554,$K165)="","",INDEX('Prospect Tracker'!$J$5:$J$554,$K165)))</f>
        <v/>
      </c>
      <c r="G165" s="25">
        <f>IF($K165="","",IF(INDEX('Prospect Tracker'!$H$5:$H$554,$K165)="","",INDEX('Prospect Tracker'!$H$5:$H$554,$K165)))</f>
        <v/>
      </c>
      <c r="H165" s="26">
        <f>IF($K165="","",IF(INDEX('Prospect Tracker'!$K$5:$K$554,$K165)="","",INDEX('Prospect Tracker'!$K$5:$K$554,$K165)))</f>
        <v/>
      </c>
      <c r="I165" s="25">
        <f>IF($K165="","",IF(INDEX('Prospect Tracker'!$T$5:$T$554,$K165)="","",INDEX('Prospect Tracker'!$T$5:$T$554,$K165)))</f>
        <v/>
      </c>
      <c r="J165" s="25">
        <f>IF($K165="","",IF(INDEX('Prospect Tracker'!$L$5:$L$554,$K165)="","",INDEX('Prospect Tracker'!$L$5:$L$554,$K165)))</f>
        <v/>
      </c>
      <c r="K165" s="19">
        <f>IFERROR(MATCH(SMALL('Prospect Tracker'!$X$5:$X$554,ROW()-4),'Prospect Tracker'!$X$5:$X$554,0),"")</f>
        <v/>
      </c>
    </row>
    <row r="166" ht="15" customHeight="1" s="20">
      <c r="A166" s="30">
        <f>IF($K166="","",IF(INDEX('Prospect Tracker'!$W$5:$W$554,$K166)="","",INDEX('Prospect Tracker'!$W$5:$W$554,$K166)))</f>
        <v/>
      </c>
      <c r="B166" s="30">
        <f>IF($K166="","",IF(INDEX('Prospect Tracker'!$A$5:$A$554,$K166)="","",INDEX('Prospect Tracker'!$A$5:$A$554,$K166)))</f>
        <v/>
      </c>
      <c r="C166" s="30">
        <f>IF($K166="","",IF(INDEX('Prospect Tracker'!$B$5:$B$554,$K166)="","",INDEX('Prospect Tracker'!$B$5:$B$554,$K166)))</f>
        <v/>
      </c>
      <c r="D166" s="30">
        <f>IF($K166="","",IF(INDEX('Prospect Tracker'!$M$5:$M$554,$K166)="","",INDEX('Prospect Tracker'!$M$5:$M$554,$K166)))</f>
        <v/>
      </c>
      <c r="E166" s="30">
        <f>IF($K166="","",IF(INDEX('Prospect Tracker'!$R$5:$R$554,$K166)="","",INDEX('Prospect Tracker'!$R$5:$R$554,$K166)))</f>
        <v/>
      </c>
      <c r="F166" s="30">
        <f>IF($K166="","",IF(INDEX('Prospect Tracker'!$J$5:$J$554,$K166)="","",INDEX('Prospect Tracker'!$J$5:$J$554,$K166)))</f>
        <v/>
      </c>
      <c r="G166" s="30">
        <f>IF($K166="","",IF(INDEX('Prospect Tracker'!$H$5:$H$554,$K166)="","",INDEX('Prospect Tracker'!$H$5:$H$554,$K166)))</f>
        <v/>
      </c>
      <c r="H166" s="31">
        <f>IF($K166="","",IF(INDEX('Prospect Tracker'!$K$5:$K$554,$K166)="","",INDEX('Prospect Tracker'!$K$5:$K$554,$K166)))</f>
        <v/>
      </c>
      <c r="I166" s="30">
        <f>IF($K166="","",IF(INDEX('Prospect Tracker'!$T$5:$T$554,$K166)="","",INDEX('Prospect Tracker'!$T$5:$T$554,$K166)))</f>
        <v/>
      </c>
      <c r="J166" s="30">
        <f>IF($K166="","",IF(INDEX('Prospect Tracker'!$L$5:$L$554,$K166)="","",INDEX('Prospect Tracker'!$L$5:$L$554,$K166)))</f>
        <v/>
      </c>
      <c r="K166" s="19">
        <f>IFERROR(MATCH(SMALL('Prospect Tracker'!$X$5:$X$554,ROW()-4),'Prospect Tracker'!$X$5:$X$554,0),"")</f>
        <v/>
      </c>
    </row>
    <row r="167" ht="15" customHeight="1" s="20">
      <c r="A167" s="25">
        <f>IF($K167="","",IF(INDEX('Prospect Tracker'!$W$5:$W$554,$K167)="","",INDEX('Prospect Tracker'!$W$5:$W$554,$K167)))</f>
        <v/>
      </c>
      <c r="B167" s="25">
        <f>IF($K167="","",IF(INDEX('Prospect Tracker'!$A$5:$A$554,$K167)="","",INDEX('Prospect Tracker'!$A$5:$A$554,$K167)))</f>
        <v/>
      </c>
      <c r="C167" s="25">
        <f>IF($K167="","",IF(INDEX('Prospect Tracker'!$B$5:$B$554,$K167)="","",INDEX('Prospect Tracker'!$B$5:$B$554,$K167)))</f>
        <v/>
      </c>
      <c r="D167" s="25">
        <f>IF($K167="","",IF(INDEX('Prospect Tracker'!$M$5:$M$554,$K167)="","",INDEX('Prospect Tracker'!$M$5:$M$554,$K167)))</f>
        <v/>
      </c>
      <c r="E167" s="25">
        <f>IF($K167="","",IF(INDEX('Prospect Tracker'!$R$5:$R$554,$K167)="","",INDEX('Prospect Tracker'!$R$5:$R$554,$K167)))</f>
        <v/>
      </c>
      <c r="F167" s="25">
        <f>IF($K167="","",IF(INDEX('Prospect Tracker'!$J$5:$J$554,$K167)="","",INDEX('Prospect Tracker'!$J$5:$J$554,$K167)))</f>
        <v/>
      </c>
      <c r="G167" s="25">
        <f>IF($K167="","",IF(INDEX('Prospect Tracker'!$H$5:$H$554,$K167)="","",INDEX('Prospect Tracker'!$H$5:$H$554,$K167)))</f>
        <v/>
      </c>
      <c r="H167" s="26">
        <f>IF($K167="","",IF(INDEX('Prospect Tracker'!$K$5:$K$554,$K167)="","",INDEX('Prospect Tracker'!$K$5:$K$554,$K167)))</f>
        <v/>
      </c>
      <c r="I167" s="25">
        <f>IF($K167="","",IF(INDEX('Prospect Tracker'!$T$5:$T$554,$K167)="","",INDEX('Prospect Tracker'!$T$5:$T$554,$K167)))</f>
        <v/>
      </c>
      <c r="J167" s="25">
        <f>IF($K167="","",IF(INDEX('Prospect Tracker'!$L$5:$L$554,$K167)="","",INDEX('Prospect Tracker'!$L$5:$L$554,$K167)))</f>
        <v/>
      </c>
      <c r="K167" s="19">
        <f>IFERROR(MATCH(SMALL('Prospect Tracker'!$X$5:$X$554,ROW()-4),'Prospect Tracker'!$X$5:$X$554,0),"")</f>
        <v/>
      </c>
    </row>
    <row r="168" ht="15" customHeight="1" s="20">
      <c r="A168" s="30">
        <f>IF($K168="","",IF(INDEX('Prospect Tracker'!$W$5:$W$554,$K168)="","",INDEX('Prospect Tracker'!$W$5:$W$554,$K168)))</f>
        <v/>
      </c>
      <c r="B168" s="30">
        <f>IF($K168="","",IF(INDEX('Prospect Tracker'!$A$5:$A$554,$K168)="","",INDEX('Prospect Tracker'!$A$5:$A$554,$K168)))</f>
        <v/>
      </c>
      <c r="C168" s="30">
        <f>IF($K168="","",IF(INDEX('Prospect Tracker'!$B$5:$B$554,$K168)="","",INDEX('Prospect Tracker'!$B$5:$B$554,$K168)))</f>
        <v/>
      </c>
      <c r="D168" s="30">
        <f>IF($K168="","",IF(INDEX('Prospect Tracker'!$M$5:$M$554,$K168)="","",INDEX('Prospect Tracker'!$M$5:$M$554,$K168)))</f>
        <v/>
      </c>
      <c r="E168" s="30">
        <f>IF($K168="","",IF(INDEX('Prospect Tracker'!$R$5:$R$554,$K168)="","",INDEX('Prospect Tracker'!$R$5:$R$554,$K168)))</f>
        <v/>
      </c>
      <c r="F168" s="30">
        <f>IF($K168="","",IF(INDEX('Prospect Tracker'!$J$5:$J$554,$K168)="","",INDEX('Prospect Tracker'!$J$5:$J$554,$K168)))</f>
        <v/>
      </c>
      <c r="G168" s="30">
        <f>IF($K168="","",IF(INDEX('Prospect Tracker'!$H$5:$H$554,$K168)="","",INDEX('Prospect Tracker'!$H$5:$H$554,$K168)))</f>
        <v/>
      </c>
      <c r="H168" s="31">
        <f>IF($K168="","",IF(INDEX('Prospect Tracker'!$K$5:$K$554,$K168)="","",INDEX('Prospect Tracker'!$K$5:$K$554,$K168)))</f>
        <v/>
      </c>
      <c r="I168" s="30">
        <f>IF($K168="","",IF(INDEX('Prospect Tracker'!$T$5:$T$554,$K168)="","",INDEX('Prospect Tracker'!$T$5:$T$554,$K168)))</f>
        <v/>
      </c>
      <c r="J168" s="30">
        <f>IF($K168="","",IF(INDEX('Prospect Tracker'!$L$5:$L$554,$K168)="","",INDEX('Prospect Tracker'!$L$5:$L$554,$K168)))</f>
        <v/>
      </c>
      <c r="K168" s="19">
        <f>IFERROR(MATCH(SMALL('Prospect Tracker'!$X$5:$X$554,ROW()-4),'Prospect Tracker'!$X$5:$X$554,0),"")</f>
        <v/>
      </c>
    </row>
    <row r="169" ht="15" customHeight="1" s="20">
      <c r="A169" s="25">
        <f>IF($K169="","",IF(INDEX('Prospect Tracker'!$W$5:$W$554,$K169)="","",INDEX('Prospect Tracker'!$W$5:$W$554,$K169)))</f>
        <v/>
      </c>
      <c r="B169" s="25">
        <f>IF($K169="","",IF(INDEX('Prospect Tracker'!$A$5:$A$554,$K169)="","",INDEX('Prospect Tracker'!$A$5:$A$554,$K169)))</f>
        <v/>
      </c>
      <c r="C169" s="25">
        <f>IF($K169="","",IF(INDEX('Prospect Tracker'!$B$5:$B$554,$K169)="","",INDEX('Prospect Tracker'!$B$5:$B$554,$K169)))</f>
        <v/>
      </c>
      <c r="D169" s="25">
        <f>IF($K169="","",IF(INDEX('Prospect Tracker'!$M$5:$M$554,$K169)="","",INDEX('Prospect Tracker'!$M$5:$M$554,$K169)))</f>
        <v/>
      </c>
      <c r="E169" s="25">
        <f>IF($K169="","",IF(INDEX('Prospect Tracker'!$R$5:$R$554,$K169)="","",INDEX('Prospect Tracker'!$R$5:$R$554,$K169)))</f>
        <v/>
      </c>
      <c r="F169" s="25">
        <f>IF($K169="","",IF(INDEX('Prospect Tracker'!$J$5:$J$554,$K169)="","",INDEX('Prospect Tracker'!$J$5:$J$554,$K169)))</f>
        <v/>
      </c>
      <c r="G169" s="25">
        <f>IF($K169="","",IF(INDEX('Prospect Tracker'!$H$5:$H$554,$K169)="","",INDEX('Prospect Tracker'!$H$5:$H$554,$K169)))</f>
        <v/>
      </c>
      <c r="H169" s="26">
        <f>IF($K169="","",IF(INDEX('Prospect Tracker'!$K$5:$K$554,$K169)="","",INDEX('Prospect Tracker'!$K$5:$K$554,$K169)))</f>
        <v/>
      </c>
      <c r="I169" s="25">
        <f>IF($K169="","",IF(INDEX('Prospect Tracker'!$T$5:$T$554,$K169)="","",INDEX('Prospect Tracker'!$T$5:$T$554,$K169)))</f>
        <v/>
      </c>
      <c r="J169" s="25">
        <f>IF($K169="","",IF(INDEX('Prospect Tracker'!$L$5:$L$554,$K169)="","",INDEX('Prospect Tracker'!$L$5:$L$554,$K169)))</f>
        <v/>
      </c>
      <c r="K169" s="19">
        <f>IFERROR(MATCH(SMALL('Prospect Tracker'!$X$5:$X$554,ROW()-4),'Prospect Tracker'!$X$5:$X$554,0),"")</f>
        <v/>
      </c>
    </row>
    <row r="170" ht="15" customHeight="1" s="20">
      <c r="A170" s="30">
        <f>IF($K170="","",IF(INDEX('Prospect Tracker'!$W$5:$W$554,$K170)="","",INDEX('Prospect Tracker'!$W$5:$W$554,$K170)))</f>
        <v/>
      </c>
      <c r="B170" s="30">
        <f>IF($K170="","",IF(INDEX('Prospect Tracker'!$A$5:$A$554,$K170)="","",INDEX('Prospect Tracker'!$A$5:$A$554,$K170)))</f>
        <v/>
      </c>
      <c r="C170" s="30">
        <f>IF($K170="","",IF(INDEX('Prospect Tracker'!$B$5:$B$554,$K170)="","",INDEX('Prospect Tracker'!$B$5:$B$554,$K170)))</f>
        <v/>
      </c>
      <c r="D170" s="30">
        <f>IF($K170="","",IF(INDEX('Prospect Tracker'!$M$5:$M$554,$K170)="","",INDEX('Prospect Tracker'!$M$5:$M$554,$K170)))</f>
        <v/>
      </c>
      <c r="E170" s="30">
        <f>IF($K170="","",IF(INDEX('Prospect Tracker'!$R$5:$R$554,$K170)="","",INDEX('Prospect Tracker'!$R$5:$R$554,$K170)))</f>
        <v/>
      </c>
      <c r="F170" s="30">
        <f>IF($K170="","",IF(INDEX('Prospect Tracker'!$J$5:$J$554,$K170)="","",INDEX('Prospect Tracker'!$J$5:$J$554,$K170)))</f>
        <v/>
      </c>
      <c r="G170" s="30">
        <f>IF($K170="","",IF(INDEX('Prospect Tracker'!$H$5:$H$554,$K170)="","",INDEX('Prospect Tracker'!$H$5:$H$554,$K170)))</f>
        <v/>
      </c>
      <c r="H170" s="31">
        <f>IF($K170="","",IF(INDEX('Prospect Tracker'!$K$5:$K$554,$K170)="","",INDEX('Prospect Tracker'!$K$5:$K$554,$K170)))</f>
        <v/>
      </c>
      <c r="I170" s="30">
        <f>IF($K170="","",IF(INDEX('Prospect Tracker'!$T$5:$T$554,$K170)="","",INDEX('Prospect Tracker'!$T$5:$T$554,$K170)))</f>
        <v/>
      </c>
      <c r="J170" s="30">
        <f>IF($K170="","",IF(INDEX('Prospect Tracker'!$L$5:$L$554,$K170)="","",INDEX('Prospect Tracker'!$L$5:$L$554,$K170)))</f>
        <v/>
      </c>
      <c r="K170" s="19">
        <f>IFERROR(MATCH(SMALL('Prospect Tracker'!$X$5:$X$554,ROW()-4),'Prospect Tracker'!$X$5:$X$554,0),"")</f>
        <v/>
      </c>
    </row>
    <row r="171" ht="15" customHeight="1" s="20">
      <c r="A171" s="25">
        <f>IF($K171="","",IF(INDEX('Prospect Tracker'!$W$5:$W$554,$K171)="","",INDEX('Prospect Tracker'!$W$5:$W$554,$K171)))</f>
        <v/>
      </c>
      <c r="B171" s="25">
        <f>IF($K171="","",IF(INDEX('Prospect Tracker'!$A$5:$A$554,$K171)="","",INDEX('Prospect Tracker'!$A$5:$A$554,$K171)))</f>
        <v/>
      </c>
      <c r="C171" s="25">
        <f>IF($K171="","",IF(INDEX('Prospect Tracker'!$B$5:$B$554,$K171)="","",INDEX('Prospect Tracker'!$B$5:$B$554,$K171)))</f>
        <v/>
      </c>
      <c r="D171" s="25">
        <f>IF($K171="","",IF(INDEX('Prospect Tracker'!$M$5:$M$554,$K171)="","",INDEX('Prospect Tracker'!$M$5:$M$554,$K171)))</f>
        <v/>
      </c>
      <c r="E171" s="25">
        <f>IF($K171="","",IF(INDEX('Prospect Tracker'!$R$5:$R$554,$K171)="","",INDEX('Prospect Tracker'!$R$5:$R$554,$K171)))</f>
        <v/>
      </c>
      <c r="F171" s="25">
        <f>IF($K171="","",IF(INDEX('Prospect Tracker'!$J$5:$J$554,$K171)="","",INDEX('Prospect Tracker'!$J$5:$J$554,$K171)))</f>
        <v/>
      </c>
      <c r="G171" s="25">
        <f>IF($K171="","",IF(INDEX('Prospect Tracker'!$H$5:$H$554,$K171)="","",INDEX('Prospect Tracker'!$H$5:$H$554,$K171)))</f>
        <v/>
      </c>
      <c r="H171" s="26">
        <f>IF($K171="","",IF(INDEX('Prospect Tracker'!$K$5:$K$554,$K171)="","",INDEX('Prospect Tracker'!$K$5:$K$554,$K171)))</f>
        <v/>
      </c>
      <c r="I171" s="25">
        <f>IF($K171="","",IF(INDEX('Prospect Tracker'!$T$5:$T$554,$K171)="","",INDEX('Prospect Tracker'!$T$5:$T$554,$K171)))</f>
        <v/>
      </c>
      <c r="J171" s="25">
        <f>IF($K171="","",IF(INDEX('Prospect Tracker'!$L$5:$L$554,$K171)="","",INDEX('Prospect Tracker'!$L$5:$L$554,$K171)))</f>
        <v/>
      </c>
      <c r="K171" s="19">
        <f>IFERROR(MATCH(SMALL('Prospect Tracker'!$X$5:$X$554,ROW()-4),'Prospect Tracker'!$X$5:$X$554,0),"")</f>
        <v/>
      </c>
    </row>
    <row r="172" ht="15" customHeight="1" s="20">
      <c r="A172" s="30">
        <f>IF($K172="","",IF(INDEX('Prospect Tracker'!$W$5:$W$554,$K172)="","",INDEX('Prospect Tracker'!$W$5:$W$554,$K172)))</f>
        <v/>
      </c>
      <c r="B172" s="30">
        <f>IF($K172="","",IF(INDEX('Prospect Tracker'!$A$5:$A$554,$K172)="","",INDEX('Prospect Tracker'!$A$5:$A$554,$K172)))</f>
        <v/>
      </c>
      <c r="C172" s="30">
        <f>IF($K172="","",IF(INDEX('Prospect Tracker'!$B$5:$B$554,$K172)="","",INDEX('Prospect Tracker'!$B$5:$B$554,$K172)))</f>
        <v/>
      </c>
      <c r="D172" s="30">
        <f>IF($K172="","",IF(INDEX('Prospect Tracker'!$M$5:$M$554,$K172)="","",INDEX('Prospect Tracker'!$M$5:$M$554,$K172)))</f>
        <v/>
      </c>
      <c r="E172" s="30">
        <f>IF($K172="","",IF(INDEX('Prospect Tracker'!$R$5:$R$554,$K172)="","",INDEX('Prospect Tracker'!$R$5:$R$554,$K172)))</f>
        <v/>
      </c>
      <c r="F172" s="30">
        <f>IF($K172="","",IF(INDEX('Prospect Tracker'!$J$5:$J$554,$K172)="","",INDEX('Prospect Tracker'!$J$5:$J$554,$K172)))</f>
        <v/>
      </c>
      <c r="G172" s="30">
        <f>IF($K172="","",IF(INDEX('Prospect Tracker'!$H$5:$H$554,$K172)="","",INDEX('Prospect Tracker'!$H$5:$H$554,$K172)))</f>
        <v/>
      </c>
      <c r="H172" s="31">
        <f>IF($K172="","",IF(INDEX('Prospect Tracker'!$K$5:$K$554,$K172)="","",INDEX('Prospect Tracker'!$K$5:$K$554,$K172)))</f>
        <v/>
      </c>
      <c r="I172" s="30">
        <f>IF($K172="","",IF(INDEX('Prospect Tracker'!$T$5:$T$554,$K172)="","",INDEX('Prospect Tracker'!$T$5:$T$554,$K172)))</f>
        <v/>
      </c>
      <c r="J172" s="30">
        <f>IF($K172="","",IF(INDEX('Prospect Tracker'!$L$5:$L$554,$K172)="","",INDEX('Prospect Tracker'!$L$5:$L$554,$K172)))</f>
        <v/>
      </c>
      <c r="K172" s="19">
        <f>IFERROR(MATCH(SMALL('Prospect Tracker'!$X$5:$X$554,ROW()-4),'Prospect Tracker'!$X$5:$X$554,0),"")</f>
        <v/>
      </c>
    </row>
    <row r="173" ht="15" customHeight="1" s="20">
      <c r="A173" s="25">
        <f>IF($K173="","",IF(INDEX('Prospect Tracker'!$W$5:$W$554,$K173)="","",INDEX('Prospect Tracker'!$W$5:$W$554,$K173)))</f>
        <v/>
      </c>
      <c r="B173" s="25">
        <f>IF($K173="","",IF(INDEX('Prospect Tracker'!$A$5:$A$554,$K173)="","",INDEX('Prospect Tracker'!$A$5:$A$554,$K173)))</f>
        <v/>
      </c>
      <c r="C173" s="25">
        <f>IF($K173="","",IF(INDEX('Prospect Tracker'!$B$5:$B$554,$K173)="","",INDEX('Prospect Tracker'!$B$5:$B$554,$K173)))</f>
        <v/>
      </c>
      <c r="D173" s="25">
        <f>IF($K173="","",IF(INDEX('Prospect Tracker'!$M$5:$M$554,$K173)="","",INDEX('Prospect Tracker'!$M$5:$M$554,$K173)))</f>
        <v/>
      </c>
      <c r="E173" s="25">
        <f>IF($K173="","",IF(INDEX('Prospect Tracker'!$R$5:$R$554,$K173)="","",INDEX('Prospect Tracker'!$R$5:$R$554,$K173)))</f>
        <v/>
      </c>
      <c r="F173" s="25">
        <f>IF($K173="","",IF(INDEX('Prospect Tracker'!$J$5:$J$554,$K173)="","",INDEX('Prospect Tracker'!$J$5:$J$554,$K173)))</f>
        <v/>
      </c>
      <c r="G173" s="25">
        <f>IF($K173="","",IF(INDEX('Prospect Tracker'!$H$5:$H$554,$K173)="","",INDEX('Prospect Tracker'!$H$5:$H$554,$K173)))</f>
        <v/>
      </c>
      <c r="H173" s="26">
        <f>IF($K173="","",IF(INDEX('Prospect Tracker'!$K$5:$K$554,$K173)="","",INDEX('Prospect Tracker'!$K$5:$K$554,$K173)))</f>
        <v/>
      </c>
      <c r="I173" s="25">
        <f>IF($K173="","",IF(INDEX('Prospect Tracker'!$T$5:$T$554,$K173)="","",INDEX('Prospect Tracker'!$T$5:$T$554,$K173)))</f>
        <v/>
      </c>
      <c r="J173" s="25">
        <f>IF($K173="","",IF(INDEX('Prospect Tracker'!$L$5:$L$554,$K173)="","",INDEX('Prospect Tracker'!$L$5:$L$554,$K173)))</f>
        <v/>
      </c>
      <c r="K173" s="19">
        <f>IFERROR(MATCH(SMALL('Prospect Tracker'!$X$5:$X$554,ROW()-4),'Prospect Tracker'!$X$5:$X$554,0),"")</f>
        <v/>
      </c>
    </row>
    <row r="174" ht="15" customHeight="1" s="20">
      <c r="A174" s="30">
        <f>IF($K174="","",IF(INDEX('Prospect Tracker'!$W$5:$W$554,$K174)="","",INDEX('Prospect Tracker'!$W$5:$W$554,$K174)))</f>
        <v/>
      </c>
      <c r="B174" s="30">
        <f>IF($K174="","",IF(INDEX('Prospect Tracker'!$A$5:$A$554,$K174)="","",INDEX('Prospect Tracker'!$A$5:$A$554,$K174)))</f>
        <v/>
      </c>
      <c r="C174" s="30">
        <f>IF($K174="","",IF(INDEX('Prospect Tracker'!$B$5:$B$554,$K174)="","",INDEX('Prospect Tracker'!$B$5:$B$554,$K174)))</f>
        <v/>
      </c>
      <c r="D174" s="30">
        <f>IF($K174="","",IF(INDEX('Prospect Tracker'!$M$5:$M$554,$K174)="","",INDEX('Prospect Tracker'!$M$5:$M$554,$K174)))</f>
        <v/>
      </c>
      <c r="E174" s="30">
        <f>IF($K174="","",IF(INDEX('Prospect Tracker'!$R$5:$R$554,$K174)="","",INDEX('Prospect Tracker'!$R$5:$R$554,$K174)))</f>
        <v/>
      </c>
      <c r="F174" s="30">
        <f>IF($K174="","",IF(INDEX('Prospect Tracker'!$J$5:$J$554,$K174)="","",INDEX('Prospect Tracker'!$J$5:$J$554,$K174)))</f>
        <v/>
      </c>
      <c r="G174" s="30">
        <f>IF($K174="","",IF(INDEX('Prospect Tracker'!$H$5:$H$554,$K174)="","",INDEX('Prospect Tracker'!$H$5:$H$554,$K174)))</f>
        <v/>
      </c>
      <c r="H174" s="31">
        <f>IF($K174="","",IF(INDEX('Prospect Tracker'!$K$5:$K$554,$K174)="","",INDEX('Prospect Tracker'!$K$5:$K$554,$K174)))</f>
        <v/>
      </c>
      <c r="I174" s="30">
        <f>IF($K174="","",IF(INDEX('Prospect Tracker'!$T$5:$T$554,$K174)="","",INDEX('Prospect Tracker'!$T$5:$T$554,$K174)))</f>
        <v/>
      </c>
      <c r="J174" s="30">
        <f>IF($K174="","",IF(INDEX('Prospect Tracker'!$L$5:$L$554,$K174)="","",INDEX('Prospect Tracker'!$L$5:$L$554,$K174)))</f>
        <v/>
      </c>
      <c r="K174" s="19">
        <f>IFERROR(MATCH(SMALL('Prospect Tracker'!$X$5:$X$554,ROW()-4),'Prospect Tracker'!$X$5:$X$554,0),"")</f>
        <v/>
      </c>
    </row>
    <row r="175" ht="15" customHeight="1" s="20">
      <c r="A175" s="25">
        <f>IF($K175="","",IF(INDEX('Prospect Tracker'!$W$5:$W$554,$K175)="","",INDEX('Prospect Tracker'!$W$5:$W$554,$K175)))</f>
        <v/>
      </c>
      <c r="B175" s="25">
        <f>IF($K175="","",IF(INDEX('Prospect Tracker'!$A$5:$A$554,$K175)="","",INDEX('Prospect Tracker'!$A$5:$A$554,$K175)))</f>
        <v/>
      </c>
      <c r="C175" s="25">
        <f>IF($K175="","",IF(INDEX('Prospect Tracker'!$B$5:$B$554,$K175)="","",INDEX('Prospect Tracker'!$B$5:$B$554,$K175)))</f>
        <v/>
      </c>
      <c r="D175" s="25">
        <f>IF($K175="","",IF(INDEX('Prospect Tracker'!$M$5:$M$554,$K175)="","",INDEX('Prospect Tracker'!$M$5:$M$554,$K175)))</f>
        <v/>
      </c>
      <c r="E175" s="25">
        <f>IF($K175="","",IF(INDEX('Prospect Tracker'!$R$5:$R$554,$K175)="","",INDEX('Prospect Tracker'!$R$5:$R$554,$K175)))</f>
        <v/>
      </c>
      <c r="F175" s="25">
        <f>IF($K175="","",IF(INDEX('Prospect Tracker'!$J$5:$J$554,$K175)="","",INDEX('Prospect Tracker'!$J$5:$J$554,$K175)))</f>
        <v/>
      </c>
      <c r="G175" s="25">
        <f>IF($K175="","",IF(INDEX('Prospect Tracker'!$H$5:$H$554,$K175)="","",INDEX('Prospect Tracker'!$H$5:$H$554,$K175)))</f>
        <v/>
      </c>
      <c r="H175" s="26">
        <f>IF($K175="","",IF(INDEX('Prospect Tracker'!$K$5:$K$554,$K175)="","",INDEX('Prospect Tracker'!$K$5:$K$554,$K175)))</f>
        <v/>
      </c>
      <c r="I175" s="25">
        <f>IF($K175="","",IF(INDEX('Prospect Tracker'!$T$5:$T$554,$K175)="","",INDEX('Prospect Tracker'!$T$5:$T$554,$K175)))</f>
        <v/>
      </c>
      <c r="J175" s="25">
        <f>IF($K175="","",IF(INDEX('Prospect Tracker'!$L$5:$L$554,$K175)="","",INDEX('Prospect Tracker'!$L$5:$L$554,$K175)))</f>
        <v/>
      </c>
      <c r="K175" s="19">
        <f>IFERROR(MATCH(SMALL('Prospect Tracker'!$X$5:$X$554,ROW()-4),'Prospect Tracker'!$X$5:$X$554,0),"")</f>
        <v/>
      </c>
    </row>
    <row r="176" ht="15" customHeight="1" s="20">
      <c r="A176" s="30">
        <f>IF($K176="","",IF(INDEX('Prospect Tracker'!$W$5:$W$554,$K176)="","",INDEX('Prospect Tracker'!$W$5:$W$554,$K176)))</f>
        <v/>
      </c>
      <c r="B176" s="30">
        <f>IF($K176="","",IF(INDEX('Prospect Tracker'!$A$5:$A$554,$K176)="","",INDEX('Prospect Tracker'!$A$5:$A$554,$K176)))</f>
        <v/>
      </c>
      <c r="C176" s="30">
        <f>IF($K176="","",IF(INDEX('Prospect Tracker'!$B$5:$B$554,$K176)="","",INDEX('Prospect Tracker'!$B$5:$B$554,$K176)))</f>
        <v/>
      </c>
      <c r="D176" s="30">
        <f>IF($K176="","",IF(INDEX('Prospect Tracker'!$M$5:$M$554,$K176)="","",INDEX('Prospect Tracker'!$M$5:$M$554,$K176)))</f>
        <v/>
      </c>
      <c r="E176" s="30">
        <f>IF($K176="","",IF(INDEX('Prospect Tracker'!$R$5:$R$554,$K176)="","",INDEX('Prospect Tracker'!$R$5:$R$554,$K176)))</f>
        <v/>
      </c>
      <c r="F176" s="30">
        <f>IF($K176="","",IF(INDEX('Prospect Tracker'!$J$5:$J$554,$K176)="","",INDEX('Prospect Tracker'!$J$5:$J$554,$K176)))</f>
        <v/>
      </c>
      <c r="G176" s="30">
        <f>IF($K176="","",IF(INDEX('Prospect Tracker'!$H$5:$H$554,$K176)="","",INDEX('Prospect Tracker'!$H$5:$H$554,$K176)))</f>
        <v/>
      </c>
      <c r="H176" s="31">
        <f>IF($K176="","",IF(INDEX('Prospect Tracker'!$K$5:$K$554,$K176)="","",INDEX('Prospect Tracker'!$K$5:$K$554,$K176)))</f>
        <v/>
      </c>
      <c r="I176" s="30">
        <f>IF($K176="","",IF(INDEX('Prospect Tracker'!$T$5:$T$554,$K176)="","",INDEX('Prospect Tracker'!$T$5:$T$554,$K176)))</f>
        <v/>
      </c>
      <c r="J176" s="30">
        <f>IF($K176="","",IF(INDEX('Prospect Tracker'!$L$5:$L$554,$K176)="","",INDEX('Prospect Tracker'!$L$5:$L$554,$K176)))</f>
        <v/>
      </c>
      <c r="K176" s="19">
        <f>IFERROR(MATCH(SMALL('Prospect Tracker'!$X$5:$X$554,ROW()-4),'Prospect Tracker'!$X$5:$X$554,0),"")</f>
        <v/>
      </c>
    </row>
    <row r="177" ht="15" customHeight="1" s="20">
      <c r="A177" s="25">
        <f>IF($K177="","",IF(INDEX('Prospect Tracker'!$W$5:$W$554,$K177)="","",INDEX('Prospect Tracker'!$W$5:$W$554,$K177)))</f>
        <v/>
      </c>
      <c r="B177" s="25">
        <f>IF($K177="","",IF(INDEX('Prospect Tracker'!$A$5:$A$554,$K177)="","",INDEX('Prospect Tracker'!$A$5:$A$554,$K177)))</f>
        <v/>
      </c>
      <c r="C177" s="25">
        <f>IF($K177="","",IF(INDEX('Prospect Tracker'!$B$5:$B$554,$K177)="","",INDEX('Prospect Tracker'!$B$5:$B$554,$K177)))</f>
        <v/>
      </c>
      <c r="D177" s="25">
        <f>IF($K177="","",IF(INDEX('Prospect Tracker'!$M$5:$M$554,$K177)="","",INDEX('Prospect Tracker'!$M$5:$M$554,$K177)))</f>
        <v/>
      </c>
      <c r="E177" s="25">
        <f>IF($K177="","",IF(INDEX('Prospect Tracker'!$R$5:$R$554,$K177)="","",INDEX('Prospect Tracker'!$R$5:$R$554,$K177)))</f>
        <v/>
      </c>
      <c r="F177" s="25">
        <f>IF($K177="","",IF(INDEX('Prospect Tracker'!$J$5:$J$554,$K177)="","",INDEX('Prospect Tracker'!$J$5:$J$554,$K177)))</f>
        <v/>
      </c>
      <c r="G177" s="25">
        <f>IF($K177="","",IF(INDEX('Prospect Tracker'!$H$5:$H$554,$K177)="","",INDEX('Prospect Tracker'!$H$5:$H$554,$K177)))</f>
        <v/>
      </c>
      <c r="H177" s="26">
        <f>IF($K177="","",IF(INDEX('Prospect Tracker'!$K$5:$K$554,$K177)="","",INDEX('Prospect Tracker'!$K$5:$K$554,$K177)))</f>
        <v/>
      </c>
      <c r="I177" s="25">
        <f>IF($K177="","",IF(INDEX('Prospect Tracker'!$T$5:$T$554,$K177)="","",INDEX('Prospect Tracker'!$T$5:$T$554,$K177)))</f>
        <v/>
      </c>
      <c r="J177" s="25">
        <f>IF($K177="","",IF(INDEX('Prospect Tracker'!$L$5:$L$554,$K177)="","",INDEX('Prospect Tracker'!$L$5:$L$554,$K177)))</f>
        <v/>
      </c>
      <c r="K177" s="19">
        <f>IFERROR(MATCH(SMALL('Prospect Tracker'!$X$5:$X$554,ROW()-4),'Prospect Tracker'!$X$5:$X$554,0),"")</f>
        <v/>
      </c>
    </row>
    <row r="178" ht="15" customHeight="1" s="20">
      <c r="A178" s="30">
        <f>IF($K178="","",IF(INDEX('Prospect Tracker'!$W$5:$W$554,$K178)="","",INDEX('Prospect Tracker'!$W$5:$W$554,$K178)))</f>
        <v/>
      </c>
      <c r="B178" s="30">
        <f>IF($K178="","",IF(INDEX('Prospect Tracker'!$A$5:$A$554,$K178)="","",INDEX('Prospect Tracker'!$A$5:$A$554,$K178)))</f>
        <v/>
      </c>
      <c r="C178" s="30">
        <f>IF($K178="","",IF(INDEX('Prospect Tracker'!$B$5:$B$554,$K178)="","",INDEX('Prospect Tracker'!$B$5:$B$554,$K178)))</f>
        <v/>
      </c>
      <c r="D178" s="30">
        <f>IF($K178="","",IF(INDEX('Prospect Tracker'!$M$5:$M$554,$K178)="","",INDEX('Prospect Tracker'!$M$5:$M$554,$K178)))</f>
        <v/>
      </c>
      <c r="E178" s="30">
        <f>IF($K178="","",IF(INDEX('Prospect Tracker'!$R$5:$R$554,$K178)="","",INDEX('Prospect Tracker'!$R$5:$R$554,$K178)))</f>
        <v/>
      </c>
      <c r="F178" s="30">
        <f>IF($K178="","",IF(INDEX('Prospect Tracker'!$J$5:$J$554,$K178)="","",INDEX('Prospect Tracker'!$J$5:$J$554,$K178)))</f>
        <v/>
      </c>
      <c r="G178" s="30">
        <f>IF($K178="","",IF(INDEX('Prospect Tracker'!$H$5:$H$554,$K178)="","",INDEX('Prospect Tracker'!$H$5:$H$554,$K178)))</f>
        <v/>
      </c>
      <c r="H178" s="31">
        <f>IF($K178="","",IF(INDEX('Prospect Tracker'!$K$5:$K$554,$K178)="","",INDEX('Prospect Tracker'!$K$5:$K$554,$K178)))</f>
        <v/>
      </c>
      <c r="I178" s="30">
        <f>IF($K178="","",IF(INDEX('Prospect Tracker'!$T$5:$T$554,$K178)="","",INDEX('Prospect Tracker'!$T$5:$T$554,$K178)))</f>
        <v/>
      </c>
      <c r="J178" s="30">
        <f>IF($K178="","",IF(INDEX('Prospect Tracker'!$L$5:$L$554,$K178)="","",INDEX('Prospect Tracker'!$L$5:$L$554,$K178)))</f>
        <v/>
      </c>
      <c r="K178" s="19">
        <f>IFERROR(MATCH(SMALL('Prospect Tracker'!$X$5:$X$554,ROW()-4),'Prospect Tracker'!$X$5:$X$554,0),"")</f>
        <v/>
      </c>
    </row>
    <row r="179" ht="15" customHeight="1" s="20">
      <c r="A179" s="25">
        <f>IF($K179="","",IF(INDEX('Prospect Tracker'!$W$5:$W$554,$K179)="","",INDEX('Prospect Tracker'!$W$5:$W$554,$K179)))</f>
        <v/>
      </c>
      <c r="B179" s="25">
        <f>IF($K179="","",IF(INDEX('Prospect Tracker'!$A$5:$A$554,$K179)="","",INDEX('Prospect Tracker'!$A$5:$A$554,$K179)))</f>
        <v/>
      </c>
      <c r="C179" s="25">
        <f>IF($K179="","",IF(INDEX('Prospect Tracker'!$B$5:$B$554,$K179)="","",INDEX('Prospect Tracker'!$B$5:$B$554,$K179)))</f>
        <v/>
      </c>
      <c r="D179" s="25">
        <f>IF($K179="","",IF(INDEX('Prospect Tracker'!$M$5:$M$554,$K179)="","",INDEX('Prospect Tracker'!$M$5:$M$554,$K179)))</f>
        <v/>
      </c>
      <c r="E179" s="25">
        <f>IF($K179="","",IF(INDEX('Prospect Tracker'!$R$5:$R$554,$K179)="","",INDEX('Prospect Tracker'!$R$5:$R$554,$K179)))</f>
        <v/>
      </c>
      <c r="F179" s="25">
        <f>IF($K179="","",IF(INDEX('Prospect Tracker'!$J$5:$J$554,$K179)="","",INDEX('Prospect Tracker'!$J$5:$J$554,$K179)))</f>
        <v/>
      </c>
      <c r="G179" s="25">
        <f>IF($K179="","",IF(INDEX('Prospect Tracker'!$H$5:$H$554,$K179)="","",INDEX('Prospect Tracker'!$H$5:$H$554,$K179)))</f>
        <v/>
      </c>
      <c r="H179" s="26">
        <f>IF($K179="","",IF(INDEX('Prospect Tracker'!$K$5:$K$554,$K179)="","",INDEX('Prospect Tracker'!$K$5:$K$554,$K179)))</f>
        <v/>
      </c>
      <c r="I179" s="25">
        <f>IF($K179="","",IF(INDEX('Prospect Tracker'!$T$5:$T$554,$K179)="","",INDEX('Prospect Tracker'!$T$5:$T$554,$K179)))</f>
        <v/>
      </c>
      <c r="J179" s="25">
        <f>IF($K179="","",IF(INDEX('Prospect Tracker'!$L$5:$L$554,$K179)="","",INDEX('Prospect Tracker'!$L$5:$L$554,$K179)))</f>
        <v/>
      </c>
      <c r="K179" s="19">
        <f>IFERROR(MATCH(SMALL('Prospect Tracker'!$X$5:$X$554,ROW()-4),'Prospect Tracker'!$X$5:$X$554,0),"")</f>
        <v/>
      </c>
    </row>
    <row r="180" ht="15" customHeight="1" s="20">
      <c r="A180" s="30">
        <f>IF($K180="","",IF(INDEX('Prospect Tracker'!$W$5:$W$554,$K180)="","",INDEX('Prospect Tracker'!$W$5:$W$554,$K180)))</f>
        <v/>
      </c>
      <c r="B180" s="30">
        <f>IF($K180="","",IF(INDEX('Prospect Tracker'!$A$5:$A$554,$K180)="","",INDEX('Prospect Tracker'!$A$5:$A$554,$K180)))</f>
        <v/>
      </c>
      <c r="C180" s="30">
        <f>IF($K180="","",IF(INDEX('Prospect Tracker'!$B$5:$B$554,$K180)="","",INDEX('Prospect Tracker'!$B$5:$B$554,$K180)))</f>
        <v/>
      </c>
      <c r="D180" s="30">
        <f>IF($K180="","",IF(INDEX('Prospect Tracker'!$M$5:$M$554,$K180)="","",INDEX('Prospect Tracker'!$M$5:$M$554,$K180)))</f>
        <v/>
      </c>
      <c r="E180" s="30">
        <f>IF($K180="","",IF(INDEX('Prospect Tracker'!$R$5:$R$554,$K180)="","",INDEX('Prospect Tracker'!$R$5:$R$554,$K180)))</f>
        <v/>
      </c>
      <c r="F180" s="30">
        <f>IF($K180="","",IF(INDEX('Prospect Tracker'!$J$5:$J$554,$K180)="","",INDEX('Prospect Tracker'!$J$5:$J$554,$K180)))</f>
        <v/>
      </c>
      <c r="G180" s="30">
        <f>IF($K180="","",IF(INDEX('Prospect Tracker'!$H$5:$H$554,$K180)="","",INDEX('Prospect Tracker'!$H$5:$H$554,$K180)))</f>
        <v/>
      </c>
      <c r="H180" s="31">
        <f>IF($K180="","",IF(INDEX('Prospect Tracker'!$K$5:$K$554,$K180)="","",INDEX('Prospect Tracker'!$K$5:$K$554,$K180)))</f>
        <v/>
      </c>
      <c r="I180" s="30">
        <f>IF($K180="","",IF(INDEX('Prospect Tracker'!$T$5:$T$554,$K180)="","",INDEX('Prospect Tracker'!$T$5:$T$554,$K180)))</f>
        <v/>
      </c>
      <c r="J180" s="30">
        <f>IF($K180="","",IF(INDEX('Prospect Tracker'!$L$5:$L$554,$K180)="","",INDEX('Prospect Tracker'!$L$5:$L$554,$K180)))</f>
        <v/>
      </c>
      <c r="K180" s="19">
        <f>IFERROR(MATCH(SMALL('Prospect Tracker'!$X$5:$X$554,ROW()-4),'Prospect Tracker'!$X$5:$X$554,0),"")</f>
        <v/>
      </c>
    </row>
    <row r="181" ht="15" customHeight="1" s="20">
      <c r="A181" s="25">
        <f>IF($K181="","",IF(INDEX('Prospect Tracker'!$W$5:$W$554,$K181)="","",INDEX('Prospect Tracker'!$W$5:$W$554,$K181)))</f>
        <v/>
      </c>
      <c r="B181" s="25">
        <f>IF($K181="","",IF(INDEX('Prospect Tracker'!$A$5:$A$554,$K181)="","",INDEX('Prospect Tracker'!$A$5:$A$554,$K181)))</f>
        <v/>
      </c>
      <c r="C181" s="25">
        <f>IF($K181="","",IF(INDEX('Prospect Tracker'!$B$5:$B$554,$K181)="","",INDEX('Prospect Tracker'!$B$5:$B$554,$K181)))</f>
        <v/>
      </c>
      <c r="D181" s="25">
        <f>IF($K181="","",IF(INDEX('Prospect Tracker'!$M$5:$M$554,$K181)="","",INDEX('Prospect Tracker'!$M$5:$M$554,$K181)))</f>
        <v/>
      </c>
      <c r="E181" s="25">
        <f>IF($K181="","",IF(INDEX('Prospect Tracker'!$R$5:$R$554,$K181)="","",INDEX('Prospect Tracker'!$R$5:$R$554,$K181)))</f>
        <v/>
      </c>
      <c r="F181" s="25">
        <f>IF($K181="","",IF(INDEX('Prospect Tracker'!$J$5:$J$554,$K181)="","",INDEX('Prospect Tracker'!$J$5:$J$554,$K181)))</f>
        <v/>
      </c>
      <c r="G181" s="25">
        <f>IF($K181="","",IF(INDEX('Prospect Tracker'!$H$5:$H$554,$K181)="","",INDEX('Prospect Tracker'!$H$5:$H$554,$K181)))</f>
        <v/>
      </c>
      <c r="H181" s="26">
        <f>IF($K181="","",IF(INDEX('Prospect Tracker'!$K$5:$K$554,$K181)="","",INDEX('Prospect Tracker'!$K$5:$K$554,$K181)))</f>
        <v/>
      </c>
      <c r="I181" s="25">
        <f>IF($K181="","",IF(INDEX('Prospect Tracker'!$T$5:$T$554,$K181)="","",INDEX('Prospect Tracker'!$T$5:$T$554,$K181)))</f>
        <v/>
      </c>
      <c r="J181" s="25">
        <f>IF($K181="","",IF(INDEX('Prospect Tracker'!$L$5:$L$554,$K181)="","",INDEX('Prospect Tracker'!$L$5:$L$554,$K181)))</f>
        <v/>
      </c>
      <c r="K181" s="19">
        <f>IFERROR(MATCH(SMALL('Prospect Tracker'!$X$5:$X$554,ROW()-4),'Prospect Tracker'!$X$5:$X$554,0),"")</f>
        <v/>
      </c>
    </row>
    <row r="182" ht="15" customHeight="1" s="20">
      <c r="A182" s="30">
        <f>IF($K182="","",IF(INDEX('Prospect Tracker'!$W$5:$W$554,$K182)="","",INDEX('Prospect Tracker'!$W$5:$W$554,$K182)))</f>
        <v/>
      </c>
      <c r="B182" s="30">
        <f>IF($K182="","",IF(INDEX('Prospect Tracker'!$A$5:$A$554,$K182)="","",INDEX('Prospect Tracker'!$A$5:$A$554,$K182)))</f>
        <v/>
      </c>
      <c r="C182" s="30">
        <f>IF($K182="","",IF(INDEX('Prospect Tracker'!$B$5:$B$554,$K182)="","",INDEX('Prospect Tracker'!$B$5:$B$554,$K182)))</f>
        <v/>
      </c>
      <c r="D182" s="30">
        <f>IF($K182="","",IF(INDEX('Prospect Tracker'!$M$5:$M$554,$K182)="","",INDEX('Prospect Tracker'!$M$5:$M$554,$K182)))</f>
        <v/>
      </c>
      <c r="E182" s="30">
        <f>IF($K182="","",IF(INDEX('Prospect Tracker'!$R$5:$R$554,$K182)="","",INDEX('Prospect Tracker'!$R$5:$R$554,$K182)))</f>
        <v/>
      </c>
      <c r="F182" s="30">
        <f>IF($K182="","",IF(INDEX('Prospect Tracker'!$J$5:$J$554,$K182)="","",INDEX('Prospect Tracker'!$J$5:$J$554,$K182)))</f>
        <v/>
      </c>
      <c r="G182" s="30">
        <f>IF($K182="","",IF(INDEX('Prospect Tracker'!$H$5:$H$554,$K182)="","",INDEX('Prospect Tracker'!$H$5:$H$554,$K182)))</f>
        <v/>
      </c>
      <c r="H182" s="31">
        <f>IF($K182="","",IF(INDEX('Prospect Tracker'!$K$5:$K$554,$K182)="","",INDEX('Prospect Tracker'!$K$5:$K$554,$K182)))</f>
        <v/>
      </c>
      <c r="I182" s="30">
        <f>IF($K182="","",IF(INDEX('Prospect Tracker'!$T$5:$T$554,$K182)="","",INDEX('Prospect Tracker'!$T$5:$T$554,$K182)))</f>
        <v/>
      </c>
      <c r="J182" s="30">
        <f>IF($K182="","",IF(INDEX('Prospect Tracker'!$L$5:$L$554,$K182)="","",INDEX('Prospect Tracker'!$L$5:$L$554,$K182)))</f>
        <v/>
      </c>
      <c r="K182" s="19">
        <f>IFERROR(MATCH(SMALL('Prospect Tracker'!$X$5:$X$554,ROW()-4),'Prospect Tracker'!$X$5:$X$554,0),"")</f>
        <v/>
      </c>
    </row>
    <row r="183" ht="15" customHeight="1" s="20">
      <c r="A183" s="25">
        <f>IF($K183="","",IF(INDEX('Prospect Tracker'!$W$5:$W$554,$K183)="","",INDEX('Prospect Tracker'!$W$5:$W$554,$K183)))</f>
        <v/>
      </c>
      <c r="B183" s="25">
        <f>IF($K183="","",IF(INDEX('Prospect Tracker'!$A$5:$A$554,$K183)="","",INDEX('Prospect Tracker'!$A$5:$A$554,$K183)))</f>
        <v/>
      </c>
      <c r="C183" s="25">
        <f>IF($K183="","",IF(INDEX('Prospect Tracker'!$B$5:$B$554,$K183)="","",INDEX('Prospect Tracker'!$B$5:$B$554,$K183)))</f>
        <v/>
      </c>
      <c r="D183" s="25">
        <f>IF($K183="","",IF(INDEX('Prospect Tracker'!$M$5:$M$554,$K183)="","",INDEX('Prospect Tracker'!$M$5:$M$554,$K183)))</f>
        <v/>
      </c>
      <c r="E183" s="25">
        <f>IF($K183="","",IF(INDEX('Prospect Tracker'!$R$5:$R$554,$K183)="","",INDEX('Prospect Tracker'!$R$5:$R$554,$K183)))</f>
        <v/>
      </c>
      <c r="F183" s="25">
        <f>IF($K183="","",IF(INDEX('Prospect Tracker'!$J$5:$J$554,$K183)="","",INDEX('Prospect Tracker'!$J$5:$J$554,$K183)))</f>
        <v/>
      </c>
      <c r="G183" s="25">
        <f>IF($K183="","",IF(INDEX('Prospect Tracker'!$H$5:$H$554,$K183)="","",INDEX('Prospect Tracker'!$H$5:$H$554,$K183)))</f>
        <v/>
      </c>
      <c r="H183" s="26">
        <f>IF($K183="","",IF(INDEX('Prospect Tracker'!$K$5:$K$554,$K183)="","",INDEX('Prospect Tracker'!$K$5:$K$554,$K183)))</f>
        <v/>
      </c>
      <c r="I183" s="25">
        <f>IF($K183="","",IF(INDEX('Prospect Tracker'!$T$5:$T$554,$K183)="","",INDEX('Prospect Tracker'!$T$5:$T$554,$K183)))</f>
        <v/>
      </c>
      <c r="J183" s="25">
        <f>IF($K183="","",IF(INDEX('Prospect Tracker'!$L$5:$L$554,$K183)="","",INDEX('Prospect Tracker'!$L$5:$L$554,$K183)))</f>
        <v/>
      </c>
      <c r="K183" s="19">
        <f>IFERROR(MATCH(SMALL('Prospect Tracker'!$X$5:$X$554,ROW()-4),'Prospect Tracker'!$X$5:$X$554,0),"")</f>
        <v/>
      </c>
    </row>
    <row r="184" ht="15" customHeight="1" s="20">
      <c r="A184" s="30">
        <f>IF($K184="","",IF(INDEX('Prospect Tracker'!$W$5:$W$554,$K184)="","",INDEX('Prospect Tracker'!$W$5:$W$554,$K184)))</f>
        <v/>
      </c>
      <c r="B184" s="30">
        <f>IF($K184="","",IF(INDEX('Prospect Tracker'!$A$5:$A$554,$K184)="","",INDEX('Prospect Tracker'!$A$5:$A$554,$K184)))</f>
        <v/>
      </c>
      <c r="C184" s="30">
        <f>IF($K184="","",IF(INDEX('Prospect Tracker'!$B$5:$B$554,$K184)="","",INDEX('Prospect Tracker'!$B$5:$B$554,$K184)))</f>
        <v/>
      </c>
      <c r="D184" s="30">
        <f>IF($K184="","",IF(INDEX('Prospect Tracker'!$M$5:$M$554,$K184)="","",INDEX('Prospect Tracker'!$M$5:$M$554,$K184)))</f>
        <v/>
      </c>
      <c r="E184" s="30">
        <f>IF($K184="","",IF(INDEX('Prospect Tracker'!$R$5:$R$554,$K184)="","",INDEX('Prospect Tracker'!$R$5:$R$554,$K184)))</f>
        <v/>
      </c>
      <c r="F184" s="30">
        <f>IF($K184="","",IF(INDEX('Prospect Tracker'!$J$5:$J$554,$K184)="","",INDEX('Prospect Tracker'!$J$5:$J$554,$K184)))</f>
        <v/>
      </c>
      <c r="G184" s="30">
        <f>IF($K184="","",IF(INDEX('Prospect Tracker'!$H$5:$H$554,$K184)="","",INDEX('Prospect Tracker'!$H$5:$H$554,$K184)))</f>
        <v/>
      </c>
      <c r="H184" s="31">
        <f>IF($K184="","",IF(INDEX('Prospect Tracker'!$K$5:$K$554,$K184)="","",INDEX('Prospect Tracker'!$K$5:$K$554,$K184)))</f>
        <v/>
      </c>
      <c r="I184" s="30">
        <f>IF($K184="","",IF(INDEX('Prospect Tracker'!$T$5:$T$554,$K184)="","",INDEX('Prospect Tracker'!$T$5:$T$554,$K184)))</f>
        <v/>
      </c>
      <c r="J184" s="30">
        <f>IF($K184="","",IF(INDEX('Prospect Tracker'!$L$5:$L$554,$K184)="","",INDEX('Prospect Tracker'!$L$5:$L$554,$K184)))</f>
        <v/>
      </c>
      <c r="K184" s="19">
        <f>IFERROR(MATCH(SMALL('Prospect Tracker'!$X$5:$X$554,ROW()-4),'Prospect Tracker'!$X$5:$X$554,0),"")</f>
        <v/>
      </c>
    </row>
    <row r="185" ht="15" customHeight="1" s="20">
      <c r="A185" s="25">
        <f>IF($K185="","",IF(INDEX('Prospect Tracker'!$W$5:$W$554,$K185)="","",INDEX('Prospect Tracker'!$W$5:$W$554,$K185)))</f>
        <v/>
      </c>
      <c r="B185" s="25">
        <f>IF($K185="","",IF(INDEX('Prospect Tracker'!$A$5:$A$554,$K185)="","",INDEX('Prospect Tracker'!$A$5:$A$554,$K185)))</f>
        <v/>
      </c>
      <c r="C185" s="25">
        <f>IF($K185="","",IF(INDEX('Prospect Tracker'!$B$5:$B$554,$K185)="","",INDEX('Prospect Tracker'!$B$5:$B$554,$K185)))</f>
        <v/>
      </c>
      <c r="D185" s="25">
        <f>IF($K185="","",IF(INDEX('Prospect Tracker'!$M$5:$M$554,$K185)="","",INDEX('Prospect Tracker'!$M$5:$M$554,$K185)))</f>
        <v/>
      </c>
      <c r="E185" s="25">
        <f>IF($K185="","",IF(INDEX('Prospect Tracker'!$R$5:$R$554,$K185)="","",INDEX('Prospect Tracker'!$R$5:$R$554,$K185)))</f>
        <v/>
      </c>
      <c r="F185" s="25">
        <f>IF($K185="","",IF(INDEX('Prospect Tracker'!$J$5:$J$554,$K185)="","",INDEX('Prospect Tracker'!$J$5:$J$554,$K185)))</f>
        <v/>
      </c>
      <c r="G185" s="25">
        <f>IF($K185="","",IF(INDEX('Prospect Tracker'!$H$5:$H$554,$K185)="","",INDEX('Prospect Tracker'!$H$5:$H$554,$K185)))</f>
        <v/>
      </c>
      <c r="H185" s="26">
        <f>IF($K185="","",IF(INDEX('Prospect Tracker'!$K$5:$K$554,$K185)="","",INDEX('Prospect Tracker'!$K$5:$K$554,$K185)))</f>
        <v/>
      </c>
      <c r="I185" s="25">
        <f>IF($K185="","",IF(INDEX('Prospect Tracker'!$T$5:$T$554,$K185)="","",INDEX('Prospect Tracker'!$T$5:$T$554,$K185)))</f>
        <v/>
      </c>
      <c r="J185" s="25">
        <f>IF($K185="","",IF(INDEX('Prospect Tracker'!$L$5:$L$554,$K185)="","",INDEX('Prospect Tracker'!$L$5:$L$554,$K185)))</f>
        <v/>
      </c>
      <c r="K185" s="19">
        <f>IFERROR(MATCH(SMALL('Prospect Tracker'!$X$5:$X$554,ROW()-4),'Prospect Tracker'!$X$5:$X$554,0),"")</f>
        <v/>
      </c>
    </row>
    <row r="186" ht="15" customHeight="1" s="20">
      <c r="A186" s="30">
        <f>IF($K186="","",IF(INDEX('Prospect Tracker'!$W$5:$W$554,$K186)="","",INDEX('Prospect Tracker'!$W$5:$W$554,$K186)))</f>
        <v/>
      </c>
      <c r="B186" s="30">
        <f>IF($K186="","",IF(INDEX('Prospect Tracker'!$A$5:$A$554,$K186)="","",INDEX('Prospect Tracker'!$A$5:$A$554,$K186)))</f>
        <v/>
      </c>
      <c r="C186" s="30">
        <f>IF($K186="","",IF(INDEX('Prospect Tracker'!$B$5:$B$554,$K186)="","",INDEX('Prospect Tracker'!$B$5:$B$554,$K186)))</f>
        <v/>
      </c>
      <c r="D186" s="30">
        <f>IF($K186="","",IF(INDEX('Prospect Tracker'!$M$5:$M$554,$K186)="","",INDEX('Prospect Tracker'!$M$5:$M$554,$K186)))</f>
        <v/>
      </c>
      <c r="E186" s="30">
        <f>IF($K186="","",IF(INDEX('Prospect Tracker'!$R$5:$R$554,$K186)="","",INDEX('Prospect Tracker'!$R$5:$R$554,$K186)))</f>
        <v/>
      </c>
      <c r="F186" s="30">
        <f>IF($K186="","",IF(INDEX('Prospect Tracker'!$J$5:$J$554,$K186)="","",INDEX('Prospect Tracker'!$J$5:$J$554,$K186)))</f>
        <v/>
      </c>
      <c r="G186" s="30">
        <f>IF($K186="","",IF(INDEX('Prospect Tracker'!$H$5:$H$554,$K186)="","",INDEX('Prospect Tracker'!$H$5:$H$554,$K186)))</f>
        <v/>
      </c>
      <c r="H186" s="31">
        <f>IF($K186="","",IF(INDEX('Prospect Tracker'!$K$5:$K$554,$K186)="","",INDEX('Prospect Tracker'!$K$5:$K$554,$K186)))</f>
        <v/>
      </c>
      <c r="I186" s="30">
        <f>IF($K186="","",IF(INDEX('Prospect Tracker'!$T$5:$T$554,$K186)="","",INDEX('Prospect Tracker'!$T$5:$T$554,$K186)))</f>
        <v/>
      </c>
      <c r="J186" s="30">
        <f>IF($K186="","",IF(INDEX('Prospect Tracker'!$L$5:$L$554,$K186)="","",INDEX('Prospect Tracker'!$L$5:$L$554,$K186)))</f>
        <v/>
      </c>
      <c r="K186" s="19">
        <f>IFERROR(MATCH(SMALL('Prospect Tracker'!$X$5:$X$554,ROW()-4),'Prospect Tracker'!$X$5:$X$554,0),"")</f>
        <v/>
      </c>
    </row>
    <row r="187" ht="15" customHeight="1" s="20">
      <c r="A187" s="25">
        <f>IF($K187="","",IF(INDEX('Prospect Tracker'!$W$5:$W$554,$K187)="","",INDEX('Prospect Tracker'!$W$5:$W$554,$K187)))</f>
        <v/>
      </c>
      <c r="B187" s="25">
        <f>IF($K187="","",IF(INDEX('Prospect Tracker'!$A$5:$A$554,$K187)="","",INDEX('Prospect Tracker'!$A$5:$A$554,$K187)))</f>
        <v/>
      </c>
      <c r="C187" s="25">
        <f>IF($K187="","",IF(INDEX('Prospect Tracker'!$B$5:$B$554,$K187)="","",INDEX('Prospect Tracker'!$B$5:$B$554,$K187)))</f>
        <v/>
      </c>
      <c r="D187" s="25">
        <f>IF($K187="","",IF(INDEX('Prospect Tracker'!$M$5:$M$554,$K187)="","",INDEX('Prospect Tracker'!$M$5:$M$554,$K187)))</f>
        <v/>
      </c>
      <c r="E187" s="25">
        <f>IF($K187="","",IF(INDEX('Prospect Tracker'!$R$5:$R$554,$K187)="","",INDEX('Prospect Tracker'!$R$5:$R$554,$K187)))</f>
        <v/>
      </c>
      <c r="F187" s="25">
        <f>IF($K187="","",IF(INDEX('Prospect Tracker'!$J$5:$J$554,$K187)="","",INDEX('Prospect Tracker'!$J$5:$J$554,$K187)))</f>
        <v/>
      </c>
      <c r="G187" s="25">
        <f>IF($K187="","",IF(INDEX('Prospect Tracker'!$H$5:$H$554,$K187)="","",INDEX('Prospect Tracker'!$H$5:$H$554,$K187)))</f>
        <v/>
      </c>
      <c r="H187" s="26">
        <f>IF($K187="","",IF(INDEX('Prospect Tracker'!$K$5:$K$554,$K187)="","",INDEX('Prospect Tracker'!$K$5:$K$554,$K187)))</f>
        <v/>
      </c>
      <c r="I187" s="25">
        <f>IF($K187="","",IF(INDEX('Prospect Tracker'!$T$5:$T$554,$K187)="","",INDEX('Prospect Tracker'!$T$5:$T$554,$K187)))</f>
        <v/>
      </c>
      <c r="J187" s="25">
        <f>IF($K187="","",IF(INDEX('Prospect Tracker'!$L$5:$L$554,$K187)="","",INDEX('Prospect Tracker'!$L$5:$L$554,$K187)))</f>
        <v/>
      </c>
      <c r="K187" s="19">
        <f>IFERROR(MATCH(SMALL('Prospect Tracker'!$X$5:$X$554,ROW()-4),'Prospect Tracker'!$X$5:$X$554,0),"")</f>
        <v/>
      </c>
    </row>
    <row r="188" ht="15" customHeight="1" s="20">
      <c r="A188" s="30">
        <f>IF($K188="","",IF(INDEX('Prospect Tracker'!$W$5:$W$554,$K188)="","",INDEX('Prospect Tracker'!$W$5:$W$554,$K188)))</f>
        <v/>
      </c>
      <c r="B188" s="30">
        <f>IF($K188="","",IF(INDEX('Prospect Tracker'!$A$5:$A$554,$K188)="","",INDEX('Prospect Tracker'!$A$5:$A$554,$K188)))</f>
        <v/>
      </c>
      <c r="C188" s="30">
        <f>IF($K188="","",IF(INDEX('Prospect Tracker'!$B$5:$B$554,$K188)="","",INDEX('Prospect Tracker'!$B$5:$B$554,$K188)))</f>
        <v/>
      </c>
      <c r="D188" s="30">
        <f>IF($K188="","",IF(INDEX('Prospect Tracker'!$M$5:$M$554,$K188)="","",INDEX('Prospect Tracker'!$M$5:$M$554,$K188)))</f>
        <v/>
      </c>
      <c r="E188" s="30">
        <f>IF($K188="","",IF(INDEX('Prospect Tracker'!$R$5:$R$554,$K188)="","",INDEX('Prospect Tracker'!$R$5:$R$554,$K188)))</f>
        <v/>
      </c>
      <c r="F188" s="30">
        <f>IF($K188="","",IF(INDEX('Prospect Tracker'!$J$5:$J$554,$K188)="","",INDEX('Prospect Tracker'!$J$5:$J$554,$K188)))</f>
        <v/>
      </c>
      <c r="G188" s="30">
        <f>IF($K188="","",IF(INDEX('Prospect Tracker'!$H$5:$H$554,$K188)="","",INDEX('Prospect Tracker'!$H$5:$H$554,$K188)))</f>
        <v/>
      </c>
      <c r="H188" s="31">
        <f>IF($K188="","",IF(INDEX('Prospect Tracker'!$K$5:$K$554,$K188)="","",INDEX('Prospect Tracker'!$K$5:$K$554,$K188)))</f>
        <v/>
      </c>
      <c r="I188" s="30">
        <f>IF($K188="","",IF(INDEX('Prospect Tracker'!$T$5:$T$554,$K188)="","",INDEX('Prospect Tracker'!$T$5:$T$554,$K188)))</f>
        <v/>
      </c>
      <c r="J188" s="30">
        <f>IF($K188="","",IF(INDEX('Prospect Tracker'!$L$5:$L$554,$K188)="","",INDEX('Prospect Tracker'!$L$5:$L$554,$K188)))</f>
        <v/>
      </c>
      <c r="K188" s="19">
        <f>IFERROR(MATCH(SMALL('Prospect Tracker'!$X$5:$X$554,ROW()-4),'Prospect Tracker'!$X$5:$X$554,0),"")</f>
        <v/>
      </c>
    </row>
    <row r="189" ht="15" customHeight="1" s="20">
      <c r="A189" s="25">
        <f>IF($K189="","",IF(INDEX('Prospect Tracker'!$W$5:$W$554,$K189)="","",INDEX('Prospect Tracker'!$W$5:$W$554,$K189)))</f>
        <v/>
      </c>
      <c r="B189" s="25">
        <f>IF($K189="","",IF(INDEX('Prospect Tracker'!$A$5:$A$554,$K189)="","",INDEX('Prospect Tracker'!$A$5:$A$554,$K189)))</f>
        <v/>
      </c>
      <c r="C189" s="25">
        <f>IF($K189="","",IF(INDEX('Prospect Tracker'!$B$5:$B$554,$K189)="","",INDEX('Prospect Tracker'!$B$5:$B$554,$K189)))</f>
        <v/>
      </c>
      <c r="D189" s="25">
        <f>IF($K189="","",IF(INDEX('Prospect Tracker'!$M$5:$M$554,$K189)="","",INDEX('Prospect Tracker'!$M$5:$M$554,$K189)))</f>
        <v/>
      </c>
      <c r="E189" s="25">
        <f>IF($K189="","",IF(INDEX('Prospect Tracker'!$R$5:$R$554,$K189)="","",INDEX('Prospect Tracker'!$R$5:$R$554,$K189)))</f>
        <v/>
      </c>
      <c r="F189" s="25">
        <f>IF($K189="","",IF(INDEX('Prospect Tracker'!$J$5:$J$554,$K189)="","",INDEX('Prospect Tracker'!$J$5:$J$554,$K189)))</f>
        <v/>
      </c>
      <c r="G189" s="25">
        <f>IF($K189="","",IF(INDEX('Prospect Tracker'!$H$5:$H$554,$K189)="","",INDEX('Prospect Tracker'!$H$5:$H$554,$K189)))</f>
        <v/>
      </c>
      <c r="H189" s="26">
        <f>IF($K189="","",IF(INDEX('Prospect Tracker'!$K$5:$K$554,$K189)="","",INDEX('Prospect Tracker'!$K$5:$K$554,$K189)))</f>
        <v/>
      </c>
      <c r="I189" s="25">
        <f>IF($K189="","",IF(INDEX('Prospect Tracker'!$T$5:$T$554,$K189)="","",INDEX('Prospect Tracker'!$T$5:$T$554,$K189)))</f>
        <v/>
      </c>
      <c r="J189" s="25">
        <f>IF($K189="","",IF(INDEX('Prospect Tracker'!$L$5:$L$554,$K189)="","",INDEX('Prospect Tracker'!$L$5:$L$554,$K189)))</f>
        <v/>
      </c>
      <c r="K189" s="19">
        <f>IFERROR(MATCH(SMALL('Prospect Tracker'!$X$5:$X$554,ROW()-4),'Prospect Tracker'!$X$5:$X$554,0),"")</f>
        <v/>
      </c>
    </row>
    <row r="190" ht="15" customHeight="1" s="20">
      <c r="A190" s="30">
        <f>IF($K190="","",IF(INDEX('Prospect Tracker'!$W$5:$W$554,$K190)="","",INDEX('Prospect Tracker'!$W$5:$W$554,$K190)))</f>
        <v/>
      </c>
      <c r="B190" s="30">
        <f>IF($K190="","",IF(INDEX('Prospect Tracker'!$A$5:$A$554,$K190)="","",INDEX('Prospect Tracker'!$A$5:$A$554,$K190)))</f>
        <v/>
      </c>
      <c r="C190" s="30">
        <f>IF($K190="","",IF(INDEX('Prospect Tracker'!$B$5:$B$554,$K190)="","",INDEX('Prospect Tracker'!$B$5:$B$554,$K190)))</f>
        <v/>
      </c>
      <c r="D190" s="30">
        <f>IF($K190="","",IF(INDEX('Prospect Tracker'!$M$5:$M$554,$K190)="","",INDEX('Prospect Tracker'!$M$5:$M$554,$K190)))</f>
        <v/>
      </c>
      <c r="E190" s="30">
        <f>IF($K190="","",IF(INDEX('Prospect Tracker'!$R$5:$R$554,$K190)="","",INDEX('Prospect Tracker'!$R$5:$R$554,$K190)))</f>
        <v/>
      </c>
      <c r="F190" s="30">
        <f>IF($K190="","",IF(INDEX('Prospect Tracker'!$J$5:$J$554,$K190)="","",INDEX('Prospect Tracker'!$J$5:$J$554,$K190)))</f>
        <v/>
      </c>
      <c r="G190" s="30">
        <f>IF($K190="","",IF(INDEX('Prospect Tracker'!$H$5:$H$554,$K190)="","",INDEX('Prospect Tracker'!$H$5:$H$554,$K190)))</f>
        <v/>
      </c>
      <c r="H190" s="31">
        <f>IF($K190="","",IF(INDEX('Prospect Tracker'!$K$5:$K$554,$K190)="","",INDEX('Prospect Tracker'!$K$5:$K$554,$K190)))</f>
        <v/>
      </c>
      <c r="I190" s="30">
        <f>IF($K190="","",IF(INDEX('Prospect Tracker'!$T$5:$T$554,$K190)="","",INDEX('Prospect Tracker'!$T$5:$T$554,$K190)))</f>
        <v/>
      </c>
      <c r="J190" s="30">
        <f>IF($K190="","",IF(INDEX('Prospect Tracker'!$L$5:$L$554,$K190)="","",INDEX('Prospect Tracker'!$L$5:$L$554,$K190)))</f>
        <v/>
      </c>
      <c r="K190" s="19">
        <f>IFERROR(MATCH(SMALL('Prospect Tracker'!$X$5:$X$554,ROW()-4),'Prospect Tracker'!$X$5:$X$554,0),"")</f>
        <v/>
      </c>
    </row>
    <row r="191" ht="15" customHeight="1" s="20">
      <c r="A191" s="25">
        <f>IF($K191="","",IF(INDEX('Prospect Tracker'!$W$5:$W$554,$K191)="","",INDEX('Prospect Tracker'!$W$5:$W$554,$K191)))</f>
        <v/>
      </c>
      <c r="B191" s="25">
        <f>IF($K191="","",IF(INDEX('Prospect Tracker'!$A$5:$A$554,$K191)="","",INDEX('Prospect Tracker'!$A$5:$A$554,$K191)))</f>
        <v/>
      </c>
      <c r="C191" s="25">
        <f>IF($K191="","",IF(INDEX('Prospect Tracker'!$B$5:$B$554,$K191)="","",INDEX('Prospect Tracker'!$B$5:$B$554,$K191)))</f>
        <v/>
      </c>
      <c r="D191" s="25">
        <f>IF($K191="","",IF(INDEX('Prospect Tracker'!$M$5:$M$554,$K191)="","",INDEX('Prospect Tracker'!$M$5:$M$554,$K191)))</f>
        <v/>
      </c>
      <c r="E191" s="25">
        <f>IF($K191="","",IF(INDEX('Prospect Tracker'!$R$5:$R$554,$K191)="","",INDEX('Prospect Tracker'!$R$5:$R$554,$K191)))</f>
        <v/>
      </c>
      <c r="F191" s="25">
        <f>IF($K191="","",IF(INDEX('Prospect Tracker'!$J$5:$J$554,$K191)="","",INDEX('Prospect Tracker'!$J$5:$J$554,$K191)))</f>
        <v/>
      </c>
      <c r="G191" s="25">
        <f>IF($K191="","",IF(INDEX('Prospect Tracker'!$H$5:$H$554,$K191)="","",INDEX('Prospect Tracker'!$H$5:$H$554,$K191)))</f>
        <v/>
      </c>
      <c r="H191" s="26">
        <f>IF($K191="","",IF(INDEX('Prospect Tracker'!$K$5:$K$554,$K191)="","",INDEX('Prospect Tracker'!$K$5:$K$554,$K191)))</f>
        <v/>
      </c>
      <c r="I191" s="25">
        <f>IF($K191="","",IF(INDEX('Prospect Tracker'!$T$5:$T$554,$K191)="","",INDEX('Prospect Tracker'!$T$5:$T$554,$K191)))</f>
        <v/>
      </c>
      <c r="J191" s="25">
        <f>IF($K191="","",IF(INDEX('Prospect Tracker'!$L$5:$L$554,$K191)="","",INDEX('Prospect Tracker'!$L$5:$L$554,$K191)))</f>
        <v/>
      </c>
      <c r="K191" s="19">
        <f>IFERROR(MATCH(SMALL('Prospect Tracker'!$X$5:$X$554,ROW()-4),'Prospect Tracker'!$X$5:$X$554,0),"")</f>
        <v/>
      </c>
    </row>
    <row r="192" ht="15" customHeight="1" s="20">
      <c r="A192" s="30">
        <f>IF($K192="","",IF(INDEX('Prospect Tracker'!$W$5:$W$554,$K192)="","",INDEX('Prospect Tracker'!$W$5:$W$554,$K192)))</f>
        <v/>
      </c>
      <c r="B192" s="30">
        <f>IF($K192="","",IF(INDEX('Prospect Tracker'!$A$5:$A$554,$K192)="","",INDEX('Prospect Tracker'!$A$5:$A$554,$K192)))</f>
        <v/>
      </c>
      <c r="C192" s="30">
        <f>IF($K192="","",IF(INDEX('Prospect Tracker'!$B$5:$B$554,$K192)="","",INDEX('Prospect Tracker'!$B$5:$B$554,$K192)))</f>
        <v/>
      </c>
      <c r="D192" s="30">
        <f>IF($K192="","",IF(INDEX('Prospect Tracker'!$M$5:$M$554,$K192)="","",INDEX('Prospect Tracker'!$M$5:$M$554,$K192)))</f>
        <v/>
      </c>
      <c r="E192" s="30">
        <f>IF($K192="","",IF(INDEX('Prospect Tracker'!$R$5:$R$554,$K192)="","",INDEX('Prospect Tracker'!$R$5:$R$554,$K192)))</f>
        <v/>
      </c>
      <c r="F192" s="30">
        <f>IF($K192="","",IF(INDEX('Prospect Tracker'!$J$5:$J$554,$K192)="","",INDEX('Prospect Tracker'!$J$5:$J$554,$K192)))</f>
        <v/>
      </c>
      <c r="G192" s="30">
        <f>IF($K192="","",IF(INDEX('Prospect Tracker'!$H$5:$H$554,$K192)="","",INDEX('Prospect Tracker'!$H$5:$H$554,$K192)))</f>
        <v/>
      </c>
      <c r="H192" s="31">
        <f>IF($K192="","",IF(INDEX('Prospect Tracker'!$K$5:$K$554,$K192)="","",INDEX('Prospect Tracker'!$K$5:$K$554,$K192)))</f>
        <v/>
      </c>
      <c r="I192" s="30">
        <f>IF($K192="","",IF(INDEX('Prospect Tracker'!$T$5:$T$554,$K192)="","",INDEX('Prospect Tracker'!$T$5:$T$554,$K192)))</f>
        <v/>
      </c>
      <c r="J192" s="30">
        <f>IF($K192="","",IF(INDEX('Prospect Tracker'!$L$5:$L$554,$K192)="","",INDEX('Prospect Tracker'!$L$5:$L$554,$K192)))</f>
        <v/>
      </c>
      <c r="K192" s="19">
        <f>IFERROR(MATCH(SMALL('Prospect Tracker'!$X$5:$X$554,ROW()-4),'Prospect Tracker'!$X$5:$X$554,0),"")</f>
        <v/>
      </c>
    </row>
    <row r="193" ht="15" customHeight="1" s="20">
      <c r="A193" s="25">
        <f>IF($K193="","",IF(INDEX('Prospect Tracker'!$W$5:$W$554,$K193)="","",INDEX('Prospect Tracker'!$W$5:$W$554,$K193)))</f>
        <v/>
      </c>
      <c r="B193" s="25">
        <f>IF($K193="","",IF(INDEX('Prospect Tracker'!$A$5:$A$554,$K193)="","",INDEX('Prospect Tracker'!$A$5:$A$554,$K193)))</f>
        <v/>
      </c>
      <c r="C193" s="25">
        <f>IF($K193="","",IF(INDEX('Prospect Tracker'!$B$5:$B$554,$K193)="","",INDEX('Prospect Tracker'!$B$5:$B$554,$K193)))</f>
        <v/>
      </c>
      <c r="D193" s="25">
        <f>IF($K193="","",IF(INDEX('Prospect Tracker'!$M$5:$M$554,$K193)="","",INDEX('Prospect Tracker'!$M$5:$M$554,$K193)))</f>
        <v/>
      </c>
      <c r="E193" s="25">
        <f>IF($K193="","",IF(INDEX('Prospect Tracker'!$R$5:$R$554,$K193)="","",INDEX('Prospect Tracker'!$R$5:$R$554,$K193)))</f>
        <v/>
      </c>
      <c r="F193" s="25">
        <f>IF($K193="","",IF(INDEX('Prospect Tracker'!$J$5:$J$554,$K193)="","",INDEX('Prospect Tracker'!$J$5:$J$554,$K193)))</f>
        <v/>
      </c>
      <c r="G193" s="25">
        <f>IF($K193="","",IF(INDEX('Prospect Tracker'!$H$5:$H$554,$K193)="","",INDEX('Prospect Tracker'!$H$5:$H$554,$K193)))</f>
        <v/>
      </c>
      <c r="H193" s="26">
        <f>IF($K193="","",IF(INDEX('Prospect Tracker'!$K$5:$K$554,$K193)="","",INDEX('Prospect Tracker'!$K$5:$K$554,$K193)))</f>
        <v/>
      </c>
      <c r="I193" s="25">
        <f>IF($K193="","",IF(INDEX('Prospect Tracker'!$T$5:$T$554,$K193)="","",INDEX('Prospect Tracker'!$T$5:$T$554,$K193)))</f>
        <v/>
      </c>
      <c r="J193" s="25">
        <f>IF($K193="","",IF(INDEX('Prospect Tracker'!$L$5:$L$554,$K193)="","",INDEX('Prospect Tracker'!$L$5:$L$554,$K193)))</f>
        <v/>
      </c>
      <c r="K193" s="19">
        <f>IFERROR(MATCH(SMALL('Prospect Tracker'!$X$5:$X$554,ROW()-4),'Prospect Tracker'!$X$5:$X$554,0),"")</f>
        <v/>
      </c>
    </row>
    <row r="194" ht="15" customHeight="1" s="20">
      <c r="A194" s="30">
        <f>IF($K194="","",IF(INDEX('Prospect Tracker'!$W$5:$W$554,$K194)="","",INDEX('Prospect Tracker'!$W$5:$W$554,$K194)))</f>
        <v/>
      </c>
      <c r="B194" s="30">
        <f>IF($K194="","",IF(INDEX('Prospect Tracker'!$A$5:$A$554,$K194)="","",INDEX('Prospect Tracker'!$A$5:$A$554,$K194)))</f>
        <v/>
      </c>
      <c r="C194" s="30">
        <f>IF($K194="","",IF(INDEX('Prospect Tracker'!$B$5:$B$554,$K194)="","",INDEX('Prospect Tracker'!$B$5:$B$554,$K194)))</f>
        <v/>
      </c>
      <c r="D194" s="30">
        <f>IF($K194="","",IF(INDEX('Prospect Tracker'!$M$5:$M$554,$K194)="","",INDEX('Prospect Tracker'!$M$5:$M$554,$K194)))</f>
        <v/>
      </c>
      <c r="E194" s="30">
        <f>IF($K194="","",IF(INDEX('Prospect Tracker'!$R$5:$R$554,$K194)="","",INDEX('Prospect Tracker'!$R$5:$R$554,$K194)))</f>
        <v/>
      </c>
      <c r="F194" s="30">
        <f>IF($K194="","",IF(INDEX('Prospect Tracker'!$J$5:$J$554,$K194)="","",INDEX('Prospect Tracker'!$J$5:$J$554,$K194)))</f>
        <v/>
      </c>
      <c r="G194" s="30">
        <f>IF($K194="","",IF(INDEX('Prospect Tracker'!$H$5:$H$554,$K194)="","",INDEX('Prospect Tracker'!$H$5:$H$554,$K194)))</f>
        <v/>
      </c>
      <c r="H194" s="31">
        <f>IF($K194="","",IF(INDEX('Prospect Tracker'!$K$5:$K$554,$K194)="","",INDEX('Prospect Tracker'!$K$5:$K$554,$K194)))</f>
        <v/>
      </c>
      <c r="I194" s="30">
        <f>IF($K194="","",IF(INDEX('Prospect Tracker'!$T$5:$T$554,$K194)="","",INDEX('Prospect Tracker'!$T$5:$T$554,$K194)))</f>
        <v/>
      </c>
      <c r="J194" s="30">
        <f>IF($K194="","",IF(INDEX('Prospect Tracker'!$L$5:$L$554,$K194)="","",INDEX('Prospect Tracker'!$L$5:$L$554,$K194)))</f>
        <v/>
      </c>
      <c r="K194" s="19">
        <f>IFERROR(MATCH(SMALL('Prospect Tracker'!$X$5:$X$554,ROW()-4),'Prospect Tracker'!$X$5:$X$554,0),"")</f>
        <v/>
      </c>
    </row>
    <row r="195" ht="15" customHeight="1" s="20">
      <c r="A195" s="25">
        <f>IF($K195="","",IF(INDEX('Prospect Tracker'!$W$5:$W$554,$K195)="","",INDEX('Prospect Tracker'!$W$5:$W$554,$K195)))</f>
        <v/>
      </c>
      <c r="B195" s="25">
        <f>IF($K195="","",IF(INDEX('Prospect Tracker'!$A$5:$A$554,$K195)="","",INDEX('Prospect Tracker'!$A$5:$A$554,$K195)))</f>
        <v/>
      </c>
      <c r="C195" s="25">
        <f>IF($K195="","",IF(INDEX('Prospect Tracker'!$B$5:$B$554,$K195)="","",INDEX('Prospect Tracker'!$B$5:$B$554,$K195)))</f>
        <v/>
      </c>
      <c r="D195" s="25">
        <f>IF($K195="","",IF(INDEX('Prospect Tracker'!$M$5:$M$554,$K195)="","",INDEX('Prospect Tracker'!$M$5:$M$554,$K195)))</f>
        <v/>
      </c>
      <c r="E195" s="25">
        <f>IF($K195="","",IF(INDEX('Prospect Tracker'!$R$5:$R$554,$K195)="","",INDEX('Prospect Tracker'!$R$5:$R$554,$K195)))</f>
        <v/>
      </c>
      <c r="F195" s="25">
        <f>IF($K195="","",IF(INDEX('Prospect Tracker'!$J$5:$J$554,$K195)="","",INDEX('Prospect Tracker'!$J$5:$J$554,$K195)))</f>
        <v/>
      </c>
      <c r="G195" s="25">
        <f>IF($K195="","",IF(INDEX('Prospect Tracker'!$H$5:$H$554,$K195)="","",INDEX('Prospect Tracker'!$H$5:$H$554,$K195)))</f>
        <v/>
      </c>
      <c r="H195" s="26">
        <f>IF($K195="","",IF(INDEX('Prospect Tracker'!$K$5:$K$554,$K195)="","",INDEX('Prospect Tracker'!$K$5:$K$554,$K195)))</f>
        <v/>
      </c>
      <c r="I195" s="25">
        <f>IF($K195="","",IF(INDEX('Prospect Tracker'!$T$5:$T$554,$K195)="","",INDEX('Prospect Tracker'!$T$5:$T$554,$K195)))</f>
        <v/>
      </c>
      <c r="J195" s="25">
        <f>IF($K195="","",IF(INDEX('Prospect Tracker'!$L$5:$L$554,$K195)="","",INDEX('Prospect Tracker'!$L$5:$L$554,$K195)))</f>
        <v/>
      </c>
      <c r="K195" s="19">
        <f>IFERROR(MATCH(SMALL('Prospect Tracker'!$X$5:$X$554,ROW()-4),'Prospect Tracker'!$X$5:$X$554,0),"")</f>
        <v/>
      </c>
    </row>
    <row r="196" ht="15" customHeight="1" s="20">
      <c r="A196" s="30">
        <f>IF($K196="","",IF(INDEX('Prospect Tracker'!$W$5:$W$554,$K196)="","",INDEX('Prospect Tracker'!$W$5:$W$554,$K196)))</f>
        <v/>
      </c>
      <c r="B196" s="30">
        <f>IF($K196="","",IF(INDEX('Prospect Tracker'!$A$5:$A$554,$K196)="","",INDEX('Prospect Tracker'!$A$5:$A$554,$K196)))</f>
        <v/>
      </c>
      <c r="C196" s="30">
        <f>IF($K196="","",IF(INDEX('Prospect Tracker'!$B$5:$B$554,$K196)="","",INDEX('Prospect Tracker'!$B$5:$B$554,$K196)))</f>
        <v/>
      </c>
      <c r="D196" s="30">
        <f>IF($K196="","",IF(INDEX('Prospect Tracker'!$M$5:$M$554,$K196)="","",INDEX('Prospect Tracker'!$M$5:$M$554,$K196)))</f>
        <v/>
      </c>
      <c r="E196" s="30">
        <f>IF($K196="","",IF(INDEX('Prospect Tracker'!$R$5:$R$554,$K196)="","",INDEX('Prospect Tracker'!$R$5:$R$554,$K196)))</f>
        <v/>
      </c>
      <c r="F196" s="30">
        <f>IF($K196="","",IF(INDEX('Prospect Tracker'!$J$5:$J$554,$K196)="","",INDEX('Prospect Tracker'!$J$5:$J$554,$K196)))</f>
        <v/>
      </c>
      <c r="G196" s="30">
        <f>IF($K196="","",IF(INDEX('Prospect Tracker'!$H$5:$H$554,$K196)="","",INDEX('Prospect Tracker'!$H$5:$H$554,$K196)))</f>
        <v/>
      </c>
      <c r="H196" s="31">
        <f>IF($K196="","",IF(INDEX('Prospect Tracker'!$K$5:$K$554,$K196)="","",INDEX('Prospect Tracker'!$K$5:$K$554,$K196)))</f>
        <v/>
      </c>
      <c r="I196" s="30">
        <f>IF($K196="","",IF(INDEX('Prospect Tracker'!$T$5:$T$554,$K196)="","",INDEX('Prospect Tracker'!$T$5:$T$554,$K196)))</f>
        <v/>
      </c>
      <c r="J196" s="30">
        <f>IF($K196="","",IF(INDEX('Prospect Tracker'!$L$5:$L$554,$K196)="","",INDEX('Prospect Tracker'!$L$5:$L$554,$K196)))</f>
        <v/>
      </c>
      <c r="K196" s="19">
        <f>IFERROR(MATCH(SMALL('Prospect Tracker'!$X$5:$X$554,ROW()-4),'Prospect Tracker'!$X$5:$X$554,0),"")</f>
        <v/>
      </c>
    </row>
    <row r="197" ht="15" customHeight="1" s="20">
      <c r="A197" s="25">
        <f>IF($K197="","",IF(INDEX('Prospect Tracker'!$W$5:$W$554,$K197)="","",INDEX('Prospect Tracker'!$W$5:$W$554,$K197)))</f>
        <v/>
      </c>
      <c r="B197" s="25">
        <f>IF($K197="","",IF(INDEX('Prospect Tracker'!$A$5:$A$554,$K197)="","",INDEX('Prospect Tracker'!$A$5:$A$554,$K197)))</f>
        <v/>
      </c>
      <c r="C197" s="25">
        <f>IF($K197="","",IF(INDEX('Prospect Tracker'!$B$5:$B$554,$K197)="","",INDEX('Prospect Tracker'!$B$5:$B$554,$K197)))</f>
        <v/>
      </c>
      <c r="D197" s="25">
        <f>IF($K197="","",IF(INDEX('Prospect Tracker'!$M$5:$M$554,$K197)="","",INDEX('Prospect Tracker'!$M$5:$M$554,$K197)))</f>
        <v/>
      </c>
      <c r="E197" s="25">
        <f>IF($K197="","",IF(INDEX('Prospect Tracker'!$R$5:$R$554,$K197)="","",INDEX('Prospect Tracker'!$R$5:$R$554,$K197)))</f>
        <v/>
      </c>
      <c r="F197" s="25">
        <f>IF($K197="","",IF(INDEX('Prospect Tracker'!$J$5:$J$554,$K197)="","",INDEX('Prospect Tracker'!$J$5:$J$554,$K197)))</f>
        <v/>
      </c>
      <c r="G197" s="25">
        <f>IF($K197="","",IF(INDEX('Prospect Tracker'!$H$5:$H$554,$K197)="","",INDEX('Prospect Tracker'!$H$5:$H$554,$K197)))</f>
        <v/>
      </c>
      <c r="H197" s="26">
        <f>IF($K197="","",IF(INDEX('Prospect Tracker'!$K$5:$K$554,$K197)="","",INDEX('Prospect Tracker'!$K$5:$K$554,$K197)))</f>
        <v/>
      </c>
      <c r="I197" s="25">
        <f>IF($K197="","",IF(INDEX('Prospect Tracker'!$T$5:$T$554,$K197)="","",INDEX('Prospect Tracker'!$T$5:$T$554,$K197)))</f>
        <v/>
      </c>
      <c r="J197" s="25">
        <f>IF($K197="","",IF(INDEX('Prospect Tracker'!$L$5:$L$554,$K197)="","",INDEX('Prospect Tracker'!$L$5:$L$554,$K197)))</f>
        <v/>
      </c>
      <c r="K197" s="19">
        <f>IFERROR(MATCH(SMALL('Prospect Tracker'!$X$5:$X$554,ROW()-4),'Prospect Tracker'!$X$5:$X$554,0),"")</f>
        <v/>
      </c>
    </row>
    <row r="198" ht="15" customHeight="1" s="20">
      <c r="A198" s="30">
        <f>IF($K198="","",IF(INDEX('Prospect Tracker'!$W$5:$W$554,$K198)="","",INDEX('Prospect Tracker'!$W$5:$W$554,$K198)))</f>
        <v/>
      </c>
      <c r="B198" s="30">
        <f>IF($K198="","",IF(INDEX('Prospect Tracker'!$A$5:$A$554,$K198)="","",INDEX('Prospect Tracker'!$A$5:$A$554,$K198)))</f>
        <v/>
      </c>
      <c r="C198" s="30">
        <f>IF($K198="","",IF(INDEX('Prospect Tracker'!$B$5:$B$554,$K198)="","",INDEX('Prospect Tracker'!$B$5:$B$554,$K198)))</f>
        <v/>
      </c>
      <c r="D198" s="30">
        <f>IF($K198="","",IF(INDEX('Prospect Tracker'!$M$5:$M$554,$K198)="","",INDEX('Prospect Tracker'!$M$5:$M$554,$K198)))</f>
        <v/>
      </c>
      <c r="E198" s="30">
        <f>IF($K198="","",IF(INDEX('Prospect Tracker'!$R$5:$R$554,$K198)="","",INDEX('Prospect Tracker'!$R$5:$R$554,$K198)))</f>
        <v/>
      </c>
      <c r="F198" s="30">
        <f>IF($K198="","",IF(INDEX('Prospect Tracker'!$J$5:$J$554,$K198)="","",INDEX('Prospect Tracker'!$J$5:$J$554,$K198)))</f>
        <v/>
      </c>
      <c r="G198" s="30">
        <f>IF($K198="","",IF(INDEX('Prospect Tracker'!$H$5:$H$554,$K198)="","",INDEX('Prospect Tracker'!$H$5:$H$554,$K198)))</f>
        <v/>
      </c>
      <c r="H198" s="31">
        <f>IF($K198="","",IF(INDEX('Prospect Tracker'!$K$5:$K$554,$K198)="","",INDEX('Prospect Tracker'!$K$5:$K$554,$K198)))</f>
        <v/>
      </c>
      <c r="I198" s="30">
        <f>IF($K198="","",IF(INDEX('Prospect Tracker'!$T$5:$T$554,$K198)="","",INDEX('Prospect Tracker'!$T$5:$T$554,$K198)))</f>
        <v/>
      </c>
      <c r="J198" s="30">
        <f>IF($K198="","",IF(INDEX('Prospect Tracker'!$L$5:$L$554,$K198)="","",INDEX('Prospect Tracker'!$L$5:$L$554,$K198)))</f>
        <v/>
      </c>
      <c r="K198" s="19">
        <f>IFERROR(MATCH(SMALL('Prospect Tracker'!$X$5:$X$554,ROW()-4),'Prospect Tracker'!$X$5:$X$554,0),"")</f>
        <v/>
      </c>
    </row>
    <row r="199" ht="15" customHeight="1" s="20">
      <c r="A199" s="25">
        <f>IF($K199="","",IF(INDEX('Prospect Tracker'!$W$5:$W$554,$K199)="","",INDEX('Prospect Tracker'!$W$5:$W$554,$K199)))</f>
        <v/>
      </c>
      <c r="B199" s="25">
        <f>IF($K199="","",IF(INDEX('Prospect Tracker'!$A$5:$A$554,$K199)="","",INDEX('Prospect Tracker'!$A$5:$A$554,$K199)))</f>
        <v/>
      </c>
      <c r="C199" s="25">
        <f>IF($K199="","",IF(INDEX('Prospect Tracker'!$B$5:$B$554,$K199)="","",INDEX('Prospect Tracker'!$B$5:$B$554,$K199)))</f>
        <v/>
      </c>
      <c r="D199" s="25">
        <f>IF($K199="","",IF(INDEX('Prospect Tracker'!$M$5:$M$554,$K199)="","",INDEX('Prospect Tracker'!$M$5:$M$554,$K199)))</f>
        <v/>
      </c>
      <c r="E199" s="25">
        <f>IF($K199="","",IF(INDEX('Prospect Tracker'!$R$5:$R$554,$K199)="","",INDEX('Prospect Tracker'!$R$5:$R$554,$K199)))</f>
        <v/>
      </c>
      <c r="F199" s="25">
        <f>IF($K199="","",IF(INDEX('Prospect Tracker'!$J$5:$J$554,$K199)="","",INDEX('Prospect Tracker'!$J$5:$J$554,$K199)))</f>
        <v/>
      </c>
      <c r="G199" s="25">
        <f>IF($K199="","",IF(INDEX('Prospect Tracker'!$H$5:$H$554,$K199)="","",INDEX('Prospect Tracker'!$H$5:$H$554,$K199)))</f>
        <v/>
      </c>
      <c r="H199" s="26">
        <f>IF($K199="","",IF(INDEX('Prospect Tracker'!$K$5:$K$554,$K199)="","",INDEX('Prospect Tracker'!$K$5:$K$554,$K199)))</f>
        <v/>
      </c>
      <c r="I199" s="25">
        <f>IF($K199="","",IF(INDEX('Prospect Tracker'!$T$5:$T$554,$K199)="","",INDEX('Prospect Tracker'!$T$5:$T$554,$K199)))</f>
        <v/>
      </c>
      <c r="J199" s="25">
        <f>IF($K199="","",IF(INDEX('Prospect Tracker'!$L$5:$L$554,$K199)="","",INDEX('Prospect Tracker'!$L$5:$L$554,$K199)))</f>
        <v/>
      </c>
      <c r="K199" s="19">
        <f>IFERROR(MATCH(SMALL('Prospect Tracker'!$X$5:$X$554,ROW()-4),'Prospect Tracker'!$X$5:$X$554,0),"")</f>
        <v/>
      </c>
    </row>
    <row r="200" ht="15" customHeight="1" s="20">
      <c r="A200" s="30">
        <f>IF($K200="","",IF(INDEX('Prospect Tracker'!$W$5:$W$554,$K200)="","",INDEX('Prospect Tracker'!$W$5:$W$554,$K200)))</f>
        <v/>
      </c>
      <c r="B200" s="30">
        <f>IF($K200="","",IF(INDEX('Prospect Tracker'!$A$5:$A$554,$K200)="","",INDEX('Prospect Tracker'!$A$5:$A$554,$K200)))</f>
        <v/>
      </c>
      <c r="C200" s="30">
        <f>IF($K200="","",IF(INDEX('Prospect Tracker'!$B$5:$B$554,$K200)="","",INDEX('Prospect Tracker'!$B$5:$B$554,$K200)))</f>
        <v/>
      </c>
      <c r="D200" s="30">
        <f>IF($K200="","",IF(INDEX('Prospect Tracker'!$M$5:$M$554,$K200)="","",INDEX('Prospect Tracker'!$M$5:$M$554,$K200)))</f>
        <v/>
      </c>
      <c r="E200" s="30">
        <f>IF($K200="","",IF(INDEX('Prospect Tracker'!$R$5:$R$554,$K200)="","",INDEX('Prospect Tracker'!$R$5:$R$554,$K200)))</f>
        <v/>
      </c>
      <c r="F200" s="30">
        <f>IF($K200="","",IF(INDEX('Prospect Tracker'!$J$5:$J$554,$K200)="","",INDEX('Prospect Tracker'!$J$5:$J$554,$K200)))</f>
        <v/>
      </c>
      <c r="G200" s="30">
        <f>IF($K200="","",IF(INDEX('Prospect Tracker'!$H$5:$H$554,$K200)="","",INDEX('Prospect Tracker'!$H$5:$H$554,$K200)))</f>
        <v/>
      </c>
      <c r="H200" s="31">
        <f>IF($K200="","",IF(INDEX('Prospect Tracker'!$K$5:$K$554,$K200)="","",INDEX('Prospect Tracker'!$K$5:$K$554,$K200)))</f>
        <v/>
      </c>
      <c r="I200" s="30">
        <f>IF($K200="","",IF(INDEX('Prospect Tracker'!$T$5:$T$554,$K200)="","",INDEX('Prospect Tracker'!$T$5:$T$554,$K200)))</f>
        <v/>
      </c>
      <c r="J200" s="30">
        <f>IF($K200="","",IF(INDEX('Prospect Tracker'!$L$5:$L$554,$K200)="","",INDEX('Prospect Tracker'!$L$5:$L$554,$K200)))</f>
        <v/>
      </c>
      <c r="K200" s="19">
        <f>IFERROR(MATCH(SMALL('Prospect Tracker'!$X$5:$X$554,ROW()-4),'Prospect Tracker'!$X$5:$X$554,0),"")</f>
        <v/>
      </c>
    </row>
    <row r="201" ht="15" customHeight="1" s="20">
      <c r="A201" s="25">
        <f>IF($K201="","",IF(INDEX('Prospect Tracker'!$W$5:$W$554,$K201)="","",INDEX('Prospect Tracker'!$W$5:$W$554,$K201)))</f>
        <v/>
      </c>
      <c r="B201" s="25">
        <f>IF($K201="","",IF(INDEX('Prospect Tracker'!$A$5:$A$554,$K201)="","",INDEX('Prospect Tracker'!$A$5:$A$554,$K201)))</f>
        <v/>
      </c>
      <c r="C201" s="25">
        <f>IF($K201="","",IF(INDEX('Prospect Tracker'!$B$5:$B$554,$K201)="","",INDEX('Prospect Tracker'!$B$5:$B$554,$K201)))</f>
        <v/>
      </c>
      <c r="D201" s="25">
        <f>IF($K201="","",IF(INDEX('Prospect Tracker'!$M$5:$M$554,$K201)="","",INDEX('Prospect Tracker'!$M$5:$M$554,$K201)))</f>
        <v/>
      </c>
      <c r="E201" s="25">
        <f>IF($K201="","",IF(INDEX('Prospect Tracker'!$R$5:$R$554,$K201)="","",INDEX('Prospect Tracker'!$R$5:$R$554,$K201)))</f>
        <v/>
      </c>
      <c r="F201" s="25">
        <f>IF($K201="","",IF(INDEX('Prospect Tracker'!$J$5:$J$554,$K201)="","",INDEX('Prospect Tracker'!$J$5:$J$554,$K201)))</f>
        <v/>
      </c>
      <c r="G201" s="25">
        <f>IF($K201="","",IF(INDEX('Prospect Tracker'!$H$5:$H$554,$K201)="","",INDEX('Prospect Tracker'!$H$5:$H$554,$K201)))</f>
        <v/>
      </c>
      <c r="H201" s="26">
        <f>IF($K201="","",IF(INDEX('Prospect Tracker'!$K$5:$K$554,$K201)="","",INDEX('Prospect Tracker'!$K$5:$K$554,$K201)))</f>
        <v/>
      </c>
      <c r="I201" s="25">
        <f>IF($K201="","",IF(INDEX('Prospect Tracker'!$T$5:$T$554,$K201)="","",INDEX('Prospect Tracker'!$T$5:$T$554,$K201)))</f>
        <v/>
      </c>
      <c r="J201" s="25">
        <f>IF($K201="","",IF(INDEX('Prospect Tracker'!$L$5:$L$554,$K201)="","",INDEX('Prospect Tracker'!$L$5:$L$554,$K201)))</f>
        <v/>
      </c>
      <c r="K201" s="19">
        <f>IFERROR(MATCH(SMALL('Prospect Tracker'!$X$5:$X$554,ROW()-4),'Prospect Tracker'!$X$5:$X$554,0),"")</f>
        <v/>
      </c>
    </row>
    <row r="202" ht="15" customHeight="1" s="20">
      <c r="A202" s="30">
        <f>IF($K202="","",IF(INDEX('Prospect Tracker'!$W$5:$W$554,$K202)="","",INDEX('Prospect Tracker'!$W$5:$W$554,$K202)))</f>
        <v/>
      </c>
      <c r="B202" s="30">
        <f>IF($K202="","",IF(INDEX('Prospect Tracker'!$A$5:$A$554,$K202)="","",INDEX('Prospect Tracker'!$A$5:$A$554,$K202)))</f>
        <v/>
      </c>
      <c r="C202" s="30">
        <f>IF($K202="","",IF(INDEX('Prospect Tracker'!$B$5:$B$554,$K202)="","",INDEX('Prospect Tracker'!$B$5:$B$554,$K202)))</f>
        <v/>
      </c>
      <c r="D202" s="30">
        <f>IF($K202="","",IF(INDEX('Prospect Tracker'!$M$5:$M$554,$K202)="","",INDEX('Prospect Tracker'!$M$5:$M$554,$K202)))</f>
        <v/>
      </c>
      <c r="E202" s="30">
        <f>IF($K202="","",IF(INDEX('Prospect Tracker'!$R$5:$R$554,$K202)="","",INDEX('Prospect Tracker'!$R$5:$R$554,$K202)))</f>
        <v/>
      </c>
      <c r="F202" s="30">
        <f>IF($K202="","",IF(INDEX('Prospect Tracker'!$J$5:$J$554,$K202)="","",INDEX('Prospect Tracker'!$J$5:$J$554,$K202)))</f>
        <v/>
      </c>
      <c r="G202" s="30">
        <f>IF($K202="","",IF(INDEX('Prospect Tracker'!$H$5:$H$554,$K202)="","",INDEX('Prospect Tracker'!$H$5:$H$554,$K202)))</f>
        <v/>
      </c>
      <c r="H202" s="31">
        <f>IF($K202="","",IF(INDEX('Prospect Tracker'!$K$5:$K$554,$K202)="","",INDEX('Prospect Tracker'!$K$5:$K$554,$K202)))</f>
        <v/>
      </c>
      <c r="I202" s="30">
        <f>IF($K202="","",IF(INDEX('Prospect Tracker'!$T$5:$T$554,$K202)="","",INDEX('Prospect Tracker'!$T$5:$T$554,$K202)))</f>
        <v/>
      </c>
      <c r="J202" s="30">
        <f>IF($K202="","",IF(INDEX('Prospect Tracker'!$L$5:$L$554,$K202)="","",INDEX('Prospect Tracker'!$L$5:$L$554,$K202)))</f>
        <v/>
      </c>
      <c r="K202" s="19">
        <f>IFERROR(MATCH(SMALL('Prospect Tracker'!$X$5:$X$554,ROW()-4),'Prospect Tracker'!$X$5:$X$554,0),"")</f>
        <v/>
      </c>
    </row>
    <row r="203" ht="15" customHeight="1" s="20">
      <c r="A203" s="25">
        <f>IF($K203="","",IF(INDEX('Prospect Tracker'!$W$5:$W$554,$K203)="","",INDEX('Prospect Tracker'!$W$5:$W$554,$K203)))</f>
        <v/>
      </c>
      <c r="B203" s="25">
        <f>IF($K203="","",IF(INDEX('Prospect Tracker'!$A$5:$A$554,$K203)="","",INDEX('Prospect Tracker'!$A$5:$A$554,$K203)))</f>
        <v/>
      </c>
      <c r="C203" s="25">
        <f>IF($K203="","",IF(INDEX('Prospect Tracker'!$B$5:$B$554,$K203)="","",INDEX('Prospect Tracker'!$B$5:$B$554,$K203)))</f>
        <v/>
      </c>
      <c r="D203" s="25">
        <f>IF($K203="","",IF(INDEX('Prospect Tracker'!$M$5:$M$554,$K203)="","",INDEX('Prospect Tracker'!$M$5:$M$554,$K203)))</f>
        <v/>
      </c>
      <c r="E203" s="25">
        <f>IF($K203="","",IF(INDEX('Prospect Tracker'!$R$5:$R$554,$K203)="","",INDEX('Prospect Tracker'!$R$5:$R$554,$K203)))</f>
        <v/>
      </c>
      <c r="F203" s="25">
        <f>IF($K203="","",IF(INDEX('Prospect Tracker'!$J$5:$J$554,$K203)="","",INDEX('Prospect Tracker'!$J$5:$J$554,$K203)))</f>
        <v/>
      </c>
      <c r="G203" s="25">
        <f>IF($K203="","",IF(INDEX('Prospect Tracker'!$H$5:$H$554,$K203)="","",INDEX('Prospect Tracker'!$H$5:$H$554,$K203)))</f>
        <v/>
      </c>
      <c r="H203" s="26">
        <f>IF($K203="","",IF(INDEX('Prospect Tracker'!$K$5:$K$554,$K203)="","",INDEX('Prospect Tracker'!$K$5:$K$554,$K203)))</f>
        <v/>
      </c>
      <c r="I203" s="25">
        <f>IF($K203="","",IF(INDEX('Prospect Tracker'!$T$5:$T$554,$K203)="","",INDEX('Prospect Tracker'!$T$5:$T$554,$K203)))</f>
        <v/>
      </c>
      <c r="J203" s="25">
        <f>IF($K203="","",IF(INDEX('Prospect Tracker'!$L$5:$L$554,$K203)="","",INDEX('Prospect Tracker'!$L$5:$L$554,$K203)))</f>
        <v/>
      </c>
      <c r="K203" s="19">
        <f>IFERROR(MATCH(SMALL('Prospect Tracker'!$X$5:$X$554,ROW()-4),'Prospect Tracker'!$X$5:$X$554,0),"")</f>
        <v/>
      </c>
    </row>
    <row r="204" ht="15" customHeight="1" s="20">
      <c r="A204" s="30">
        <f>IF($K204="","",IF(INDEX('Prospect Tracker'!$W$5:$W$554,$K204)="","",INDEX('Prospect Tracker'!$W$5:$W$554,$K204)))</f>
        <v/>
      </c>
      <c r="B204" s="30">
        <f>IF($K204="","",IF(INDEX('Prospect Tracker'!$A$5:$A$554,$K204)="","",INDEX('Prospect Tracker'!$A$5:$A$554,$K204)))</f>
        <v/>
      </c>
      <c r="C204" s="30">
        <f>IF($K204="","",IF(INDEX('Prospect Tracker'!$B$5:$B$554,$K204)="","",INDEX('Prospect Tracker'!$B$5:$B$554,$K204)))</f>
        <v/>
      </c>
      <c r="D204" s="30">
        <f>IF($K204="","",IF(INDEX('Prospect Tracker'!$M$5:$M$554,$K204)="","",INDEX('Prospect Tracker'!$M$5:$M$554,$K204)))</f>
        <v/>
      </c>
      <c r="E204" s="30">
        <f>IF($K204="","",IF(INDEX('Prospect Tracker'!$R$5:$R$554,$K204)="","",INDEX('Prospect Tracker'!$R$5:$R$554,$K204)))</f>
        <v/>
      </c>
      <c r="F204" s="30">
        <f>IF($K204="","",IF(INDEX('Prospect Tracker'!$J$5:$J$554,$K204)="","",INDEX('Prospect Tracker'!$J$5:$J$554,$K204)))</f>
        <v/>
      </c>
      <c r="G204" s="30">
        <f>IF($K204="","",IF(INDEX('Prospect Tracker'!$H$5:$H$554,$K204)="","",INDEX('Prospect Tracker'!$H$5:$H$554,$K204)))</f>
        <v/>
      </c>
      <c r="H204" s="31">
        <f>IF($K204="","",IF(INDEX('Prospect Tracker'!$K$5:$K$554,$K204)="","",INDEX('Prospect Tracker'!$K$5:$K$554,$K204)))</f>
        <v/>
      </c>
      <c r="I204" s="30">
        <f>IF($K204="","",IF(INDEX('Prospect Tracker'!$T$5:$T$554,$K204)="","",INDEX('Prospect Tracker'!$T$5:$T$554,$K204)))</f>
        <v/>
      </c>
      <c r="J204" s="30">
        <f>IF($K204="","",IF(INDEX('Prospect Tracker'!$L$5:$L$554,$K204)="","",INDEX('Prospect Tracker'!$L$5:$L$554,$K204)))</f>
        <v/>
      </c>
      <c r="K204" s="19">
        <f>IFERROR(MATCH(SMALL('Prospect Tracker'!$X$5:$X$554,ROW()-4),'Prospect Tracker'!$X$5:$X$554,0),"")</f>
        <v/>
      </c>
    </row>
    <row r="205" ht="15" customHeight="1" s="20">
      <c r="A205" s="25">
        <f>IF($K205="","",IF(INDEX('Prospect Tracker'!$W$5:$W$554,$K205)="","",INDEX('Prospect Tracker'!$W$5:$W$554,$K205)))</f>
        <v/>
      </c>
      <c r="B205" s="25">
        <f>IF($K205="","",IF(INDEX('Prospect Tracker'!$A$5:$A$554,$K205)="","",INDEX('Prospect Tracker'!$A$5:$A$554,$K205)))</f>
        <v/>
      </c>
      <c r="C205" s="25">
        <f>IF($K205="","",IF(INDEX('Prospect Tracker'!$B$5:$B$554,$K205)="","",INDEX('Prospect Tracker'!$B$5:$B$554,$K205)))</f>
        <v/>
      </c>
      <c r="D205" s="25">
        <f>IF($K205="","",IF(INDEX('Prospect Tracker'!$M$5:$M$554,$K205)="","",INDEX('Prospect Tracker'!$M$5:$M$554,$K205)))</f>
        <v/>
      </c>
      <c r="E205" s="25">
        <f>IF($K205="","",IF(INDEX('Prospect Tracker'!$R$5:$R$554,$K205)="","",INDEX('Prospect Tracker'!$R$5:$R$554,$K205)))</f>
        <v/>
      </c>
      <c r="F205" s="25">
        <f>IF($K205="","",IF(INDEX('Prospect Tracker'!$J$5:$J$554,$K205)="","",INDEX('Prospect Tracker'!$J$5:$J$554,$K205)))</f>
        <v/>
      </c>
      <c r="G205" s="25">
        <f>IF($K205="","",IF(INDEX('Prospect Tracker'!$H$5:$H$554,$K205)="","",INDEX('Prospect Tracker'!$H$5:$H$554,$K205)))</f>
        <v/>
      </c>
      <c r="H205" s="26">
        <f>IF($K205="","",IF(INDEX('Prospect Tracker'!$K$5:$K$554,$K205)="","",INDEX('Prospect Tracker'!$K$5:$K$554,$K205)))</f>
        <v/>
      </c>
      <c r="I205" s="25">
        <f>IF($K205="","",IF(INDEX('Prospect Tracker'!$T$5:$T$554,$K205)="","",INDEX('Prospect Tracker'!$T$5:$T$554,$K205)))</f>
        <v/>
      </c>
      <c r="J205" s="25">
        <f>IF($K205="","",IF(INDEX('Prospect Tracker'!$L$5:$L$554,$K205)="","",INDEX('Prospect Tracker'!$L$5:$L$554,$K205)))</f>
        <v/>
      </c>
      <c r="K205" s="19">
        <f>IFERROR(MATCH(SMALL('Prospect Tracker'!$X$5:$X$554,ROW()-4),'Prospect Tracker'!$X$5:$X$554,0),"")</f>
        <v/>
      </c>
    </row>
    <row r="206" ht="15" customHeight="1" s="20">
      <c r="A206" s="30">
        <f>IF($K206="","",IF(INDEX('Prospect Tracker'!$W$5:$W$554,$K206)="","",INDEX('Prospect Tracker'!$W$5:$W$554,$K206)))</f>
        <v/>
      </c>
      <c r="B206" s="30">
        <f>IF($K206="","",IF(INDEX('Prospect Tracker'!$A$5:$A$554,$K206)="","",INDEX('Prospect Tracker'!$A$5:$A$554,$K206)))</f>
        <v/>
      </c>
      <c r="C206" s="30">
        <f>IF($K206="","",IF(INDEX('Prospect Tracker'!$B$5:$B$554,$K206)="","",INDEX('Prospect Tracker'!$B$5:$B$554,$K206)))</f>
        <v/>
      </c>
      <c r="D206" s="30">
        <f>IF($K206="","",IF(INDEX('Prospect Tracker'!$M$5:$M$554,$K206)="","",INDEX('Prospect Tracker'!$M$5:$M$554,$K206)))</f>
        <v/>
      </c>
      <c r="E206" s="30">
        <f>IF($K206="","",IF(INDEX('Prospect Tracker'!$R$5:$R$554,$K206)="","",INDEX('Prospect Tracker'!$R$5:$R$554,$K206)))</f>
        <v/>
      </c>
      <c r="F206" s="30">
        <f>IF($K206="","",IF(INDEX('Prospect Tracker'!$J$5:$J$554,$K206)="","",INDEX('Prospect Tracker'!$J$5:$J$554,$K206)))</f>
        <v/>
      </c>
      <c r="G206" s="30">
        <f>IF($K206="","",IF(INDEX('Prospect Tracker'!$H$5:$H$554,$K206)="","",INDEX('Prospect Tracker'!$H$5:$H$554,$K206)))</f>
        <v/>
      </c>
      <c r="H206" s="31">
        <f>IF($K206="","",IF(INDEX('Prospect Tracker'!$K$5:$K$554,$K206)="","",INDEX('Prospect Tracker'!$K$5:$K$554,$K206)))</f>
        <v/>
      </c>
      <c r="I206" s="30">
        <f>IF($K206="","",IF(INDEX('Prospect Tracker'!$T$5:$T$554,$K206)="","",INDEX('Prospect Tracker'!$T$5:$T$554,$K206)))</f>
        <v/>
      </c>
      <c r="J206" s="30">
        <f>IF($K206="","",IF(INDEX('Prospect Tracker'!$L$5:$L$554,$K206)="","",INDEX('Prospect Tracker'!$L$5:$L$554,$K206)))</f>
        <v/>
      </c>
      <c r="K206" s="19">
        <f>IFERROR(MATCH(SMALL('Prospect Tracker'!$X$5:$X$554,ROW()-4),'Prospect Tracker'!$X$5:$X$554,0),"")</f>
        <v/>
      </c>
    </row>
    <row r="207" ht="15" customHeight="1" s="20">
      <c r="A207" s="25">
        <f>IF($K207="","",IF(INDEX('Prospect Tracker'!$W$5:$W$554,$K207)="","",INDEX('Prospect Tracker'!$W$5:$W$554,$K207)))</f>
        <v/>
      </c>
      <c r="B207" s="25">
        <f>IF($K207="","",IF(INDEX('Prospect Tracker'!$A$5:$A$554,$K207)="","",INDEX('Prospect Tracker'!$A$5:$A$554,$K207)))</f>
        <v/>
      </c>
      <c r="C207" s="25">
        <f>IF($K207="","",IF(INDEX('Prospect Tracker'!$B$5:$B$554,$K207)="","",INDEX('Prospect Tracker'!$B$5:$B$554,$K207)))</f>
        <v/>
      </c>
      <c r="D207" s="25">
        <f>IF($K207="","",IF(INDEX('Prospect Tracker'!$M$5:$M$554,$K207)="","",INDEX('Prospect Tracker'!$M$5:$M$554,$K207)))</f>
        <v/>
      </c>
      <c r="E207" s="25">
        <f>IF($K207="","",IF(INDEX('Prospect Tracker'!$R$5:$R$554,$K207)="","",INDEX('Prospect Tracker'!$R$5:$R$554,$K207)))</f>
        <v/>
      </c>
      <c r="F207" s="25">
        <f>IF($K207="","",IF(INDEX('Prospect Tracker'!$J$5:$J$554,$K207)="","",INDEX('Prospect Tracker'!$J$5:$J$554,$K207)))</f>
        <v/>
      </c>
      <c r="G207" s="25">
        <f>IF($K207="","",IF(INDEX('Prospect Tracker'!$H$5:$H$554,$K207)="","",INDEX('Prospect Tracker'!$H$5:$H$554,$K207)))</f>
        <v/>
      </c>
      <c r="H207" s="26">
        <f>IF($K207="","",IF(INDEX('Prospect Tracker'!$K$5:$K$554,$K207)="","",INDEX('Prospect Tracker'!$K$5:$K$554,$K207)))</f>
        <v/>
      </c>
      <c r="I207" s="25">
        <f>IF($K207="","",IF(INDEX('Prospect Tracker'!$T$5:$T$554,$K207)="","",INDEX('Prospect Tracker'!$T$5:$T$554,$K207)))</f>
        <v/>
      </c>
      <c r="J207" s="25">
        <f>IF($K207="","",IF(INDEX('Prospect Tracker'!$L$5:$L$554,$K207)="","",INDEX('Prospect Tracker'!$L$5:$L$554,$K207)))</f>
        <v/>
      </c>
      <c r="K207" s="19">
        <f>IFERROR(MATCH(SMALL('Prospect Tracker'!$X$5:$X$554,ROW()-4),'Prospect Tracker'!$X$5:$X$554,0),"")</f>
        <v/>
      </c>
    </row>
    <row r="208" ht="15" customHeight="1" s="20">
      <c r="A208" s="30">
        <f>IF($K208="","",IF(INDEX('Prospect Tracker'!$W$5:$W$554,$K208)="","",INDEX('Prospect Tracker'!$W$5:$W$554,$K208)))</f>
        <v/>
      </c>
      <c r="B208" s="30">
        <f>IF($K208="","",IF(INDEX('Prospect Tracker'!$A$5:$A$554,$K208)="","",INDEX('Prospect Tracker'!$A$5:$A$554,$K208)))</f>
        <v/>
      </c>
      <c r="C208" s="30">
        <f>IF($K208="","",IF(INDEX('Prospect Tracker'!$B$5:$B$554,$K208)="","",INDEX('Prospect Tracker'!$B$5:$B$554,$K208)))</f>
        <v/>
      </c>
      <c r="D208" s="30">
        <f>IF($K208="","",IF(INDEX('Prospect Tracker'!$M$5:$M$554,$K208)="","",INDEX('Prospect Tracker'!$M$5:$M$554,$K208)))</f>
        <v/>
      </c>
      <c r="E208" s="30">
        <f>IF($K208="","",IF(INDEX('Prospect Tracker'!$R$5:$R$554,$K208)="","",INDEX('Prospect Tracker'!$R$5:$R$554,$K208)))</f>
        <v/>
      </c>
      <c r="F208" s="30">
        <f>IF($K208="","",IF(INDEX('Prospect Tracker'!$J$5:$J$554,$K208)="","",INDEX('Prospect Tracker'!$J$5:$J$554,$K208)))</f>
        <v/>
      </c>
      <c r="G208" s="30">
        <f>IF($K208="","",IF(INDEX('Prospect Tracker'!$H$5:$H$554,$K208)="","",INDEX('Prospect Tracker'!$H$5:$H$554,$K208)))</f>
        <v/>
      </c>
      <c r="H208" s="31">
        <f>IF($K208="","",IF(INDEX('Prospect Tracker'!$K$5:$K$554,$K208)="","",INDEX('Prospect Tracker'!$K$5:$K$554,$K208)))</f>
        <v/>
      </c>
      <c r="I208" s="30">
        <f>IF($K208="","",IF(INDEX('Prospect Tracker'!$T$5:$T$554,$K208)="","",INDEX('Prospect Tracker'!$T$5:$T$554,$K208)))</f>
        <v/>
      </c>
      <c r="J208" s="30">
        <f>IF($K208="","",IF(INDEX('Prospect Tracker'!$L$5:$L$554,$K208)="","",INDEX('Prospect Tracker'!$L$5:$L$554,$K208)))</f>
        <v/>
      </c>
      <c r="K208" s="19">
        <f>IFERROR(MATCH(SMALL('Prospect Tracker'!$X$5:$X$554,ROW()-4),'Prospect Tracker'!$X$5:$X$554,0),"")</f>
        <v/>
      </c>
    </row>
    <row r="209" ht="15" customHeight="1" s="20">
      <c r="A209" s="25">
        <f>IF($K209="","",IF(INDEX('Prospect Tracker'!$W$5:$W$554,$K209)="","",INDEX('Prospect Tracker'!$W$5:$W$554,$K209)))</f>
        <v/>
      </c>
      <c r="B209" s="25">
        <f>IF($K209="","",IF(INDEX('Prospect Tracker'!$A$5:$A$554,$K209)="","",INDEX('Prospect Tracker'!$A$5:$A$554,$K209)))</f>
        <v/>
      </c>
      <c r="C209" s="25">
        <f>IF($K209="","",IF(INDEX('Prospect Tracker'!$B$5:$B$554,$K209)="","",INDEX('Prospect Tracker'!$B$5:$B$554,$K209)))</f>
        <v/>
      </c>
      <c r="D209" s="25">
        <f>IF($K209="","",IF(INDEX('Prospect Tracker'!$M$5:$M$554,$K209)="","",INDEX('Prospect Tracker'!$M$5:$M$554,$K209)))</f>
        <v/>
      </c>
      <c r="E209" s="25">
        <f>IF($K209="","",IF(INDEX('Prospect Tracker'!$R$5:$R$554,$K209)="","",INDEX('Prospect Tracker'!$R$5:$R$554,$K209)))</f>
        <v/>
      </c>
      <c r="F209" s="25">
        <f>IF($K209="","",IF(INDEX('Prospect Tracker'!$J$5:$J$554,$K209)="","",INDEX('Prospect Tracker'!$J$5:$J$554,$K209)))</f>
        <v/>
      </c>
      <c r="G209" s="25">
        <f>IF($K209="","",IF(INDEX('Prospect Tracker'!$H$5:$H$554,$K209)="","",INDEX('Prospect Tracker'!$H$5:$H$554,$K209)))</f>
        <v/>
      </c>
      <c r="H209" s="26">
        <f>IF($K209="","",IF(INDEX('Prospect Tracker'!$K$5:$K$554,$K209)="","",INDEX('Prospect Tracker'!$K$5:$K$554,$K209)))</f>
        <v/>
      </c>
      <c r="I209" s="25">
        <f>IF($K209="","",IF(INDEX('Prospect Tracker'!$T$5:$T$554,$K209)="","",INDEX('Prospect Tracker'!$T$5:$T$554,$K209)))</f>
        <v/>
      </c>
      <c r="J209" s="25">
        <f>IF($K209="","",IF(INDEX('Prospect Tracker'!$L$5:$L$554,$K209)="","",INDEX('Prospect Tracker'!$L$5:$L$554,$K209)))</f>
        <v/>
      </c>
      <c r="K209" s="19">
        <f>IFERROR(MATCH(SMALL('Prospect Tracker'!$X$5:$X$554,ROW()-4),'Prospect Tracker'!$X$5:$X$554,0),"")</f>
        <v/>
      </c>
    </row>
    <row r="210" ht="15" customHeight="1" s="20">
      <c r="A210" s="30">
        <f>IF($K210="","",IF(INDEX('Prospect Tracker'!$W$5:$W$554,$K210)="","",INDEX('Prospect Tracker'!$W$5:$W$554,$K210)))</f>
        <v/>
      </c>
      <c r="B210" s="30">
        <f>IF($K210="","",IF(INDEX('Prospect Tracker'!$A$5:$A$554,$K210)="","",INDEX('Prospect Tracker'!$A$5:$A$554,$K210)))</f>
        <v/>
      </c>
      <c r="C210" s="30">
        <f>IF($K210="","",IF(INDEX('Prospect Tracker'!$B$5:$B$554,$K210)="","",INDEX('Prospect Tracker'!$B$5:$B$554,$K210)))</f>
        <v/>
      </c>
      <c r="D210" s="30">
        <f>IF($K210="","",IF(INDEX('Prospect Tracker'!$M$5:$M$554,$K210)="","",INDEX('Prospect Tracker'!$M$5:$M$554,$K210)))</f>
        <v/>
      </c>
      <c r="E210" s="30">
        <f>IF($K210="","",IF(INDEX('Prospect Tracker'!$R$5:$R$554,$K210)="","",INDEX('Prospect Tracker'!$R$5:$R$554,$K210)))</f>
        <v/>
      </c>
      <c r="F210" s="30">
        <f>IF($K210="","",IF(INDEX('Prospect Tracker'!$J$5:$J$554,$K210)="","",INDEX('Prospect Tracker'!$J$5:$J$554,$K210)))</f>
        <v/>
      </c>
      <c r="G210" s="30">
        <f>IF($K210="","",IF(INDEX('Prospect Tracker'!$H$5:$H$554,$K210)="","",INDEX('Prospect Tracker'!$H$5:$H$554,$K210)))</f>
        <v/>
      </c>
      <c r="H210" s="31">
        <f>IF($K210="","",IF(INDEX('Prospect Tracker'!$K$5:$K$554,$K210)="","",INDEX('Prospect Tracker'!$K$5:$K$554,$K210)))</f>
        <v/>
      </c>
      <c r="I210" s="30">
        <f>IF($K210="","",IF(INDEX('Prospect Tracker'!$T$5:$T$554,$K210)="","",INDEX('Prospect Tracker'!$T$5:$T$554,$K210)))</f>
        <v/>
      </c>
      <c r="J210" s="30">
        <f>IF($K210="","",IF(INDEX('Prospect Tracker'!$L$5:$L$554,$K210)="","",INDEX('Prospect Tracker'!$L$5:$L$554,$K210)))</f>
        <v/>
      </c>
      <c r="K210" s="19">
        <f>IFERROR(MATCH(SMALL('Prospect Tracker'!$X$5:$X$554,ROW()-4),'Prospect Tracker'!$X$5:$X$554,0),"")</f>
        <v/>
      </c>
    </row>
    <row r="211" ht="15" customHeight="1" s="20">
      <c r="A211" s="25">
        <f>IF($K211="","",IF(INDEX('Prospect Tracker'!$W$5:$W$554,$K211)="","",INDEX('Prospect Tracker'!$W$5:$W$554,$K211)))</f>
        <v/>
      </c>
      <c r="B211" s="25">
        <f>IF($K211="","",IF(INDEX('Prospect Tracker'!$A$5:$A$554,$K211)="","",INDEX('Prospect Tracker'!$A$5:$A$554,$K211)))</f>
        <v/>
      </c>
      <c r="C211" s="25">
        <f>IF($K211="","",IF(INDEX('Prospect Tracker'!$B$5:$B$554,$K211)="","",INDEX('Prospect Tracker'!$B$5:$B$554,$K211)))</f>
        <v/>
      </c>
      <c r="D211" s="25">
        <f>IF($K211="","",IF(INDEX('Prospect Tracker'!$M$5:$M$554,$K211)="","",INDEX('Prospect Tracker'!$M$5:$M$554,$K211)))</f>
        <v/>
      </c>
      <c r="E211" s="25">
        <f>IF($K211="","",IF(INDEX('Prospect Tracker'!$R$5:$R$554,$K211)="","",INDEX('Prospect Tracker'!$R$5:$R$554,$K211)))</f>
        <v/>
      </c>
      <c r="F211" s="25">
        <f>IF($K211="","",IF(INDEX('Prospect Tracker'!$J$5:$J$554,$K211)="","",INDEX('Prospect Tracker'!$J$5:$J$554,$K211)))</f>
        <v/>
      </c>
      <c r="G211" s="25">
        <f>IF($K211="","",IF(INDEX('Prospect Tracker'!$H$5:$H$554,$K211)="","",INDEX('Prospect Tracker'!$H$5:$H$554,$K211)))</f>
        <v/>
      </c>
      <c r="H211" s="26">
        <f>IF($K211="","",IF(INDEX('Prospect Tracker'!$K$5:$K$554,$K211)="","",INDEX('Prospect Tracker'!$K$5:$K$554,$K211)))</f>
        <v/>
      </c>
      <c r="I211" s="25">
        <f>IF($K211="","",IF(INDEX('Prospect Tracker'!$T$5:$T$554,$K211)="","",INDEX('Prospect Tracker'!$T$5:$T$554,$K211)))</f>
        <v/>
      </c>
      <c r="J211" s="25">
        <f>IF($K211="","",IF(INDEX('Prospect Tracker'!$L$5:$L$554,$K211)="","",INDEX('Prospect Tracker'!$L$5:$L$554,$K211)))</f>
        <v/>
      </c>
      <c r="K211" s="19">
        <f>IFERROR(MATCH(SMALL('Prospect Tracker'!$X$5:$X$554,ROW()-4),'Prospect Tracker'!$X$5:$X$554,0),"")</f>
        <v/>
      </c>
    </row>
    <row r="212" ht="15" customHeight="1" s="20">
      <c r="A212" s="30">
        <f>IF($K212="","",IF(INDEX('Prospect Tracker'!$W$5:$W$554,$K212)="","",INDEX('Prospect Tracker'!$W$5:$W$554,$K212)))</f>
        <v/>
      </c>
      <c r="B212" s="30">
        <f>IF($K212="","",IF(INDEX('Prospect Tracker'!$A$5:$A$554,$K212)="","",INDEX('Prospect Tracker'!$A$5:$A$554,$K212)))</f>
        <v/>
      </c>
      <c r="C212" s="30">
        <f>IF($K212="","",IF(INDEX('Prospect Tracker'!$B$5:$B$554,$K212)="","",INDEX('Prospect Tracker'!$B$5:$B$554,$K212)))</f>
        <v/>
      </c>
      <c r="D212" s="30">
        <f>IF($K212="","",IF(INDEX('Prospect Tracker'!$M$5:$M$554,$K212)="","",INDEX('Prospect Tracker'!$M$5:$M$554,$K212)))</f>
        <v/>
      </c>
      <c r="E212" s="30">
        <f>IF($K212="","",IF(INDEX('Prospect Tracker'!$R$5:$R$554,$K212)="","",INDEX('Prospect Tracker'!$R$5:$R$554,$K212)))</f>
        <v/>
      </c>
      <c r="F212" s="30">
        <f>IF($K212="","",IF(INDEX('Prospect Tracker'!$J$5:$J$554,$K212)="","",INDEX('Prospect Tracker'!$J$5:$J$554,$K212)))</f>
        <v/>
      </c>
      <c r="G212" s="30">
        <f>IF($K212="","",IF(INDEX('Prospect Tracker'!$H$5:$H$554,$K212)="","",INDEX('Prospect Tracker'!$H$5:$H$554,$K212)))</f>
        <v/>
      </c>
      <c r="H212" s="31">
        <f>IF($K212="","",IF(INDEX('Prospect Tracker'!$K$5:$K$554,$K212)="","",INDEX('Prospect Tracker'!$K$5:$K$554,$K212)))</f>
        <v/>
      </c>
      <c r="I212" s="30">
        <f>IF($K212="","",IF(INDEX('Prospect Tracker'!$T$5:$T$554,$K212)="","",INDEX('Prospect Tracker'!$T$5:$T$554,$K212)))</f>
        <v/>
      </c>
      <c r="J212" s="30">
        <f>IF($K212="","",IF(INDEX('Prospect Tracker'!$L$5:$L$554,$K212)="","",INDEX('Prospect Tracker'!$L$5:$L$554,$K212)))</f>
        <v/>
      </c>
      <c r="K212" s="19">
        <f>IFERROR(MATCH(SMALL('Prospect Tracker'!$X$5:$X$554,ROW()-4),'Prospect Tracker'!$X$5:$X$554,0),"")</f>
        <v/>
      </c>
    </row>
    <row r="213" ht="15" customHeight="1" s="20">
      <c r="A213" s="25">
        <f>IF($K213="","",IF(INDEX('Prospect Tracker'!$W$5:$W$554,$K213)="","",INDEX('Prospect Tracker'!$W$5:$W$554,$K213)))</f>
        <v/>
      </c>
      <c r="B213" s="25">
        <f>IF($K213="","",IF(INDEX('Prospect Tracker'!$A$5:$A$554,$K213)="","",INDEX('Prospect Tracker'!$A$5:$A$554,$K213)))</f>
        <v/>
      </c>
      <c r="C213" s="25">
        <f>IF($K213="","",IF(INDEX('Prospect Tracker'!$B$5:$B$554,$K213)="","",INDEX('Prospect Tracker'!$B$5:$B$554,$K213)))</f>
        <v/>
      </c>
      <c r="D213" s="25">
        <f>IF($K213="","",IF(INDEX('Prospect Tracker'!$M$5:$M$554,$K213)="","",INDEX('Prospect Tracker'!$M$5:$M$554,$K213)))</f>
        <v/>
      </c>
      <c r="E213" s="25">
        <f>IF($K213="","",IF(INDEX('Prospect Tracker'!$R$5:$R$554,$K213)="","",INDEX('Prospect Tracker'!$R$5:$R$554,$K213)))</f>
        <v/>
      </c>
      <c r="F213" s="25">
        <f>IF($K213="","",IF(INDEX('Prospect Tracker'!$J$5:$J$554,$K213)="","",INDEX('Prospect Tracker'!$J$5:$J$554,$K213)))</f>
        <v/>
      </c>
      <c r="G213" s="25">
        <f>IF($K213="","",IF(INDEX('Prospect Tracker'!$H$5:$H$554,$K213)="","",INDEX('Prospect Tracker'!$H$5:$H$554,$K213)))</f>
        <v/>
      </c>
      <c r="H213" s="26">
        <f>IF($K213="","",IF(INDEX('Prospect Tracker'!$K$5:$K$554,$K213)="","",INDEX('Prospect Tracker'!$K$5:$K$554,$K213)))</f>
        <v/>
      </c>
      <c r="I213" s="25">
        <f>IF($K213="","",IF(INDEX('Prospect Tracker'!$T$5:$T$554,$K213)="","",INDEX('Prospect Tracker'!$T$5:$T$554,$K213)))</f>
        <v/>
      </c>
      <c r="J213" s="25">
        <f>IF($K213="","",IF(INDEX('Prospect Tracker'!$L$5:$L$554,$K213)="","",INDEX('Prospect Tracker'!$L$5:$L$554,$K213)))</f>
        <v/>
      </c>
      <c r="K213" s="19">
        <f>IFERROR(MATCH(SMALL('Prospect Tracker'!$X$5:$X$554,ROW()-4),'Prospect Tracker'!$X$5:$X$554,0),"")</f>
        <v/>
      </c>
    </row>
    <row r="214" ht="15" customHeight="1" s="20">
      <c r="A214" s="30">
        <f>IF($K214="","",IF(INDEX('Prospect Tracker'!$W$5:$W$554,$K214)="","",INDEX('Prospect Tracker'!$W$5:$W$554,$K214)))</f>
        <v/>
      </c>
      <c r="B214" s="30">
        <f>IF($K214="","",IF(INDEX('Prospect Tracker'!$A$5:$A$554,$K214)="","",INDEX('Prospect Tracker'!$A$5:$A$554,$K214)))</f>
        <v/>
      </c>
      <c r="C214" s="30">
        <f>IF($K214="","",IF(INDEX('Prospect Tracker'!$B$5:$B$554,$K214)="","",INDEX('Prospect Tracker'!$B$5:$B$554,$K214)))</f>
        <v/>
      </c>
      <c r="D214" s="30">
        <f>IF($K214="","",IF(INDEX('Prospect Tracker'!$M$5:$M$554,$K214)="","",INDEX('Prospect Tracker'!$M$5:$M$554,$K214)))</f>
        <v/>
      </c>
      <c r="E214" s="30">
        <f>IF($K214="","",IF(INDEX('Prospect Tracker'!$R$5:$R$554,$K214)="","",INDEX('Prospect Tracker'!$R$5:$R$554,$K214)))</f>
        <v/>
      </c>
      <c r="F214" s="30">
        <f>IF($K214="","",IF(INDEX('Prospect Tracker'!$J$5:$J$554,$K214)="","",INDEX('Prospect Tracker'!$J$5:$J$554,$K214)))</f>
        <v/>
      </c>
      <c r="G214" s="30">
        <f>IF($K214="","",IF(INDEX('Prospect Tracker'!$H$5:$H$554,$K214)="","",INDEX('Prospect Tracker'!$H$5:$H$554,$K214)))</f>
        <v/>
      </c>
      <c r="H214" s="31">
        <f>IF($K214="","",IF(INDEX('Prospect Tracker'!$K$5:$K$554,$K214)="","",INDEX('Prospect Tracker'!$K$5:$K$554,$K214)))</f>
        <v/>
      </c>
      <c r="I214" s="30">
        <f>IF($K214="","",IF(INDEX('Prospect Tracker'!$T$5:$T$554,$K214)="","",INDEX('Prospect Tracker'!$T$5:$T$554,$K214)))</f>
        <v/>
      </c>
      <c r="J214" s="30">
        <f>IF($K214="","",IF(INDEX('Prospect Tracker'!$L$5:$L$554,$K214)="","",INDEX('Prospect Tracker'!$L$5:$L$554,$K214)))</f>
        <v/>
      </c>
      <c r="K214" s="19">
        <f>IFERROR(MATCH(SMALL('Prospect Tracker'!$X$5:$X$554,ROW()-4),'Prospect Tracker'!$X$5:$X$554,0),"")</f>
        <v/>
      </c>
    </row>
    <row r="215" ht="15" customHeight="1" s="20">
      <c r="A215" s="25">
        <f>IF($K215="","",IF(INDEX('Prospect Tracker'!$W$5:$W$554,$K215)="","",INDEX('Prospect Tracker'!$W$5:$W$554,$K215)))</f>
        <v/>
      </c>
      <c r="B215" s="25">
        <f>IF($K215="","",IF(INDEX('Prospect Tracker'!$A$5:$A$554,$K215)="","",INDEX('Prospect Tracker'!$A$5:$A$554,$K215)))</f>
        <v/>
      </c>
      <c r="C215" s="25">
        <f>IF($K215="","",IF(INDEX('Prospect Tracker'!$B$5:$B$554,$K215)="","",INDEX('Prospect Tracker'!$B$5:$B$554,$K215)))</f>
        <v/>
      </c>
      <c r="D215" s="25">
        <f>IF($K215="","",IF(INDEX('Prospect Tracker'!$M$5:$M$554,$K215)="","",INDEX('Prospect Tracker'!$M$5:$M$554,$K215)))</f>
        <v/>
      </c>
      <c r="E215" s="25">
        <f>IF($K215="","",IF(INDEX('Prospect Tracker'!$R$5:$R$554,$K215)="","",INDEX('Prospect Tracker'!$R$5:$R$554,$K215)))</f>
        <v/>
      </c>
      <c r="F215" s="25">
        <f>IF($K215="","",IF(INDEX('Prospect Tracker'!$J$5:$J$554,$K215)="","",INDEX('Prospect Tracker'!$J$5:$J$554,$K215)))</f>
        <v/>
      </c>
      <c r="G215" s="25">
        <f>IF($K215="","",IF(INDEX('Prospect Tracker'!$H$5:$H$554,$K215)="","",INDEX('Prospect Tracker'!$H$5:$H$554,$K215)))</f>
        <v/>
      </c>
      <c r="H215" s="26">
        <f>IF($K215="","",IF(INDEX('Prospect Tracker'!$K$5:$K$554,$K215)="","",INDEX('Prospect Tracker'!$K$5:$K$554,$K215)))</f>
        <v/>
      </c>
      <c r="I215" s="25">
        <f>IF($K215="","",IF(INDEX('Prospect Tracker'!$T$5:$T$554,$K215)="","",INDEX('Prospect Tracker'!$T$5:$T$554,$K215)))</f>
        <v/>
      </c>
      <c r="J215" s="25">
        <f>IF($K215="","",IF(INDEX('Prospect Tracker'!$L$5:$L$554,$K215)="","",INDEX('Prospect Tracker'!$L$5:$L$554,$K215)))</f>
        <v/>
      </c>
      <c r="K215" s="19">
        <f>IFERROR(MATCH(SMALL('Prospect Tracker'!$X$5:$X$554,ROW()-4),'Prospect Tracker'!$X$5:$X$554,0),"")</f>
        <v/>
      </c>
    </row>
    <row r="216" ht="15" customHeight="1" s="20">
      <c r="A216" s="30">
        <f>IF($K216="","",IF(INDEX('Prospect Tracker'!$W$5:$W$554,$K216)="","",INDEX('Prospect Tracker'!$W$5:$W$554,$K216)))</f>
        <v/>
      </c>
      <c r="B216" s="30">
        <f>IF($K216="","",IF(INDEX('Prospect Tracker'!$A$5:$A$554,$K216)="","",INDEX('Prospect Tracker'!$A$5:$A$554,$K216)))</f>
        <v/>
      </c>
      <c r="C216" s="30">
        <f>IF($K216="","",IF(INDEX('Prospect Tracker'!$B$5:$B$554,$K216)="","",INDEX('Prospect Tracker'!$B$5:$B$554,$K216)))</f>
        <v/>
      </c>
      <c r="D216" s="30">
        <f>IF($K216="","",IF(INDEX('Prospect Tracker'!$M$5:$M$554,$K216)="","",INDEX('Prospect Tracker'!$M$5:$M$554,$K216)))</f>
        <v/>
      </c>
      <c r="E216" s="30">
        <f>IF($K216="","",IF(INDEX('Prospect Tracker'!$R$5:$R$554,$K216)="","",INDEX('Prospect Tracker'!$R$5:$R$554,$K216)))</f>
        <v/>
      </c>
      <c r="F216" s="30">
        <f>IF($K216="","",IF(INDEX('Prospect Tracker'!$J$5:$J$554,$K216)="","",INDEX('Prospect Tracker'!$J$5:$J$554,$K216)))</f>
        <v/>
      </c>
      <c r="G216" s="30">
        <f>IF($K216="","",IF(INDEX('Prospect Tracker'!$H$5:$H$554,$K216)="","",INDEX('Prospect Tracker'!$H$5:$H$554,$K216)))</f>
        <v/>
      </c>
      <c r="H216" s="31">
        <f>IF($K216="","",IF(INDEX('Prospect Tracker'!$K$5:$K$554,$K216)="","",INDEX('Prospect Tracker'!$K$5:$K$554,$K216)))</f>
        <v/>
      </c>
      <c r="I216" s="30">
        <f>IF($K216="","",IF(INDEX('Prospect Tracker'!$T$5:$T$554,$K216)="","",INDEX('Prospect Tracker'!$T$5:$T$554,$K216)))</f>
        <v/>
      </c>
      <c r="J216" s="30">
        <f>IF($K216="","",IF(INDEX('Prospect Tracker'!$L$5:$L$554,$K216)="","",INDEX('Prospect Tracker'!$L$5:$L$554,$K216)))</f>
        <v/>
      </c>
      <c r="K216" s="19">
        <f>IFERROR(MATCH(SMALL('Prospect Tracker'!$X$5:$X$554,ROW()-4),'Prospect Tracker'!$X$5:$X$554,0),"")</f>
        <v/>
      </c>
    </row>
    <row r="217" ht="15" customHeight="1" s="20">
      <c r="A217" s="25">
        <f>IF($K217="","",IF(INDEX('Prospect Tracker'!$W$5:$W$554,$K217)="","",INDEX('Prospect Tracker'!$W$5:$W$554,$K217)))</f>
        <v/>
      </c>
      <c r="B217" s="25">
        <f>IF($K217="","",IF(INDEX('Prospect Tracker'!$A$5:$A$554,$K217)="","",INDEX('Prospect Tracker'!$A$5:$A$554,$K217)))</f>
        <v/>
      </c>
      <c r="C217" s="25">
        <f>IF($K217="","",IF(INDEX('Prospect Tracker'!$B$5:$B$554,$K217)="","",INDEX('Prospect Tracker'!$B$5:$B$554,$K217)))</f>
        <v/>
      </c>
      <c r="D217" s="25">
        <f>IF($K217="","",IF(INDEX('Prospect Tracker'!$M$5:$M$554,$K217)="","",INDEX('Prospect Tracker'!$M$5:$M$554,$K217)))</f>
        <v/>
      </c>
      <c r="E217" s="25">
        <f>IF($K217="","",IF(INDEX('Prospect Tracker'!$R$5:$R$554,$K217)="","",INDEX('Prospect Tracker'!$R$5:$R$554,$K217)))</f>
        <v/>
      </c>
      <c r="F217" s="25">
        <f>IF($K217="","",IF(INDEX('Prospect Tracker'!$J$5:$J$554,$K217)="","",INDEX('Prospect Tracker'!$J$5:$J$554,$K217)))</f>
        <v/>
      </c>
      <c r="G217" s="25">
        <f>IF($K217="","",IF(INDEX('Prospect Tracker'!$H$5:$H$554,$K217)="","",INDEX('Prospect Tracker'!$H$5:$H$554,$K217)))</f>
        <v/>
      </c>
      <c r="H217" s="26">
        <f>IF($K217="","",IF(INDEX('Prospect Tracker'!$K$5:$K$554,$K217)="","",INDEX('Prospect Tracker'!$K$5:$K$554,$K217)))</f>
        <v/>
      </c>
      <c r="I217" s="25">
        <f>IF($K217="","",IF(INDEX('Prospect Tracker'!$T$5:$T$554,$K217)="","",INDEX('Prospect Tracker'!$T$5:$T$554,$K217)))</f>
        <v/>
      </c>
      <c r="J217" s="25">
        <f>IF($K217="","",IF(INDEX('Prospect Tracker'!$L$5:$L$554,$K217)="","",INDEX('Prospect Tracker'!$L$5:$L$554,$K217)))</f>
        <v/>
      </c>
      <c r="K217" s="19">
        <f>IFERROR(MATCH(SMALL('Prospect Tracker'!$X$5:$X$554,ROW()-4),'Prospect Tracker'!$X$5:$X$554,0),"")</f>
        <v/>
      </c>
    </row>
    <row r="218" ht="15" customHeight="1" s="20">
      <c r="A218" s="30">
        <f>IF($K218="","",IF(INDEX('Prospect Tracker'!$W$5:$W$554,$K218)="","",INDEX('Prospect Tracker'!$W$5:$W$554,$K218)))</f>
        <v/>
      </c>
      <c r="B218" s="30">
        <f>IF($K218="","",IF(INDEX('Prospect Tracker'!$A$5:$A$554,$K218)="","",INDEX('Prospect Tracker'!$A$5:$A$554,$K218)))</f>
        <v/>
      </c>
      <c r="C218" s="30">
        <f>IF($K218="","",IF(INDEX('Prospect Tracker'!$B$5:$B$554,$K218)="","",INDEX('Prospect Tracker'!$B$5:$B$554,$K218)))</f>
        <v/>
      </c>
      <c r="D218" s="30">
        <f>IF($K218="","",IF(INDEX('Prospect Tracker'!$M$5:$M$554,$K218)="","",INDEX('Prospect Tracker'!$M$5:$M$554,$K218)))</f>
        <v/>
      </c>
      <c r="E218" s="30">
        <f>IF($K218="","",IF(INDEX('Prospect Tracker'!$R$5:$R$554,$K218)="","",INDEX('Prospect Tracker'!$R$5:$R$554,$K218)))</f>
        <v/>
      </c>
      <c r="F218" s="30">
        <f>IF($K218="","",IF(INDEX('Prospect Tracker'!$J$5:$J$554,$K218)="","",INDEX('Prospect Tracker'!$J$5:$J$554,$K218)))</f>
        <v/>
      </c>
      <c r="G218" s="30">
        <f>IF($K218="","",IF(INDEX('Prospect Tracker'!$H$5:$H$554,$K218)="","",INDEX('Prospect Tracker'!$H$5:$H$554,$K218)))</f>
        <v/>
      </c>
      <c r="H218" s="31">
        <f>IF($K218="","",IF(INDEX('Prospect Tracker'!$K$5:$K$554,$K218)="","",INDEX('Prospect Tracker'!$K$5:$K$554,$K218)))</f>
        <v/>
      </c>
      <c r="I218" s="30">
        <f>IF($K218="","",IF(INDEX('Prospect Tracker'!$T$5:$T$554,$K218)="","",INDEX('Prospect Tracker'!$T$5:$T$554,$K218)))</f>
        <v/>
      </c>
      <c r="J218" s="30">
        <f>IF($K218="","",IF(INDEX('Prospect Tracker'!$L$5:$L$554,$K218)="","",INDEX('Prospect Tracker'!$L$5:$L$554,$K218)))</f>
        <v/>
      </c>
      <c r="K218" s="19">
        <f>IFERROR(MATCH(SMALL('Prospect Tracker'!$X$5:$X$554,ROW()-4),'Prospect Tracker'!$X$5:$X$554,0),"")</f>
        <v/>
      </c>
    </row>
    <row r="219" ht="15" customHeight="1" s="20">
      <c r="A219" s="25">
        <f>IF($K219="","",IF(INDEX('Prospect Tracker'!$W$5:$W$554,$K219)="","",INDEX('Prospect Tracker'!$W$5:$W$554,$K219)))</f>
        <v/>
      </c>
      <c r="B219" s="25">
        <f>IF($K219="","",IF(INDEX('Prospect Tracker'!$A$5:$A$554,$K219)="","",INDEX('Prospect Tracker'!$A$5:$A$554,$K219)))</f>
        <v/>
      </c>
      <c r="C219" s="25">
        <f>IF($K219="","",IF(INDEX('Prospect Tracker'!$B$5:$B$554,$K219)="","",INDEX('Prospect Tracker'!$B$5:$B$554,$K219)))</f>
        <v/>
      </c>
      <c r="D219" s="25">
        <f>IF($K219="","",IF(INDEX('Prospect Tracker'!$M$5:$M$554,$K219)="","",INDEX('Prospect Tracker'!$M$5:$M$554,$K219)))</f>
        <v/>
      </c>
      <c r="E219" s="25">
        <f>IF($K219="","",IF(INDEX('Prospect Tracker'!$R$5:$R$554,$K219)="","",INDEX('Prospect Tracker'!$R$5:$R$554,$K219)))</f>
        <v/>
      </c>
      <c r="F219" s="25">
        <f>IF($K219="","",IF(INDEX('Prospect Tracker'!$J$5:$J$554,$K219)="","",INDEX('Prospect Tracker'!$J$5:$J$554,$K219)))</f>
        <v/>
      </c>
      <c r="G219" s="25">
        <f>IF($K219="","",IF(INDEX('Prospect Tracker'!$H$5:$H$554,$K219)="","",INDEX('Prospect Tracker'!$H$5:$H$554,$K219)))</f>
        <v/>
      </c>
      <c r="H219" s="26">
        <f>IF($K219="","",IF(INDEX('Prospect Tracker'!$K$5:$K$554,$K219)="","",INDEX('Prospect Tracker'!$K$5:$K$554,$K219)))</f>
        <v/>
      </c>
      <c r="I219" s="25">
        <f>IF($K219="","",IF(INDEX('Prospect Tracker'!$T$5:$T$554,$K219)="","",INDEX('Prospect Tracker'!$T$5:$T$554,$K219)))</f>
        <v/>
      </c>
      <c r="J219" s="25">
        <f>IF($K219="","",IF(INDEX('Prospect Tracker'!$L$5:$L$554,$K219)="","",INDEX('Prospect Tracker'!$L$5:$L$554,$K219)))</f>
        <v/>
      </c>
      <c r="K219" s="19">
        <f>IFERROR(MATCH(SMALL('Prospect Tracker'!$X$5:$X$554,ROW()-4),'Prospect Tracker'!$X$5:$X$554,0),"")</f>
        <v/>
      </c>
    </row>
    <row r="220" ht="15" customHeight="1" s="20">
      <c r="A220" s="30">
        <f>IF($K220="","",IF(INDEX('Prospect Tracker'!$W$5:$W$554,$K220)="","",INDEX('Prospect Tracker'!$W$5:$W$554,$K220)))</f>
        <v/>
      </c>
      <c r="B220" s="30">
        <f>IF($K220="","",IF(INDEX('Prospect Tracker'!$A$5:$A$554,$K220)="","",INDEX('Prospect Tracker'!$A$5:$A$554,$K220)))</f>
        <v/>
      </c>
      <c r="C220" s="30">
        <f>IF($K220="","",IF(INDEX('Prospect Tracker'!$B$5:$B$554,$K220)="","",INDEX('Prospect Tracker'!$B$5:$B$554,$K220)))</f>
        <v/>
      </c>
      <c r="D220" s="30">
        <f>IF($K220="","",IF(INDEX('Prospect Tracker'!$M$5:$M$554,$K220)="","",INDEX('Prospect Tracker'!$M$5:$M$554,$K220)))</f>
        <v/>
      </c>
      <c r="E220" s="30">
        <f>IF($K220="","",IF(INDEX('Prospect Tracker'!$R$5:$R$554,$K220)="","",INDEX('Prospect Tracker'!$R$5:$R$554,$K220)))</f>
        <v/>
      </c>
      <c r="F220" s="30">
        <f>IF($K220="","",IF(INDEX('Prospect Tracker'!$J$5:$J$554,$K220)="","",INDEX('Prospect Tracker'!$J$5:$J$554,$K220)))</f>
        <v/>
      </c>
      <c r="G220" s="30">
        <f>IF($K220="","",IF(INDEX('Prospect Tracker'!$H$5:$H$554,$K220)="","",INDEX('Prospect Tracker'!$H$5:$H$554,$K220)))</f>
        <v/>
      </c>
      <c r="H220" s="31">
        <f>IF($K220="","",IF(INDEX('Prospect Tracker'!$K$5:$K$554,$K220)="","",INDEX('Prospect Tracker'!$K$5:$K$554,$K220)))</f>
        <v/>
      </c>
      <c r="I220" s="30">
        <f>IF($K220="","",IF(INDEX('Prospect Tracker'!$T$5:$T$554,$K220)="","",INDEX('Prospect Tracker'!$T$5:$T$554,$K220)))</f>
        <v/>
      </c>
      <c r="J220" s="30">
        <f>IF($K220="","",IF(INDEX('Prospect Tracker'!$L$5:$L$554,$K220)="","",INDEX('Prospect Tracker'!$L$5:$L$554,$K220)))</f>
        <v/>
      </c>
      <c r="K220" s="19">
        <f>IFERROR(MATCH(SMALL('Prospect Tracker'!$X$5:$X$554,ROW()-4),'Prospect Tracker'!$X$5:$X$554,0),"")</f>
        <v/>
      </c>
    </row>
    <row r="221" ht="15" customHeight="1" s="20">
      <c r="A221" s="25">
        <f>IF($K221="","",IF(INDEX('Prospect Tracker'!$W$5:$W$554,$K221)="","",INDEX('Prospect Tracker'!$W$5:$W$554,$K221)))</f>
        <v/>
      </c>
      <c r="B221" s="25">
        <f>IF($K221="","",IF(INDEX('Prospect Tracker'!$A$5:$A$554,$K221)="","",INDEX('Prospect Tracker'!$A$5:$A$554,$K221)))</f>
        <v/>
      </c>
      <c r="C221" s="25">
        <f>IF($K221="","",IF(INDEX('Prospect Tracker'!$B$5:$B$554,$K221)="","",INDEX('Prospect Tracker'!$B$5:$B$554,$K221)))</f>
        <v/>
      </c>
      <c r="D221" s="25">
        <f>IF($K221="","",IF(INDEX('Prospect Tracker'!$M$5:$M$554,$K221)="","",INDEX('Prospect Tracker'!$M$5:$M$554,$K221)))</f>
        <v/>
      </c>
      <c r="E221" s="25">
        <f>IF($K221="","",IF(INDEX('Prospect Tracker'!$R$5:$R$554,$K221)="","",INDEX('Prospect Tracker'!$R$5:$R$554,$K221)))</f>
        <v/>
      </c>
      <c r="F221" s="25">
        <f>IF($K221="","",IF(INDEX('Prospect Tracker'!$J$5:$J$554,$K221)="","",INDEX('Prospect Tracker'!$J$5:$J$554,$K221)))</f>
        <v/>
      </c>
      <c r="G221" s="25">
        <f>IF($K221="","",IF(INDEX('Prospect Tracker'!$H$5:$H$554,$K221)="","",INDEX('Prospect Tracker'!$H$5:$H$554,$K221)))</f>
        <v/>
      </c>
      <c r="H221" s="26">
        <f>IF($K221="","",IF(INDEX('Prospect Tracker'!$K$5:$K$554,$K221)="","",INDEX('Prospect Tracker'!$K$5:$K$554,$K221)))</f>
        <v/>
      </c>
      <c r="I221" s="25">
        <f>IF($K221="","",IF(INDEX('Prospect Tracker'!$T$5:$T$554,$K221)="","",INDEX('Prospect Tracker'!$T$5:$T$554,$K221)))</f>
        <v/>
      </c>
      <c r="J221" s="25">
        <f>IF($K221="","",IF(INDEX('Prospect Tracker'!$L$5:$L$554,$K221)="","",INDEX('Prospect Tracker'!$L$5:$L$554,$K221)))</f>
        <v/>
      </c>
      <c r="K221" s="19">
        <f>IFERROR(MATCH(SMALL('Prospect Tracker'!$X$5:$X$554,ROW()-4),'Prospect Tracker'!$X$5:$X$554,0),"")</f>
        <v/>
      </c>
    </row>
    <row r="222" ht="15" customHeight="1" s="20">
      <c r="A222" s="30">
        <f>IF($K222="","",IF(INDEX('Prospect Tracker'!$W$5:$W$554,$K222)="","",INDEX('Prospect Tracker'!$W$5:$W$554,$K222)))</f>
        <v/>
      </c>
      <c r="B222" s="30">
        <f>IF($K222="","",IF(INDEX('Prospect Tracker'!$A$5:$A$554,$K222)="","",INDEX('Prospect Tracker'!$A$5:$A$554,$K222)))</f>
        <v/>
      </c>
      <c r="C222" s="30">
        <f>IF($K222="","",IF(INDEX('Prospect Tracker'!$B$5:$B$554,$K222)="","",INDEX('Prospect Tracker'!$B$5:$B$554,$K222)))</f>
        <v/>
      </c>
      <c r="D222" s="30">
        <f>IF($K222="","",IF(INDEX('Prospect Tracker'!$M$5:$M$554,$K222)="","",INDEX('Prospect Tracker'!$M$5:$M$554,$K222)))</f>
        <v/>
      </c>
      <c r="E222" s="30">
        <f>IF($K222="","",IF(INDEX('Prospect Tracker'!$R$5:$R$554,$K222)="","",INDEX('Prospect Tracker'!$R$5:$R$554,$K222)))</f>
        <v/>
      </c>
      <c r="F222" s="30">
        <f>IF($K222="","",IF(INDEX('Prospect Tracker'!$J$5:$J$554,$K222)="","",INDEX('Prospect Tracker'!$J$5:$J$554,$K222)))</f>
        <v/>
      </c>
      <c r="G222" s="30">
        <f>IF($K222="","",IF(INDEX('Prospect Tracker'!$H$5:$H$554,$K222)="","",INDEX('Prospect Tracker'!$H$5:$H$554,$K222)))</f>
        <v/>
      </c>
      <c r="H222" s="31">
        <f>IF($K222="","",IF(INDEX('Prospect Tracker'!$K$5:$K$554,$K222)="","",INDEX('Prospect Tracker'!$K$5:$K$554,$K222)))</f>
        <v/>
      </c>
      <c r="I222" s="30">
        <f>IF($K222="","",IF(INDEX('Prospect Tracker'!$T$5:$T$554,$K222)="","",INDEX('Prospect Tracker'!$T$5:$T$554,$K222)))</f>
        <v/>
      </c>
      <c r="J222" s="30">
        <f>IF($K222="","",IF(INDEX('Prospect Tracker'!$L$5:$L$554,$K222)="","",INDEX('Prospect Tracker'!$L$5:$L$554,$K222)))</f>
        <v/>
      </c>
      <c r="K222" s="19">
        <f>IFERROR(MATCH(SMALL('Prospect Tracker'!$X$5:$X$554,ROW()-4),'Prospect Tracker'!$X$5:$X$554,0),"")</f>
        <v/>
      </c>
    </row>
    <row r="223" ht="15" customHeight="1" s="20">
      <c r="A223" s="25">
        <f>IF($K223="","",IF(INDEX('Prospect Tracker'!$W$5:$W$554,$K223)="","",INDEX('Prospect Tracker'!$W$5:$W$554,$K223)))</f>
        <v/>
      </c>
      <c r="B223" s="25">
        <f>IF($K223="","",IF(INDEX('Prospect Tracker'!$A$5:$A$554,$K223)="","",INDEX('Prospect Tracker'!$A$5:$A$554,$K223)))</f>
        <v/>
      </c>
      <c r="C223" s="25">
        <f>IF($K223="","",IF(INDEX('Prospect Tracker'!$B$5:$B$554,$K223)="","",INDEX('Prospect Tracker'!$B$5:$B$554,$K223)))</f>
        <v/>
      </c>
      <c r="D223" s="25">
        <f>IF($K223="","",IF(INDEX('Prospect Tracker'!$M$5:$M$554,$K223)="","",INDEX('Prospect Tracker'!$M$5:$M$554,$K223)))</f>
        <v/>
      </c>
      <c r="E223" s="25">
        <f>IF($K223="","",IF(INDEX('Prospect Tracker'!$R$5:$R$554,$K223)="","",INDEX('Prospect Tracker'!$R$5:$R$554,$K223)))</f>
        <v/>
      </c>
      <c r="F223" s="25">
        <f>IF($K223="","",IF(INDEX('Prospect Tracker'!$J$5:$J$554,$K223)="","",INDEX('Prospect Tracker'!$J$5:$J$554,$K223)))</f>
        <v/>
      </c>
      <c r="G223" s="25">
        <f>IF($K223="","",IF(INDEX('Prospect Tracker'!$H$5:$H$554,$K223)="","",INDEX('Prospect Tracker'!$H$5:$H$554,$K223)))</f>
        <v/>
      </c>
      <c r="H223" s="26">
        <f>IF($K223="","",IF(INDEX('Prospect Tracker'!$K$5:$K$554,$K223)="","",INDEX('Prospect Tracker'!$K$5:$K$554,$K223)))</f>
        <v/>
      </c>
      <c r="I223" s="25">
        <f>IF($K223="","",IF(INDEX('Prospect Tracker'!$T$5:$T$554,$K223)="","",INDEX('Prospect Tracker'!$T$5:$T$554,$K223)))</f>
        <v/>
      </c>
      <c r="J223" s="25">
        <f>IF($K223="","",IF(INDEX('Prospect Tracker'!$L$5:$L$554,$K223)="","",INDEX('Prospect Tracker'!$L$5:$L$554,$K223)))</f>
        <v/>
      </c>
      <c r="K223" s="19">
        <f>IFERROR(MATCH(SMALL('Prospect Tracker'!$X$5:$X$554,ROW()-4),'Prospect Tracker'!$X$5:$X$554,0),"")</f>
        <v/>
      </c>
    </row>
    <row r="224" ht="15" customHeight="1" s="20">
      <c r="A224" s="30">
        <f>IF($K224="","",IF(INDEX('Prospect Tracker'!$W$5:$W$554,$K224)="","",INDEX('Prospect Tracker'!$W$5:$W$554,$K224)))</f>
        <v/>
      </c>
      <c r="B224" s="30">
        <f>IF($K224="","",IF(INDEX('Prospect Tracker'!$A$5:$A$554,$K224)="","",INDEX('Prospect Tracker'!$A$5:$A$554,$K224)))</f>
        <v/>
      </c>
      <c r="C224" s="30">
        <f>IF($K224="","",IF(INDEX('Prospect Tracker'!$B$5:$B$554,$K224)="","",INDEX('Prospect Tracker'!$B$5:$B$554,$K224)))</f>
        <v/>
      </c>
      <c r="D224" s="30">
        <f>IF($K224="","",IF(INDEX('Prospect Tracker'!$M$5:$M$554,$K224)="","",INDEX('Prospect Tracker'!$M$5:$M$554,$K224)))</f>
        <v/>
      </c>
      <c r="E224" s="30">
        <f>IF($K224="","",IF(INDEX('Prospect Tracker'!$R$5:$R$554,$K224)="","",INDEX('Prospect Tracker'!$R$5:$R$554,$K224)))</f>
        <v/>
      </c>
      <c r="F224" s="30">
        <f>IF($K224="","",IF(INDEX('Prospect Tracker'!$J$5:$J$554,$K224)="","",INDEX('Prospect Tracker'!$J$5:$J$554,$K224)))</f>
        <v/>
      </c>
      <c r="G224" s="30">
        <f>IF($K224="","",IF(INDEX('Prospect Tracker'!$H$5:$H$554,$K224)="","",INDEX('Prospect Tracker'!$H$5:$H$554,$K224)))</f>
        <v/>
      </c>
      <c r="H224" s="31">
        <f>IF($K224="","",IF(INDEX('Prospect Tracker'!$K$5:$K$554,$K224)="","",INDEX('Prospect Tracker'!$K$5:$K$554,$K224)))</f>
        <v/>
      </c>
      <c r="I224" s="30">
        <f>IF($K224="","",IF(INDEX('Prospect Tracker'!$T$5:$T$554,$K224)="","",INDEX('Prospect Tracker'!$T$5:$T$554,$K224)))</f>
        <v/>
      </c>
      <c r="J224" s="30">
        <f>IF($K224="","",IF(INDEX('Prospect Tracker'!$L$5:$L$554,$K224)="","",INDEX('Prospect Tracker'!$L$5:$L$554,$K224)))</f>
        <v/>
      </c>
      <c r="K224" s="19">
        <f>IFERROR(MATCH(SMALL('Prospect Tracker'!$X$5:$X$554,ROW()-4),'Prospect Tracker'!$X$5:$X$554,0),"")</f>
        <v/>
      </c>
    </row>
    <row r="225" ht="15" customHeight="1" s="20">
      <c r="A225" s="25">
        <f>IF($K225="","",IF(INDEX('Prospect Tracker'!$W$5:$W$554,$K225)="","",INDEX('Prospect Tracker'!$W$5:$W$554,$K225)))</f>
        <v/>
      </c>
      <c r="B225" s="25">
        <f>IF($K225="","",IF(INDEX('Prospect Tracker'!$A$5:$A$554,$K225)="","",INDEX('Prospect Tracker'!$A$5:$A$554,$K225)))</f>
        <v/>
      </c>
      <c r="C225" s="25">
        <f>IF($K225="","",IF(INDEX('Prospect Tracker'!$B$5:$B$554,$K225)="","",INDEX('Prospect Tracker'!$B$5:$B$554,$K225)))</f>
        <v/>
      </c>
      <c r="D225" s="25">
        <f>IF($K225="","",IF(INDEX('Prospect Tracker'!$M$5:$M$554,$K225)="","",INDEX('Prospect Tracker'!$M$5:$M$554,$K225)))</f>
        <v/>
      </c>
      <c r="E225" s="25">
        <f>IF($K225="","",IF(INDEX('Prospect Tracker'!$R$5:$R$554,$K225)="","",INDEX('Prospect Tracker'!$R$5:$R$554,$K225)))</f>
        <v/>
      </c>
      <c r="F225" s="25">
        <f>IF($K225="","",IF(INDEX('Prospect Tracker'!$J$5:$J$554,$K225)="","",INDEX('Prospect Tracker'!$J$5:$J$554,$K225)))</f>
        <v/>
      </c>
      <c r="G225" s="25">
        <f>IF($K225="","",IF(INDEX('Prospect Tracker'!$H$5:$H$554,$K225)="","",INDEX('Prospect Tracker'!$H$5:$H$554,$K225)))</f>
        <v/>
      </c>
      <c r="H225" s="26">
        <f>IF($K225="","",IF(INDEX('Prospect Tracker'!$K$5:$K$554,$K225)="","",INDEX('Prospect Tracker'!$K$5:$K$554,$K225)))</f>
        <v/>
      </c>
      <c r="I225" s="25">
        <f>IF($K225="","",IF(INDEX('Prospect Tracker'!$T$5:$T$554,$K225)="","",INDEX('Prospect Tracker'!$T$5:$T$554,$K225)))</f>
        <v/>
      </c>
      <c r="J225" s="25">
        <f>IF($K225="","",IF(INDEX('Prospect Tracker'!$L$5:$L$554,$K225)="","",INDEX('Prospect Tracker'!$L$5:$L$554,$K225)))</f>
        <v/>
      </c>
      <c r="K225" s="19">
        <f>IFERROR(MATCH(SMALL('Prospect Tracker'!$X$5:$X$554,ROW()-4),'Prospect Tracker'!$X$5:$X$554,0),"")</f>
        <v/>
      </c>
    </row>
    <row r="226" ht="15" customHeight="1" s="20">
      <c r="A226" s="30">
        <f>IF($K226="","",IF(INDEX('Prospect Tracker'!$W$5:$W$554,$K226)="","",INDEX('Prospect Tracker'!$W$5:$W$554,$K226)))</f>
        <v/>
      </c>
      <c r="B226" s="30">
        <f>IF($K226="","",IF(INDEX('Prospect Tracker'!$A$5:$A$554,$K226)="","",INDEX('Prospect Tracker'!$A$5:$A$554,$K226)))</f>
        <v/>
      </c>
      <c r="C226" s="30">
        <f>IF($K226="","",IF(INDEX('Prospect Tracker'!$B$5:$B$554,$K226)="","",INDEX('Prospect Tracker'!$B$5:$B$554,$K226)))</f>
        <v/>
      </c>
      <c r="D226" s="30">
        <f>IF($K226="","",IF(INDEX('Prospect Tracker'!$M$5:$M$554,$K226)="","",INDEX('Prospect Tracker'!$M$5:$M$554,$K226)))</f>
        <v/>
      </c>
      <c r="E226" s="30">
        <f>IF($K226="","",IF(INDEX('Prospect Tracker'!$R$5:$R$554,$K226)="","",INDEX('Prospect Tracker'!$R$5:$R$554,$K226)))</f>
        <v/>
      </c>
      <c r="F226" s="30">
        <f>IF($K226="","",IF(INDEX('Prospect Tracker'!$J$5:$J$554,$K226)="","",INDEX('Prospect Tracker'!$J$5:$J$554,$K226)))</f>
        <v/>
      </c>
      <c r="G226" s="30">
        <f>IF($K226="","",IF(INDEX('Prospect Tracker'!$H$5:$H$554,$K226)="","",INDEX('Prospect Tracker'!$H$5:$H$554,$K226)))</f>
        <v/>
      </c>
      <c r="H226" s="31">
        <f>IF($K226="","",IF(INDEX('Prospect Tracker'!$K$5:$K$554,$K226)="","",INDEX('Prospect Tracker'!$K$5:$K$554,$K226)))</f>
        <v/>
      </c>
      <c r="I226" s="30">
        <f>IF($K226="","",IF(INDEX('Prospect Tracker'!$T$5:$T$554,$K226)="","",INDEX('Prospect Tracker'!$T$5:$T$554,$K226)))</f>
        <v/>
      </c>
      <c r="J226" s="30">
        <f>IF($K226="","",IF(INDEX('Prospect Tracker'!$L$5:$L$554,$K226)="","",INDEX('Prospect Tracker'!$L$5:$L$554,$K226)))</f>
        <v/>
      </c>
      <c r="K226" s="19">
        <f>IFERROR(MATCH(SMALL('Prospect Tracker'!$X$5:$X$554,ROW()-4),'Prospect Tracker'!$X$5:$X$554,0),"")</f>
        <v/>
      </c>
    </row>
    <row r="227" ht="15" customHeight="1" s="20">
      <c r="A227" s="25">
        <f>IF($K227="","",IF(INDEX('Prospect Tracker'!$W$5:$W$554,$K227)="","",INDEX('Prospect Tracker'!$W$5:$W$554,$K227)))</f>
        <v/>
      </c>
      <c r="B227" s="25">
        <f>IF($K227="","",IF(INDEX('Prospect Tracker'!$A$5:$A$554,$K227)="","",INDEX('Prospect Tracker'!$A$5:$A$554,$K227)))</f>
        <v/>
      </c>
      <c r="C227" s="25">
        <f>IF($K227="","",IF(INDEX('Prospect Tracker'!$B$5:$B$554,$K227)="","",INDEX('Prospect Tracker'!$B$5:$B$554,$K227)))</f>
        <v/>
      </c>
      <c r="D227" s="25">
        <f>IF($K227="","",IF(INDEX('Prospect Tracker'!$M$5:$M$554,$K227)="","",INDEX('Prospect Tracker'!$M$5:$M$554,$K227)))</f>
        <v/>
      </c>
      <c r="E227" s="25">
        <f>IF($K227="","",IF(INDEX('Prospect Tracker'!$R$5:$R$554,$K227)="","",INDEX('Prospect Tracker'!$R$5:$R$554,$K227)))</f>
        <v/>
      </c>
      <c r="F227" s="25">
        <f>IF($K227="","",IF(INDEX('Prospect Tracker'!$J$5:$J$554,$K227)="","",INDEX('Prospect Tracker'!$J$5:$J$554,$K227)))</f>
        <v/>
      </c>
      <c r="G227" s="25">
        <f>IF($K227="","",IF(INDEX('Prospect Tracker'!$H$5:$H$554,$K227)="","",INDEX('Prospect Tracker'!$H$5:$H$554,$K227)))</f>
        <v/>
      </c>
      <c r="H227" s="26">
        <f>IF($K227="","",IF(INDEX('Prospect Tracker'!$K$5:$K$554,$K227)="","",INDEX('Prospect Tracker'!$K$5:$K$554,$K227)))</f>
        <v/>
      </c>
      <c r="I227" s="25">
        <f>IF($K227="","",IF(INDEX('Prospect Tracker'!$T$5:$T$554,$K227)="","",INDEX('Prospect Tracker'!$T$5:$T$554,$K227)))</f>
        <v/>
      </c>
      <c r="J227" s="25">
        <f>IF($K227="","",IF(INDEX('Prospect Tracker'!$L$5:$L$554,$K227)="","",INDEX('Prospect Tracker'!$L$5:$L$554,$K227)))</f>
        <v/>
      </c>
      <c r="K227" s="19">
        <f>IFERROR(MATCH(SMALL('Prospect Tracker'!$X$5:$X$554,ROW()-4),'Prospect Tracker'!$X$5:$X$554,0),"")</f>
        <v/>
      </c>
    </row>
    <row r="228" ht="15" customHeight="1" s="20">
      <c r="A228" s="30">
        <f>IF($K228="","",IF(INDEX('Prospect Tracker'!$W$5:$W$554,$K228)="","",INDEX('Prospect Tracker'!$W$5:$W$554,$K228)))</f>
        <v/>
      </c>
      <c r="B228" s="30">
        <f>IF($K228="","",IF(INDEX('Prospect Tracker'!$A$5:$A$554,$K228)="","",INDEX('Prospect Tracker'!$A$5:$A$554,$K228)))</f>
        <v/>
      </c>
      <c r="C228" s="30">
        <f>IF($K228="","",IF(INDEX('Prospect Tracker'!$B$5:$B$554,$K228)="","",INDEX('Prospect Tracker'!$B$5:$B$554,$K228)))</f>
        <v/>
      </c>
      <c r="D228" s="30">
        <f>IF($K228="","",IF(INDEX('Prospect Tracker'!$M$5:$M$554,$K228)="","",INDEX('Prospect Tracker'!$M$5:$M$554,$K228)))</f>
        <v/>
      </c>
      <c r="E228" s="30">
        <f>IF($K228="","",IF(INDEX('Prospect Tracker'!$R$5:$R$554,$K228)="","",INDEX('Prospect Tracker'!$R$5:$R$554,$K228)))</f>
        <v/>
      </c>
      <c r="F228" s="30">
        <f>IF($K228="","",IF(INDEX('Prospect Tracker'!$J$5:$J$554,$K228)="","",INDEX('Prospect Tracker'!$J$5:$J$554,$K228)))</f>
        <v/>
      </c>
      <c r="G228" s="30">
        <f>IF($K228="","",IF(INDEX('Prospect Tracker'!$H$5:$H$554,$K228)="","",INDEX('Prospect Tracker'!$H$5:$H$554,$K228)))</f>
        <v/>
      </c>
      <c r="H228" s="31">
        <f>IF($K228="","",IF(INDEX('Prospect Tracker'!$K$5:$K$554,$K228)="","",INDEX('Prospect Tracker'!$K$5:$K$554,$K228)))</f>
        <v/>
      </c>
      <c r="I228" s="30">
        <f>IF($K228="","",IF(INDEX('Prospect Tracker'!$T$5:$T$554,$K228)="","",INDEX('Prospect Tracker'!$T$5:$T$554,$K228)))</f>
        <v/>
      </c>
      <c r="J228" s="30">
        <f>IF($K228="","",IF(INDEX('Prospect Tracker'!$L$5:$L$554,$K228)="","",INDEX('Prospect Tracker'!$L$5:$L$554,$K228)))</f>
        <v/>
      </c>
      <c r="K228" s="19">
        <f>IFERROR(MATCH(SMALL('Prospect Tracker'!$X$5:$X$554,ROW()-4),'Prospect Tracker'!$X$5:$X$554,0),"")</f>
        <v/>
      </c>
    </row>
    <row r="229" ht="15" customHeight="1" s="20">
      <c r="A229" s="25">
        <f>IF($K229="","",IF(INDEX('Prospect Tracker'!$W$5:$W$554,$K229)="","",INDEX('Prospect Tracker'!$W$5:$W$554,$K229)))</f>
        <v/>
      </c>
      <c r="B229" s="25">
        <f>IF($K229="","",IF(INDEX('Prospect Tracker'!$A$5:$A$554,$K229)="","",INDEX('Prospect Tracker'!$A$5:$A$554,$K229)))</f>
        <v/>
      </c>
      <c r="C229" s="25">
        <f>IF($K229="","",IF(INDEX('Prospect Tracker'!$B$5:$B$554,$K229)="","",INDEX('Prospect Tracker'!$B$5:$B$554,$K229)))</f>
        <v/>
      </c>
      <c r="D229" s="25">
        <f>IF($K229="","",IF(INDEX('Prospect Tracker'!$M$5:$M$554,$K229)="","",INDEX('Prospect Tracker'!$M$5:$M$554,$K229)))</f>
        <v/>
      </c>
      <c r="E229" s="25">
        <f>IF($K229="","",IF(INDEX('Prospect Tracker'!$R$5:$R$554,$K229)="","",INDEX('Prospect Tracker'!$R$5:$R$554,$K229)))</f>
        <v/>
      </c>
      <c r="F229" s="25">
        <f>IF($K229="","",IF(INDEX('Prospect Tracker'!$J$5:$J$554,$K229)="","",INDEX('Prospect Tracker'!$J$5:$J$554,$K229)))</f>
        <v/>
      </c>
      <c r="G229" s="25">
        <f>IF($K229="","",IF(INDEX('Prospect Tracker'!$H$5:$H$554,$K229)="","",INDEX('Prospect Tracker'!$H$5:$H$554,$K229)))</f>
        <v/>
      </c>
      <c r="H229" s="26">
        <f>IF($K229="","",IF(INDEX('Prospect Tracker'!$K$5:$K$554,$K229)="","",INDEX('Prospect Tracker'!$K$5:$K$554,$K229)))</f>
        <v/>
      </c>
      <c r="I229" s="25">
        <f>IF($K229="","",IF(INDEX('Prospect Tracker'!$T$5:$T$554,$K229)="","",INDEX('Prospect Tracker'!$T$5:$T$554,$K229)))</f>
        <v/>
      </c>
      <c r="J229" s="25">
        <f>IF($K229="","",IF(INDEX('Prospect Tracker'!$L$5:$L$554,$K229)="","",INDEX('Prospect Tracker'!$L$5:$L$554,$K229)))</f>
        <v/>
      </c>
      <c r="K229" s="19">
        <f>IFERROR(MATCH(SMALL('Prospect Tracker'!$X$5:$X$554,ROW()-4),'Prospect Tracker'!$X$5:$X$554,0),"")</f>
        <v/>
      </c>
    </row>
    <row r="230" ht="15" customHeight="1" s="20">
      <c r="A230" s="30">
        <f>IF($K230="","",IF(INDEX('Prospect Tracker'!$W$5:$W$554,$K230)="","",INDEX('Prospect Tracker'!$W$5:$W$554,$K230)))</f>
        <v/>
      </c>
      <c r="B230" s="30">
        <f>IF($K230="","",IF(INDEX('Prospect Tracker'!$A$5:$A$554,$K230)="","",INDEX('Prospect Tracker'!$A$5:$A$554,$K230)))</f>
        <v/>
      </c>
      <c r="C230" s="30">
        <f>IF($K230="","",IF(INDEX('Prospect Tracker'!$B$5:$B$554,$K230)="","",INDEX('Prospect Tracker'!$B$5:$B$554,$K230)))</f>
        <v/>
      </c>
      <c r="D230" s="30">
        <f>IF($K230="","",IF(INDEX('Prospect Tracker'!$M$5:$M$554,$K230)="","",INDEX('Prospect Tracker'!$M$5:$M$554,$K230)))</f>
        <v/>
      </c>
      <c r="E230" s="30">
        <f>IF($K230="","",IF(INDEX('Prospect Tracker'!$R$5:$R$554,$K230)="","",INDEX('Prospect Tracker'!$R$5:$R$554,$K230)))</f>
        <v/>
      </c>
      <c r="F230" s="30">
        <f>IF($K230="","",IF(INDEX('Prospect Tracker'!$J$5:$J$554,$K230)="","",INDEX('Prospect Tracker'!$J$5:$J$554,$K230)))</f>
        <v/>
      </c>
      <c r="G230" s="30">
        <f>IF($K230="","",IF(INDEX('Prospect Tracker'!$H$5:$H$554,$K230)="","",INDEX('Prospect Tracker'!$H$5:$H$554,$K230)))</f>
        <v/>
      </c>
      <c r="H230" s="31">
        <f>IF($K230="","",IF(INDEX('Prospect Tracker'!$K$5:$K$554,$K230)="","",INDEX('Prospect Tracker'!$K$5:$K$554,$K230)))</f>
        <v/>
      </c>
      <c r="I230" s="30">
        <f>IF($K230="","",IF(INDEX('Prospect Tracker'!$T$5:$T$554,$K230)="","",INDEX('Prospect Tracker'!$T$5:$T$554,$K230)))</f>
        <v/>
      </c>
      <c r="J230" s="30">
        <f>IF($K230="","",IF(INDEX('Prospect Tracker'!$L$5:$L$554,$K230)="","",INDEX('Prospect Tracker'!$L$5:$L$554,$K230)))</f>
        <v/>
      </c>
      <c r="K230" s="19">
        <f>IFERROR(MATCH(SMALL('Prospect Tracker'!$X$5:$X$554,ROW()-4),'Prospect Tracker'!$X$5:$X$554,0),"")</f>
        <v/>
      </c>
    </row>
    <row r="231" ht="15" customHeight="1" s="20">
      <c r="A231" s="25">
        <f>IF($K231="","",IF(INDEX('Prospect Tracker'!$W$5:$W$554,$K231)="","",INDEX('Prospect Tracker'!$W$5:$W$554,$K231)))</f>
        <v/>
      </c>
      <c r="B231" s="25">
        <f>IF($K231="","",IF(INDEX('Prospect Tracker'!$A$5:$A$554,$K231)="","",INDEX('Prospect Tracker'!$A$5:$A$554,$K231)))</f>
        <v/>
      </c>
      <c r="C231" s="25">
        <f>IF($K231="","",IF(INDEX('Prospect Tracker'!$B$5:$B$554,$K231)="","",INDEX('Prospect Tracker'!$B$5:$B$554,$K231)))</f>
        <v/>
      </c>
      <c r="D231" s="25">
        <f>IF($K231="","",IF(INDEX('Prospect Tracker'!$M$5:$M$554,$K231)="","",INDEX('Prospect Tracker'!$M$5:$M$554,$K231)))</f>
        <v/>
      </c>
      <c r="E231" s="25">
        <f>IF($K231="","",IF(INDEX('Prospect Tracker'!$R$5:$R$554,$K231)="","",INDEX('Prospect Tracker'!$R$5:$R$554,$K231)))</f>
        <v/>
      </c>
      <c r="F231" s="25">
        <f>IF($K231="","",IF(INDEX('Prospect Tracker'!$J$5:$J$554,$K231)="","",INDEX('Prospect Tracker'!$J$5:$J$554,$K231)))</f>
        <v/>
      </c>
      <c r="G231" s="25">
        <f>IF($K231="","",IF(INDEX('Prospect Tracker'!$H$5:$H$554,$K231)="","",INDEX('Prospect Tracker'!$H$5:$H$554,$K231)))</f>
        <v/>
      </c>
      <c r="H231" s="26">
        <f>IF($K231="","",IF(INDEX('Prospect Tracker'!$K$5:$K$554,$K231)="","",INDEX('Prospect Tracker'!$K$5:$K$554,$K231)))</f>
        <v/>
      </c>
      <c r="I231" s="25">
        <f>IF($K231="","",IF(INDEX('Prospect Tracker'!$T$5:$T$554,$K231)="","",INDEX('Prospect Tracker'!$T$5:$T$554,$K231)))</f>
        <v/>
      </c>
      <c r="J231" s="25">
        <f>IF($K231="","",IF(INDEX('Prospect Tracker'!$L$5:$L$554,$K231)="","",INDEX('Prospect Tracker'!$L$5:$L$554,$K231)))</f>
        <v/>
      </c>
      <c r="K231" s="19">
        <f>IFERROR(MATCH(SMALL('Prospect Tracker'!$X$5:$X$554,ROW()-4),'Prospect Tracker'!$X$5:$X$554,0),"")</f>
        <v/>
      </c>
    </row>
    <row r="232" ht="15" customHeight="1" s="20">
      <c r="A232" s="30">
        <f>IF($K232="","",IF(INDEX('Prospect Tracker'!$W$5:$W$554,$K232)="","",INDEX('Prospect Tracker'!$W$5:$W$554,$K232)))</f>
        <v/>
      </c>
      <c r="B232" s="30">
        <f>IF($K232="","",IF(INDEX('Prospect Tracker'!$A$5:$A$554,$K232)="","",INDEX('Prospect Tracker'!$A$5:$A$554,$K232)))</f>
        <v/>
      </c>
      <c r="C232" s="30">
        <f>IF($K232="","",IF(INDEX('Prospect Tracker'!$B$5:$B$554,$K232)="","",INDEX('Prospect Tracker'!$B$5:$B$554,$K232)))</f>
        <v/>
      </c>
      <c r="D232" s="30">
        <f>IF($K232="","",IF(INDEX('Prospect Tracker'!$M$5:$M$554,$K232)="","",INDEX('Prospect Tracker'!$M$5:$M$554,$K232)))</f>
        <v/>
      </c>
      <c r="E232" s="30">
        <f>IF($K232="","",IF(INDEX('Prospect Tracker'!$R$5:$R$554,$K232)="","",INDEX('Prospect Tracker'!$R$5:$R$554,$K232)))</f>
        <v/>
      </c>
      <c r="F232" s="30">
        <f>IF($K232="","",IF(INDEX('Prospect Tracker'!$J$5:$J$554,$K232)="","",INDEX('Prospect Tracker'!$J$5:$J$554,$K232)))</f>
        <v/>
      </c>
      <c r="G232" s="30">
        <f>IF($K232="","",IF(INDEX('Prospect Tracker'!$H$5:$H$554,$K232)="","",INDEX('Prospect Tracker'!$H$5:$H$554,$K232)))</f>
        <v/>
      </c>
      <c r="H232" s="31">
        <f>IF($K232="","",IF(INDEX('Prospect Tracker'!$K$5:$K$554,$K232)="","",INDEX('Prospect Tracker'!$K$5:$K$554,$K232)))</f>
        <v/>
      </c>
      <c r="I232" s="30">
        <f>IF($K232="","",IF(INDEX('Prospect Tracker'!$T$5:$T$554,$K232)="","",INDEX('Prospect Tracker'!$T$5:$T$554,$K232)))</f>
        <v/>
      </c>
      <c r="J232" s="30">
        <f>IF($K232="","",IF(INDEX('Prospect Tracker'!$L$5:$L$554,$K232)="","",INDEX('Prospect Tracker'!$L$5:$L$554,$K232)))</f>
        <v/>
      </c>
      <c r="K232" s="19">
        <f>IFERROR(MATCH(SMALL('Prospect Tracker'!$X$5:$X$554,ROW()-4),'Prospect Tracker'!$X$5:$X$554,0),"")</f>
        <v/>
      </c>
    </row>
    <row r="233" ht="15" customHeight="1" s="20">
      <c r="A233" s="25">
        <f>IF($K233="","",IF(INDEX('Prospect Tracker'!$W$5:$W$554,$K233)="","",INDEX('Prospect Tracker'!$W$5:$W$554,$K233)))</f>
        <v/>
      </c>
      <c r="B233" s="25">
        <f>IF($K233="","",IF(INDEX('Prospect Tracker'!$A$5:$A$554,$K233)="","",INDEX('Prospect Tracker'!$A$5:$A$554,$K233)))</f>
        <v/>
      </c>
      <c r="C233" s="25">
        <f>IF($K233="","",IF(INDEX('Prospect Tracker'!$B$5:$B$554,$K233)="","",INDEX('Prospect Tracker'!$B$5:$B$554,$K233)))</f>
        <v/>
      </c>
      <c r="D233" s="25">
        <f>IF($K233="","",IF(INDEX('Prospect Tracker'!$M$5:$M$554,$K233)="","",INDEX('Prospect Tracker'!$M$5:$M$554,$K233)))</f>
        <v/>
      </c>
      <c r="E233" s="25">
        <f>IF($K233="","",IF(INDEX('Prospect Tracker'!$R$5:$R$554,$K233)="","",INDEX('Prospect Tracker'!$R$5:$R$554,$K233)))</f>
        <v/>
      </c>
      <c r="F233" s="25">
        <f>IF($K233="","",IF(INDEX('Prospect Tracker'!$J$5:$J$554,$K233)="","",INDEX('Prospect Tracker'!$J$5:$J$554,$K233)))</f>
        <v/>
      </c>
      <c r="G233" s="25">
        <f>IF($K233="","",IF(INDEX('Prospect Tracker'!$H$5:$H$554,$K233)="","",INDEX('Prospect Tracker'!$H$5:$H$554,$K233)))</f>
        <v/>
      </c>
      <c r="H233" s="26">
        <f>IF($K233="","",IF(INDEX('Prospect Tracker'!$K$5:$K$554,$K233)="","",INDEX('Prospect Tracker'!$K$5:$K$554,$K233)))</f>
        <v/>
      </c>
      <c r="I233" s="25">
        <f>IF($K233="","",IF(INDEX('Prospect Tracker'!$T$5:$T$554,$K233)="","",INDEX('Prospect Tracker'!$T$5:$T$554,$K233)))</f>
        <v/>
      </c>
      <c r="J233" s="25">
        <f>IF($K233="","",IF(INDEX('Prospect Tracker'!$L$5:$L$554,$K233)="","",INDEX('Prospect Tracker'!$L$5:$L$554,$K233)))</f>
        <v/>
      </c>
      <c r="K233" s="19">
        <f>IFERROR(MATCH(SMALL('Prospect Tracker'!$X$5:$X$554,ROW()-4),'Prospect Tracker'!$X$5:$X$554,0),"")</f>
        <v/>
      </c>
    </row>
    <row r="234" ht="15" customHeight="1" s="20">
      <c r="A234" s="30">
        <f>IF($K234="","",IF(INDEX('Prospect Tracker'!$W$5:$W$554,$K234)="","",INDEX('Prospect Tracker'!$W$5:$W$554,$K234)))</f>
        <v/>
      </c>
      <c r="B234" s="30">
        <f>IF($K234="","",IF(INDEX('Prospect Tracker'!$A$5:$A$554,$K234)="","",INDEX('Prospect Tracker'!$A$5:$A$554,$K234)))</f>
        <v/>
      </c>
      <c r="C234" s="30">
        <f>IF($K234="","",IF(INDEX('Prospect Tracker'!$B$5:$B$554,$K234)="","",INDEX('Prospect Tracker'!$B$5:$B$554,$K234)))</f>
        <v/>
      </c>
      <c r="D234" s="30">
        <f>IF($K234="","",IF(INDEX('Prospect Tracker'!$M$5:$M$554,$K234)="","",INDEX('Prospect Tracker'!$M$5:$M$554,$K234)))</f>
        <v/>
      </c>
      <c r="E234" s="30">
        <f>IF($K234="","",IF(INDEX('Prospect Tracker'!$R$5:$R$554,$K234)="","",INDEX('Prospect Tracker'!$R$5:$R$554,$K234)))</f>
        <v/>
      </c>
      <c r="F234" s="30">
        <f>IF($K234="","",IF(INDEX('Prospect Tracker'!$J$5:$J$554,$K234)="","",INDEX('Prospect Tracker'!$J$5:$J$554,$K234)))</f>
        <v/>
      </c>
      <c r="G234" s="30">
        <f>IF($K234="","",IF(INDEX('Prospect Tracker'!$H$5:$H$554,$K234)="","",INDEX('Prospect Tracker'!$H$5:$H$554,$K234)))</f>
        <v/>
      </c>
      <c r="H234" s="31">
        <f>IF($K234="","",IF(INDEX('Prospect Tracker'!$K$5:$K$554,$K234)="","",INDEX('Prospect Tracker'!$K$5:$K$554,$K234)))</f>
        <v/>
      </c>
      <c r="I234" s="30">
        <f>IF($K234="","",IF(INDEX('Prospect Tracker'!$T$5:$T$554,$K234)="","",INDEX('Prospect Tracker'!$T$5:$T$554,$K234)))</f>
        <v/>
      </c>
      <c r="J234" s="30">
        <f>IF($K234="","",IF(INDEX('Prospect Tracker'!$L$5:$L$554,$K234)="","",INDEX('Prospect Tracker'!$L$5:$L$554,$K234)))</f>
        <v/>
      </c>
      <c r="K234" s="19">
        <f>IFERROR(MATCH(SMALL('Prospect Tracker'!$X$5:$X$554,ROW()-4),'Prospect Tracker'!$X$5:$X$554,0),"")</f>
        <v/>
      </c>
    </row>
    <row r="235" ht="15" customHeight="1" s="20">
      <c r="A235" s="25">
        <f>IF($K235="","",IF(INDEX('Prospect Tracker'!$W$5:$W$554,$K235)="","",INDEX('Prospect Tracker'!$W$5:$W$554,$K235)))</f>
        <v/>
      </c>
      <c r="B235" s="25">
        <f>IF($K235="","",IF(INDEX('Prospect Tracker'!$A$5:$A$554,$K235)="","",INDEX('Prospect Tracker'!$A$5:$A$554,$K235)))</f>
        <v/>
      </c>
      <c r="C235" s="25">
        <f>IF($K235="","",IF(INDEX('Prospect Tracker'!$B$5:$B$554,$K235)="","",INDEX('Prospect Tracker'!$B$5:$B$554,$K235)))</f>
        <v/>
      </c>
      <c r="D235" s="25">
        <f>IF($K235="","",IF(INDEX('Prospect Tracker'!$M$5:$M$554,$K235)="","",INDEX('Prospect Tracker'!$M$5:$M$554,$K235)))</f>
        <v/>
      </c>
      <c r="E235" s="25">
        <f>IF($K235="","",IF(INDEX('Prospect Tracker'!$R$5:$R$554,$K235)="","",INDEX('Prospect Tracker'!$R$5:$R$554,$K235)))</f>
        <v/>
      </c>
      <c r="F235" s="25">
        <f>IF($K235="","",IF(INDEX('Prospect Tracker'!$J$5:$J$554,$K235)="","",INDEX('Prospect Tracker'!$J$5:$J$554,$K235)))</f>
        <v/>
      </c>
      <c r="G235" s="25">
        <f>IF($K235="","",IF(INDEX('Prospect Tracker'!$H$5:$H$554,$K235)="","",INDEX('Prospect Tracker'!$H$5:$H$554,$K235)))</f>
        <v/>
      </c>
      <c r="H235" s="26">
        <f>IF($K235="","",IF(INDEX('Prospect Tracker'!$K$5:$K$554,$K235)="","",INDEX('Prospect Tracker'!$K$5:$K$554,$K235)))</f>
        <v/>
      </c>
      <c r="I235" s="25">
        <f>IF($K235="","",IF(INDEX('Prospect Tracker'!$T$5:$T$554,$K235)="","",INDEX('Prospect Tracker'!$T$5:$T$554,$K235)))</f>
        <v/>
      </c>
      <c r="J235" s="25">
        <f>IF($K235="","",IF(INDEX('Prospect Tracker'!$L$5:$L$554,$K235)="","",INDEX('Prospect Tracker'!$L$5:$L$554,$K235)))</f>
        <v/>
      </c>
      <c r="K235" s="19">
        <f>IFERROR(MATCH(SMALL('Prospect Tracker'!$X$5:$X$554,ROW()-4),'Prospect Tracker'!$X$5:$X$554,0),"")</f>
        <v/>
      </c>
    </row>
    <row r="236" ht="15" customHeight="1" s="20">
      <c r="A236" s="30">
        <f>IF($K236="","",IF(INDEX('Prospect Tracker'!$W$5:$W$554,$K236)="","",INDEX('Prospect Tracker'!$W$5:$W$554,$K236)))</f>
        <v/>
      </c>
      <c r="B236" s="30">
        <f>IF($K236="","",IF(INDEX('Prospect Tracker'!$A$5:$A$554,$K236)="","",INDEX('Prospect Tracker'!$A$5:$A$554,$K236)))</f>
        <v/>
      </c>
      <c r="C236" s="30">
        <f>IF($K236="","",IF(INDEX('Prospect Tracker'!$B$5:$B$554,$K236)="","",INDEX('Prospect Tracker'!$B$5:$B$554,$K236)))</f>
        <v/>
      </c>
      <c r="D236" s="30">
        <f>IF($K236="","",IF(INDEX('Prospect Tracker'!$M$5:$M$554,$K236)="","",INDEX('Prospect Tracker'!$M$5:$M$554,$K236)))</f>
        <v/>
      </c>
      <c r="E236" s="30">
        <f>IF($K236="","",IF(INDEX('Prospect Tracker'!$R$5:$R$554,$K236)="","",INDEX('Prospect Tracker'!$R$5:$R$554,$K236)))</f>
        <v/>
      </c>
      <c r="F236" s="30">
        <f>IF($K236="","",IF(INDEX('Prospect Tracker'!$J$5:$J$554,$K236)="","",INDEX('Prospect Tracker'!$J$5:$J$554,$K236)))</f>
        <v/>
      </c>
      <c r="G236" s="30">
        <f>IF($K236="","",IF(INDEX('Prospect Tracker'!$H$5:$H$554,$K236)="","",INDEX('Prospect Tracker'!$H$5:$H$554,$K236)))</f>
        <v/>
      </c>
      <c r="H236" s="31">
        <f>IF($K236="","",IF(INDEX('Prospect Tracker'!$K$5:$K$554,$K236)="","",INDEX('Prospect Tracker'!$K$5:$K$554,$K236)))</f>
        <v/>
      </c>
      <c r="I236" s="30">
        <f>IF($K236="","",IF(INDEX('Prospect Tracker'!$T$5:$T$554,$K236)="","",INDEX('Prospect Tracker'!$T$5:$T$554,$K236)))</f>
        <v/>
      </c>
      <c r="J236" s="30">
        <f>IF($K236="","",IF(INDEX('Prospect Tracker'!$L$5:$L$554,$K236)="","",INDEX('Prospect Tracker'!$L$5:$L$554,$K236)))</f>
        <v/>
      </c>
      <c r="K236" s="19">
        <f>IFERROR(MATCH(SMALL('Prospect Tracker'!$X$5:$X$554,ROW()-4),'Prospect Tracker'!$X$5:$X$554,0),"")</f>
        <v/>
      </c>
    </row>
    <row r="237" ht="15" customHeight="1" s="20">
      <c r="A237" s="25">
        <f>IF($K237="","",IF(INDEX('Prospect Tracker'!$W$5:$W$554,$K237)="","",INDEX('Prospect Tracker'!$W$5:$W$554,$K237)))</f>
        <v/>
      </c>
      <c r="B237" s="25">
        <f>IF($K237="","",IF(INDEX('Prospect Tracker'!$A$5:$A$554,$K237)="","",INDEX('Prospect Tracker'!$A$5:$A$554,$K237)))</f>
        <v/>
      </c>
      <c r="C237" s="25">
        <f>IF($K237="","",IF(INDEX('Prospect Tracker'!$B$5:$B$554,$K237)="","",INDEX('Prospect Tracker'!$B$5:$B$554,$K237)))</f>
        <v/>
      </c>
      <c r="D237" s="25">
        <f>IF($K237="","",IF(INDEX('Prospect Tracker'!$M$5:$M$554,$K237)="","",INDEX('Prospect Tracker'!$M$5:$M$554,$K237)))</f>
        <v/>
      </c>
      <c r="E237" s="25">
        <f>IF($K237="","",IF(INDEX('Prospect Tracker'!$R$5:$R$554,$K237)="","",INDEX('Prospect Tracker'!$R$5:$R$554,$K237)))</f>
        <v/>
      </c>
      <c r="F237" s="25">
        <f>IF($K237="","",IF(INDEX('Prospect Tracker'!$J$5:$J$554,$K237)="","",INDEX('Prospect Tracker'!$J$5:$J$554,$K237)))</f>
        <v/>
      </c>
      <c r="G237" s="25">
        <f>IF($K237="","",IF(INDEX('Prospect Tracker'!$H$5:$H$554,$K237)="","",INDEX('Prospect Tracker'!$H$5:$H$554,$K237)))</f>
        <v/>
      </c>
      <c r="H237" s="26">
        <f>IF($K237="","",IF(INDEX('Prospect Tracker'!$K$5:$K$554,$K237)="","",INDEX('Prospect Tracker'!$K$5:$K$554,$K237)))</f>
        <v/>
      </c>
      <c r="I237" s="25">
        <f>IF($K237="","",IF(INDEX('Prospect Tracker'!$T$5:$T$554,$K237)="","",INDEX('Prospect Tracker'!$T$5:$T$554,$K237)))</f>
        <v/>
      </c>
      <c r="J237" s="25">
        <f>IF($K237="","",IF(INDEX('Prospect Tracker'!$L$5:$L$554,$K237)="","",INDEX('Prospect Tracker'!$L$5:$L$554,$K237)))</f>
        <v/>
      </c>
      <c r="K237" s="19">
        <f>IFERROR(MATCH(SMALL('Prospect Tracker'!$X$5:$X$554,ROW()-4),'Prospect Tracker'!$X$5:$X$554,0),"")</f>
        <v/>
      </c>
    </row>
    <row r="238" ht="15" customHeight="1" s="20">
      <c r="A238" s="30">
        <f>IF($K238="","",IF(INDEX('Prospect Tracker'!$W$5:$W$554,$K238)="","",INDEX('Prospect Tracker'!$W$5:$W$554,$K238)))</f>
        <v/>
      </c>
      <c r="B238" s="30">
        <f>IF($K238="","",IF(INDEX('Prospect Tracker'!$A$5:$A$554,$K238)="","",INDEX('Prospect Tracker'!$A$5:$A$554,$K238)))</f>
        <v/>
      </c>
      <c r="C238" s="30">
        <f>IF($K238="","",IF(INDEX('Prospect Tracker'!$B$5:$B$554,$K238)="","",INDEX('Prospect Tracker'!$B$5:$B$554,$K238)))</f>
        <v/>
      </c>
      <c r="D238" s="30">
        <f>IF($K238="","",IF(INDEX('Prospect Tracker'!$M$5:$M$554,$K238)="","",INDEX('Prospect Tracker'!$M$5:$M$554,$K238)))</f>
        <v/>
      </c>
      <c r="E238" s="30">
        <f>IF($K238="","",IF(INDEX('Prospect Tracker'!$R$5:$R$554,$K238)="","",INDEX('Prospect Tracker'!$R$5:$R$554,$K238)))</f>
        <v/>
      </c>
      <c r="F238" s="30">
        <f>IF($K238="","",IF(INDEX('Prospect Tracker'!$J$5:$J$554,$K238)="","",INDEX('Prospect Tracker'!$J$5:$J$554,$K238)))</f>
        <v/>
      </c>
      <c r="G238" s="30">
        <f>IF($K238="","",IF(INDEX('Prospect Tracker'!$H$5:$H$554,$K238)="","",INDEX('Prospect Tracker'!$H$5:$H$554,$K238)))</f>
        <v/>
      </c>
      <c r="H238" s="31">
        <f>IF($K238="","",IF(INDEX('Prospect Tracker'!$K$5:$K$554,$K238)="","",INDEX('Prospect Tracker'!$K$5:$K$554,$K238)))</f>
        <v/>
      </c>
      <c r="I238" s="30">
        <f>IF($K238="","",IF(INDEX('Prospect Tracker'!$T$5:$T$554,$K238)="","",INDEX('Prospect Tracker'!$T$5:$T$554,$K238)))</f>
        <v/>
      </c>
      <c r="J238" s="30">
        <f>IF($K238="","",IF(INDEX('Prospect Tracker'!$L$5:$L$554,$K238)="","",INDEX('Prospect Tracker'!$L$5:$L$554,$K238)))</f>
        <v/>
      </c>
      <c r="K238" s="19">
        <f>IFERROR(MATCH(SMALL('Prospect Tracker'!$X$5:$X$554,ROW()-4),'Prospect Tracker'!$X$5:$X$554,0),"")</f>
        <v/>
      </c>
    </row>
    <row r="239" ht="15" customHeight="1" s="20">
      <c r="A239" s="25">
        <f>IF($K239="","",IF(INDEX('Prospect Tracker'!$W$5:$W$554,$K239)="","",INDEX('Prospect Tracker'!$W$5:$W$554,$K239)))</f>
        <v/>
      </c>
      <c r="B239" s="25">
        <f>IF($K239="","",IF(INDEX('Prospect Tracker'!$A$5:$A$554,$K239)="","",INDEX('Prospect Tracker'!$A$5:$A$554,$K239)))</f>
        <v/>
      </c>
      <c r="C239" s="25">
        <f>IF($K239="","",IF(INDEX('Prospect Tracker'!$B$5:$B$554,$K239)="","",INDEX('Prospect Tracker'!$B$5:$B$554,$K239)))</f>
        <v/>
      </c>
      <c r="D239" s="25">
        <f>IF($K239="","",IF(INDEX('Prospect Tracker'!$M$5:$M$554,$K239)="","",INDEX('Prospect Tracker'!$M$5:$M$554,$K239)))</f>
        <v/>
      </c>
      <c r="E239" s="25">
        <f>IF($K239="","",IF(INDEX('Prospect Tracker'!$R$5:$R$554,$K239)="","",INDEX('Prospect Tracker'!$R$5:$R$554,$K239)))</f>
        <v/>
      </c>
      <c r="F239" s="25">
        <f>IF($K239="","",IF(INDEX('Prospect Tracker'!$J$5:$J$554,$K239)="","",INDEX('Prospect Tracker'!$J$5:$J$554,$K239)))</f>
        <v/>
      </c>
      <c r="G239" s="25">
        <f>IF($K239="","",IF(INDEX('Prospect Tracker'!$H$5:$H$554,$K239)="","",INDEX('Prospect Tracker'!$H$5:$H$554,$K239)))</f>
        <v/>
      </c>
      <c r="H239" s="26">
        <f>IF($K239="","",IF(INDEX('Prospect Tracker'!$K$5:$K$554,$K239)="","",INDEX('Prospect Tracker'!$K$5:$K$554,$K239)))</f>
        <v/>
      </c>
      <c r="I239" s="25">
        <f>IF($K239="","",IF(INDEX('Prospect Tracker'!$T$5:$T$554,$K239)="","",INDEX('Prospect Tracker'!$T$5:$T$554,$K239)))</f>
        <v/>
      </c>
      <c r="J239" s="25">
        <f>IF($K239="","",IF(INDEX('Prospect Tracker'!$L$5:$L$554,$K239)="","",INDEX('Prospect Tracker'!$L$5:$L$554,$K239)))</f>
        <v/>
      </c>
      <c r="K239" s="19">
        <f>IFERROR(MATCH(SMALL('Prospect Tracker'!$X$5:$X$554,ROW()-4),'Prospect Tracker'!$X$5:$X$554,0),"")</f>
        <v/>
      </c>
    </row>
    <row r="240" ht="15" customHeight="1" s="20">
      <c r="A240" s="30">
        <f>IF($K240="","",IF(INDEX('Prospect Tracker'!$W$5:$W$554,$K240)="","",INDEX('Prospect Tracker'!$W$5:$W$554,$K240)))</f>
        <v/>
      </c>
      <c r="B240" s="30">
        <f>IF($K240="","",IF(INDEX('Prospect Tracker'!$A$5:$A$554,$K240)="","",INDEX('Prospect Tracker'!$A$5:$A$554,$K240)))</f>
        <v/>
      </c>
      <c r="C240" s="30">
        <f>IF($K240="","",IF(INDEX('Prospect Tracker'!$B$5:$B$554,$K240)="","",INDEX('Prospect Tracker'!$B$5:$B$554,$K240)))</f>
        <v/>
      </c>
      <c r="D240" s="30">
        <f>IF($K240="","",IF(INDEX('Prospect Tracker'!$M$5:$M$554,$K240)="","",INDEX('Prospect Tracker'!$M$5:$M$554,$K240)))</f>
        <v/>
      </c>
      <c r="E240" s="30">
        <f>IF($K240="","",IF(INDEX('Prospect Tracker'!$R$5:$R$554,$K240)="","",INDEX('Prospect Tracker'!$R$5:$R$554,$K240)))</f>
        <v/>
      </c>
      <c r="F240" s="30">
        <f>IF($K240="","",IF(INDEX('Prospect Tracker'!$J$5:$J$554,$K240)="","",INDEX('Prospect Tracker'!$J$5:$J$554,$K240)))</f>
        <v/>
      </c>
      <c r="G240" s="30">
        <f>IF($K240="","",IF(INDEX('Prospect Tracker'!$H$5:$H$554,$K240)="","",INDEX('Prospect Tracker'!$H$5:$H$554,$K240)))</f>
        <v/>
      </c>
      <c r="H240" s="31">
        <f>IF($K240="","",IF(INDEX('Prospect Tracker'!$K$5:$K$554,$K240)="","",INDEX('Prospect Tracker'!$K$5:$K$554,$K240)))</f>
        <v/>
      </c>
      <c r="I240" s="30">
        <f>IF($K240="","",IF(INDEX('Prospect Tracker'!$T$5:$T$554,$K240)="","",INDEX('Prospect Tracker'!$T$5:$T$554,$K240)))</f>
        <v/>
      </c>
      <c r="J240" s="30">
        <f>IF($K240="","",IF(INDEX('Prospect Tracker'!$L$5:$L$554,$K240)="","",INDEX('Prospect Tracker'!$L$5:$L$554,$K240)))</f>
        <v/>
      </c>
      <c r="K240" s="19">
        <f>IFERROR(MATCH(SMALL('Prospect Tracker'!$X$5:$X$554,ROW()-4),'Prospect Tracker'!$X$5:$X$554,0),"")</f>
        <v/>
      </c>
    </row>
    <row r="241" ht="15" customHeight="1" s="20">
      <c r="A241" s="25">
        <f>IF($K241="","",IF(INDEX('Prospect Tracker'!$W$5:$W$554,$K241)="","",INDEX('Prospect Tracker'!$W$5:$W$554,$K241)))</f>
        <v/>
      </c>
      <c r="B241" s="25">
        <f>IF($K241="","",IF(INDEX('Prospect Tracker'!$A$5:$A$554,$K241)="","",INDEX('Prospect Tracker'!$A$5:$A$554,$K241)))</f>
        <v/>
      </c>
      <c r="C241" s="25">
        <f>IF($K241="","",IF(INDEX('Prospect Tracker'!$B$5:$B$554,$K241)="","",INDEX('Prospect Tracker'!$B$5:$B$554,$K241)))</f>
        <v/>
      </c>
      <c r="D241" s="25">
        <f>IF($K241="","",IF(INDEX('Prospect Tracker'!$M$5:$M$554,$K241)="","",INDEX('Prospect Tracker'!$M$5:$M$554,$K241)))</f>
        <v/>
      </c>
      <c r="E241" s="25">
        <f>IF($K241="","",IF(INDEX('Prospect Tracker'!$R$5:$R$554,$K241)="","",INDEX('Prospect Tracker'!$R$5:$R$554,$K241)))</f>
        <v/>
      </c>
      <c r="F241" s="25">
        <f>IF($K241="","",IF(INDEX('Prospect Tracker'!$J$5:$J$554,$K241)="","",INDEX('Prospect Tracker'!$J$5:$J$554,$K241)))</f>
        <v/>
      </c>
      <c r="G241" s="25">
        <f>IF($K241="","",IF(INDEX('Prospect Tracker'!$H$5:$H$554,$K241)="","",INDEX('Prospect Tracker'!$H$5:$H$554,$K241)))</f>
        <v/>
      </c>
      <c r="H241" s="26">
        <f>IF($K241="","",IF(INDEX('Prospect Tracker'!$K$5:$K$554,$K241)="","",INDEX('Prospect Tracker'!$K$5:$K$554,$K241)))</f>
        <v/>
      </c>
      <c r="I241" s="25">
        <f>IF($K241="","",IF(INDEX('Prospect Tracker'!$T$5:$T$554,$K241)="","",INDEX('Prospect Tracker'!$T$5:$T$554,$K241)))</f>
        <v/>
      </c>
      <c r="J241" s="25">
        <f>IF($K241="","",IF(INDEX('Prospect Tracker'!$L$5:$L$554,$K241)="","",INDEX('Prospect Tracker'!$L$5:$L$554,$K241)))</f>
        <v/>
      </c>
      <c r="K241" s="19">
        <f>IFERROR(MATCH(SMALL('Prospect Tracker'!$X$5:$X$554,ROW()-4),'Prospect Tracker'!$X$5:$X$554,0),"")</f>
        <v/>
      </c>
    </row>
    <row r="242" ht="15" customHeight="1" s="20">
      <c r="A242" s="30">
        <f>IF($K242="","",IF(INDEX('Prospect Tracker'!$W$5:$W$554,$K242)="","",INDEX('Prospect Tracker'!$W$5:$W$554,$K242)))</f>
        <v/>
      </c>
      <c r="B242" s="30">
        <f>IF($K242="","",IF(INDEX('Prospect Tracker'!$A$5:$A$554,$K242)="","",INDEX('Prospect Tracker'!$A$5:$A$554,$K242)))</f>
        <v/>
      </c>
      <c r="C242" s="30">
        <f>IF($K242="","",IF(INDEX('Prospect Tracker'!$B$5:$B$554,$K242)="","",INDEX('Prospect Tracker'!$B$5:$B$554,$K242)))</f>
        <v/>
      </c>
      <c r="D242" s="30">
        <f>IF($K242="","",IF(INDEX('Prospect Tracker'!$M$5:$M$554,$K242)="","",INDEX('Prospect Tracker'!$M$5:$M$554,$K242)))</f>
        <v/>
      </c>
      <c r="E242" s="30">
        <f>IF($K242="","",IF(INDEX('Prospect Tracker'!$R$5:$R$554,$K242)="","",INDEX('Prospect Tracker'!$R$5:$R$554,$K242)))</f>
        <v/>
      </c>
      <c r="F242" s="30">
        <f>IF($K242="","",IF(INDEX('Prospect Tracker'!$J$5:$J$554,$K242)="","",INDEX('Prospect Tracker'!$J$5:$J$554,$K242)))</f>
        <v/>
      </c>
      <c r="G242" s="30">
        <f>IF($K242="","",IF(INDEX('Prospect Tracker'!$H$5:$H$554,$K242)="","",INDEX('Prospect Tracker'!$H$5:$H$554,$K242)))</f>
        <v/>
      </c>
      <c r="H242" s="31">
        <f>IF($K242="","",IF(INDEX('Prospect Tracker'!$K$5:$K$554,$K242)="","",INDEX('Prospect Tracker'!$K$5:$K$554,$K242)))</f>
        <v/>
      </c>
      <c r="I242" s="30">
        <f>IF($K242="","",IF(INDEX('Prospect Tracker'!$T$5:$T$554,$K242)="","",INDEX('Prospect Tracker'!$T$5:$T$554,$K242)))</f>
        <v/>
      </c>
      <c r="J242" s="30">
        <f>IF($K242="","",IF(INDEX('Prospect Tracker'!$L$5:$L$554,$K242)="","",INDEX('Prospect Tracker'!$L$5:$L$554,$K242)))</f>
        <v/>
      </c>
      <c r="K242" s="19">
        <f>IFERROR(MATCH(SMALL('Prospect Tracker'!$X$5:$X$554,ROW()-4),'Prospect Tracker'!$X$5:$X$554,0),"")</f>
        <v/>
      </c>
    </row>
    <row r="243" ht="15" customHeight="1" s="20">
      <c r="A243" s="25">
        <f>IF($K243="","",IF(INDEX('Prospect Tracker'!$W$5:$W$554,$K243)="","",INDEX('Prospect Tracker'!$W$5:$W$554,$K243)))</f>
        <v/>
      </c>
      <c r="B243" s="25">
        <f>IF($K243="","",IF(INDEX('Prospect Tracker'!$A$5:$A$554,$K243)="","",INDEX('Prospect Tracker'!$A$5:$A$554,$K243)))</f>
        <v/>
      </c>
      <c r="C243" s="25">
        <f>IF($K243="","",IF(INDEX('Prospect Tracker'!$B$5:$B$554,$K243)="","",INDEX('Prospect Tracker'!$B$5:$B$554,$K243)))</f>
        <v/>
      </c>
      <c r="D243" s="25">
        <f>IF($K243="","",IF(INDEX('Prospect Tracker'!$M$5:$M$554,$K243)="","",INDEX('Prospect Tracker'!$M$5:$M$554,$K243)))</f>
        <v/>
      </c>
      <c r="E243" s="25">
        <f>IF($K243="","",IF(INDEX('Prospect Tracker'!$R$5:$R$554,$K243)="","",INDEX('Prospect Tracker'!$R$5:$R$554,$K243)))</f>
        <v/>
      </c>
      <c r="F243" s="25">
        <f>IF($K243="","",IF(INDEX('Prospect Tracker'!$J$5:$J$554,$K243)="","",INDEX('Prospect Tracker'!$J$5:$J$554,$K243)))</f>
        <v/>
      </c>
      <c r="G243" s="25">
        <f>IF($K243="","",IF(INDEX('Prospect Tracker'!$H$5:$H$554,$K243)="","",INDEX('Prospect Tracker'!$H$5:$H$554,$K243)))</f>
        <v/>
      </c>
      <c r="H243" s="26">
        <f>IF($K243="","",IF(INDEX('Prospect Tracker'!$K$5:$K$554,$K243)="","",INDEX('Prospect Tracker'!$K$5:$K$554,$K243)))</f>
        <v/>
      </c>
      <c r="I243" s="25">
        <f>IF($K243="","",IF(INDEX('Prospect Tracker'!$T$5:$T$554,$K243)="","",INDEX('Prospect Tracker'!$T$5:$T$554,$K243)))</f>
        <v/>
      </c>
      <c r="J243" s="25">
        <f>IF($K243="","",IF(INDEX('Prospect Tracker'!$L$5:$L$554,$K243)="","",INDEX('Prospect Tracker'!$L$5:$L$554,$K243)))</f>
        <v/>
      </c>
      <c r="K243" s="19">
        <f>IFERROR(MATCH(SMALL('Prospect Tracker'!$X$5:$X$554,ROW()-4),'Prospect Tracker'!$X$5:$X$554,0),"")</f>
        <v/>
      </c>
    </row>
    <row r="244" ht="15" customHeight="1" s="20">
      <c r="A244" s="30">
        <f>IF($K244="","",IF(INDEX('Prospect Tracker'!$W$5:$W$554,$K244)="","",INDEX('Prospect Tracker'!$W$5:$W$554,$K244)))</f>
        <v/>
      </c>
      <c r="B244" s="30">
        <f>IF($K244="","",IF(INDEX('Prospect Tracker'!$A$5:$A$554,$K244)="","",INDEX('Prospect Tracker'!$A$5:$A$554,$K244)))</f>
        <v/>
      </c>
      <c r="C244" s="30">
        <f>IF($K244="","",IF(INDEX('Prospect Tracker'!$B$5:$B$554,$K244)="","",INDEX('Prospect Tracker'!$B$5:$B$554,$K244)))</f>
        <v/>
      </c>
      <c r="D244" s="30">
        <f>IF($K244="","",IF(INDEX('Prospect Tracker'!$M$5:$M$554,$K244)="","",INDEX('Prospect Tracker'!$M$5:$M$554,$K244)))</f>
        <v/>
      </c>
      <c r="E244" s="30">
        <f>IF($K244="","",IF(INDEX('Prospect Tracker'!$R$5:$R$554,$K244)="","",INDEX('Prospect Tracker'!$R$5:$R$554,$K244)))</f>
        <v/>
      </c>
      <c r="F244" s="30">
        <f>IF($K244="","",IF(INDEX('Prospect Tracker'!$J$5:$J$554,$K244)="","",INDEX('Prospect Tracker'!$J$5:$J$554,$K244)))</f>
        <v/>
      </c>
      <c r="G244" s="30">
        <f>IF($K244="","",IF(INDEX('Prospect Tracker'!$H$5:$H$554,$K244)="","",INDEX('Prospect Tracker'!$H$5:$H$554,$K244)))</f>
        <v/>
      </c>
      <c r="H244" s="31">
        <f>IF($K244="","",IF(INDEX('Prospect Tracker'!$K$5:$K$554,$K244)="","",INDEX('Prospect Tracker'!$K$5:$K$554,$K244)))</f>
        <v/>
      </c>
      <c r="I244" s="30">
        <f>IF($K244="","",IF(INDEX('Prospect Tracker'!$T$5:$T$554,$K244)="","",INDEX('Prospect Tracker'!$T$5:$T$554,$K244)))</f>
        <v/>
      </c>
      <c r="J244" s="30">
        <f>IF($K244="","",IF(INDEX('Prospect Tracker'!$L$5:$L$554,$K244)="","",INDEX('Prospect Tracker'!$L$5:$L$554,$K244)))</f>
        <v/>
      </c>
      <c r="K244" s="19">
        <f>IFERROR(MATCH(SMALL('Prospect Tracker'!$X$5:$X$554,ROW()-4),'Prospect Tracker'!$X$5:$X$554,0),"")</f>
        <v/>
      </c>
    </row>
    <row r="245" ht="15" customHeight="1" s="20">
      <c r="A245" s="25">
        <f>IF($K245="","",IF(INDEX('Prospect Tracker'!$W$5:$W$554,$K245)="","",INDEX('Prospect Tracker'!$W$5:$W$554,$K245)))</f>
        <v/>
      </c>
      <c r="B245" s="25">
        <f>IF($K245="","",IF(INDEX('Prospect Tracker'!$A$5:$A$554,$K245)="","",INDEX('Prospect Tracker'!$A$5:$A$554,$K245)))</f>
        <v/>
      </c>
      <c r="C245" s="25">
        <f>IF($K245="","",IF(INDEX('Prospect Tracker'!$B$5:$B$554,$K245)="","",INDEX('Prospect Tracker'!$B$5:$B$554,$K245)))</f>
        <v/>
      </c>
      <c r="D245" s="25">
        <f>IF($K245="","",IF(INDEX('Prospect Tracker'!$M$5:$M$554,$K245)="","",INDEX('Prospect Tracker'!$M$5:$M$554,$K245)))</f>
        <v/>
      </c>
      <c r="E245" s="25">
        <f>IF($K245="","",IF(INDEX('Prospect Tracker'!$R$5:$R$554,$K245)="","",INDEX('Prospect Tracker'!$R$5:$R$554,$K245)))</f>
        <v/>
      </c>
      <c r="F245" s="25">
        <f>IF($K245="","",IF(INDEX('Prospect Tracker'!$J$5:$J$554,$K245)="","",INDEX('Prospect Tracker'!$J$5:$J$554,$K245)))</f>
        <v/>
      </c>
      <c r="G245" s="25">
        <f>IF($K245="","",IF(INDEX('Prospect Tracker'!$H$5:$H$554,$K245)="","",INDEX('Prospect Tracker'!$H$5:$H$554,$K245)))</f>
        <v/>
      </c>
      <c r="H245" s="26">
        <f>IF($K245="","",IF(INDEX('Prospect Tracker'!$K$5:$K$554,$K245)="","",INDEX('Prospect Tracker'!$K$5:$K$554,$K245)))</f>
        <v/>
      </c>
      <c r="I245" s="25">
        <f>IF($K245="","",IF(INDEX('Prospect Tracker'!$T$5:$T$554,$K245)="","",INDEX('Prospect Tracker'!$T$5:$T$554,$K245)))</f>
        <v/>
      </c>
      <c r="J245" s="25">
        <f>IF($K245="","",IF(INDEX('Prospect Tracker'!$L$5:$L$554,$K245)="","",INDEX('Prospect Tracker'!$L$5:$L$554,$K245)))</f>
        <v/>
      </c>
      <c r="K245" s="19">
        <f>IFERROR(MATCH(SMALL('Prospect Tracker'!$X$5:$X$554,ROW()-4),'Prospect Tracker'!$X$5:$X$554,0),"")</f>
        <v/>
      </c>
    </row>
    <row r="246" ht="15" customHeight="1" s="20">
      <c r="A246" s="30">
        <f>IF($K246="","",IF(INDEX('Prospect Tracker'!$W$5:$W$554,$K246)="","",INDEX('Prospect Tracker'!$W$5:$W$554,$K246)))</f>
        <v/>
      </c>
      <c r="B246" s="30">
        <f>IF($K246="","",IF(INDEX('Prospect Tracker'!$A$5:$A$554,$K246)="","",INDEX('Prospect Tracker'!$A$5:$A$554,$K246)))</f>
        <v/>
      </c>
      <c r="C246" s="30">
        <f>IF($K246="","",IF(INDEX('Prospect Tracker'!$B$5:$B$554,$K246)="","",INDEX('Prospect Tracker'!$B$5:$B$554,$K246)))</f>
        <v/>
      </c>
      <c r="D246" s="30">
        <f>IF($K246="","",IF(INDEX('Prospect Tracker'!$M$5:$M$554,$K246)="","",INDEX('Prospect Tracker'!$M$5:$M$554,$K246)))</f>
        <v/>
      </c>
      <c r="E246" s="30">
        <f>IF($K246="","",IF(INDEX('Prospect Tracker'!$R$5:$R$554,$K246)="","",INDEX('Prospect Tracker'!$R$5:$R$554,$K246)))</f>
        <v/>
      </c>
      <c r="F246" s="30">
        <f>IF($K246="","",IF(INDEX('Prospect Tracker'!$J$5:$J$554,$K246)="","",INDEX('Prospect Tracker'!$J$5:$J$554,$K246)))</f>
        <v/>
      </c>
      <c r="G246" s="30">
        <f>IF($K246="","",IF(INDEX('Prospect Tracker'!$H$5:$H$554,$K246)="","",INDEX('Prospect Tracker'!$H$5:$H$554,$K246)))</f>
        <v/>
      </c>
      <c r="H246" s="31">
        <f>IF($K246="","",IF(INDEX('Prospect Tracker'!$K$5:$K$554,$K246)="","",INDEX('Prospect Tracker'!$K$5:$K$554,$K246)))</f>
        <v/>
      </c>
      <c r="I246" s="30">
        <f>IF($K246="","",IF(INDEX('Prospect Tracker'!$T$5:$T$554,$K246)="","",INDEX('Prospect Tracker'!$T$5:$T$554,$K246)))</f>
        <v/>
      </c>
      <c r="J246" s="30">
        <f>IF($K246="","",IF(INDEX('Prospect Tracker'!$L$5:$L$554,$K246)="","",INDEX('Prospect Tracker'!$L$5:$L$554,$K246)))</f>
        <v/>
      </c>
      <c r="K246" s="19">
        <f>IFERROR(MATCH(SMALL('Prospect Tracker'!$X$5:$X$554,ROW()-4),'Prospect Tracker'!$X$5:$X$554,0),"")</f>
        <v/>
      </c>
    </row>
    <row r="247" ht="15" customHeight="1" s="20">
      <c r="A247" s="25">
        <f>IF($K247="","",IF(INDEX('Prospect Tracker'!$W$5:$W$554,$K247)="","",INDEX('Prospect Tracker'!$W$5:$W$554,$K247)))</f>
        <v/>
      </c>
      <c r="B247" s="25">
        <f>IF($K247="","",IF(INDEX('Prospect Tracker'!$A$5:$A$554,$K247)="","",INDEX('Prospect Tracker'!$A$5:$A$554,$K247)))</f>
        <v/>
      </c>
      <c r="C247" s="25">
        <f>IF($K247="","",IF(INDEX('Prospect Tracker'!$B$5:$B$554,$K247)="","",INDEX('Prospect Tracker'!$B$5:$B$554,$K247)))</f>
        <v/>
      </c>
      <c r="D247" s="25">
        <f>IF($K247="","",IF(INDEX('Prospect Tracker'!$M$5:$M$554,$K247)="","",INDEX('Prospect Tracker'!$M$5:$M$554,$K247)))</f>
        <v/>
      </c>
      <c r="E247" s="25">
        <f>IF($K247="","",IF(INDEX('Prospect Tracker'!$R$5:$R$554,$K247)="","",INDEX('Prospect Tracker'!$R$5:$R$554,$K247)))</f>
        <v/>
      </c>
      <c r="F247" s="25">
        <f>IF($K247="","",IF(INDEX('Prospect Tracker'!$J$5:$J$554,$K247)="","",INDEX('Prospect Tracker'!$J$5:$J$554,$K247)))</f>
        <v/>
      </c>
      <c r="G247" s="25">
        <f>IF($K247="","",IF(INDEX('Prospect Tracker'!$H$5:$H$554,$K247)="","",INDEX('Prospect Tracker'!$H$5:$H$554,$K247)))</f>
        <v/>
      </c>
      <c r="H247" s="26">
        <f>IF($K247="","",IF(INDEX('Prospect Tracker'!$K$5:$K$554,$K247)="","",INDEX('Prospect Tracker'!$K$5:$K$554,$K247)))</f>
        <v/>
      </c>
      <c r="I247" s="25">
        <f>IF($K247="","",IF(INDEX('Prospect Tracker'!$T$5:$T$554,$K247)="","",INDEX('Prospect Tracker'!$T$5:$T$554,$K247)))</f>
        <v/>
      </c>
      <c r="J247" s="25">
        <f>IF($K247="","",IF(INDEX('Prospect Tracker'!$L$5:$L$554,$K247)="","",INDEX('Prospect Tracker'!$L$5:$L$554,$K247)))</f>
        <v/>
      </c>
      <c r="K247" s="19">
        <f>IFERROR(MATCH(SMALL('Prospect Tracker'!$X$5:$X$554,ROW()-4),'Prospect Tracker'!$X$5:$X$554,0),"")</f>
        <v/>
      </c>
    </row>
    <row r="248" ht="15" customHeight="1" s="20">
      <c r="A248" s="30">
        <f>IF($K248="","",IF(INDEX('Prospect Tracker'!$W$5:$W$554,$K248)="","",INDEX('Prospect Tracker'!$W$5:$W$554,$K248)))</f>
        <v/>
      </c>
      <c r="B248" s="30">
        <f>IF($K248="","",IF(INDEX('Prospect Tracker'!$A$5:$A$554,$K248)="","",INDEX('Prospect Tracker'!$A$5:$A$554,$K248)))</f>
        <v/>
      </c>
      <c r="C248" s="30">
        <f>IF($K248="","",IF(INDEX('Prospect Tracker'!$B$5:$B$554,$K248)="","",INDEX('Prospect Tracker'!$B$5:$B$554,$K248)))</f>
        <v/>
      </c>
      <c r="D248" s="30">
        <f>IF($K248="","",IF(INDEX('Prospect Tracker'!$M$5:$M$554,$K248)="","",INDEX('Prospect Tracker'!$M$5:$M$554,$K248)))</f>
        <v/>
      </c>
      <c r="E248" s="30">
        <f>IF($K248="","",IF(INDEX('Prospect Tracker'!$R$5:$R$554,$K248)="","",INDEX('Prospect Tracker'!$R$5:$R$554,$K248)))</f>
        <v/>
      </c>
      <c r="F248" s="30">
        <f>IF($K248="","",IF(INDEX('Prospect Tracker'!$J$5:$J$554,$K248)="","",INDEX('Prospect Tracker'!$J$5:$J$554,$K248)))</f>
        <v/>
      </c>
      <c r="G248" s="30">
        <f>IF($K248="","",IF(INDEX('Prospect Tracker'!$H$5:$H$554,$K248)="","",INDEX('Prospect Tracker'!$H$5:$H$554,$K248)))</f>
        <v/>
      </c>
      <c r="H248" s="31">
        <f>IF($K248="","",IF(INDEX('Prospect Tracker'!$K$5:$K$554,$K248)="","",INDEX('Prospect Tracker'!$K$5:$K$554,$K248)))</f>
        <v/>
      </c>
      <c r="I248" s="30">
        <f>IF($K248="","",IF(INDEX('Prospect Tracker'!$T$5:$T$554,$K248)="","",INDEX('Prospect Tracker'!$T$5:$T$554,$K248)))</f>
        <v/>
      </c>
      <c r="J248" s="30">
        <f>IF($K248="","",IF(INDEX('Prospect Tracker'!$L$5:$L$554,$K248)="","",INDEX('Prospect Tracker'!$L$5:$L$554,$K248)))</f>
        <v/>
      </c>
      <c r="K248" s="19">
        <f>IFERROR(MATCH(SMALL('Prospect Tracker'!$X$5:$X$554,ROW()-4),'Prospect Tracker'!$X$5:$X$554,0),"")</f>
        <v/>
      </c>
    </row>
    <row r="249" ht="15" customHeight="1" s="20">
      <c r="A249" s="25">
        <f>IF($K249="","",IF(INDEX('Prospect Tracker'!$W$5:$W$554,$K249)="","",INDEX('Prospect Tracker'!$W$5:$W$554,$K249)))</f>
        <v/>
      </c>
      <c r="B249" s="25">
        <f>IF($K249="","",IF(INDEX('Prospect Tracker'!$A$5:$A$554,$K249)="","",INDEX('Prospect Tracker'!$A$5:$A$554,$K249)))</f>
        <v/>
      </c>
      <c r="C249" s="25">
        <f>IF($K249="","",IF(INDEX('Prospect Tracker'!$B$5:$B$554,$K249)="","",INDEX('Prospect Tracker'!$B$5:$B$554,$K249)))</f>
        <v/>
      </c>
      <c r="D249" s="25">
        <f>IF($K249="","",IF(INDEX('Prospect Tracker'!$M$5:$M$554,$K249)="","",INDEX('Prospect Tracker'!$M$5:$M$554,$K249)))</f>
        <v/>
      </c>
      <c r="E249" s="25">
        <f>IF($K249="","",IF(INDEX('Prospect Tracker'!$R$5:$R$554,$K249)="","",INDEX('Prospect Tracker'!$R$5:$R$554,$K249)))</f>
        <v/>
      </c>
      <c r="F249" s="25">
        <f>IF($K249="","",IF(INDEX('Prospect Tracker'!$J$5:$J$554,$K249)="","",INDEX('Prospect Tracker'!$J$5:$J$554,$K249)))</f>
        <v/>
      </c>
      <c r="G249" s="25">
        <f>IF($K249="","",IF(INDEX('Prospect Tracker'!$H$5:$H$554,$K249)="","",INDEX('Prospect Tracker'!$H$5:$H$554,$K249)))</f>
        <v/>
      </c>
      <c r="H249" s="26">
        <f>IF($K249="","",IF(INDEX('Prospect Tracker'!$K$5:$K$554,$K249)="","",INDEX('Prospect Tracker'!$K$5:$K$554,$K249)))</f>
        <v/>
      </c>
      <c r="I249" s="25">
        <f>IF($K249="","",IF(INDEX('Prospect Tracker'!$T$5:$T$554,$K249)="","",INDEX('Prospect Tracker'!$T$5:$T$554,$K249)))</f>
        <v/>
      </c>
      <c r="J249" s="25">
        <f>IF($K249="","",IF(INDEX('Prospect Tracker'!$L$5:$L$554,$K249)="","",INDEX('Prospect Tracker'!$L$5:$L$554,$K249)))</f>
        <v/>
      </c>
      <c r="K249" s="19">
        <f>IFERROR(MATCH(SMALL('Prospect Tracker'!$X$5:$X$554,ROW()-4),'Prospect Tracker'!$X$5:$X$554,0),"")</f>
        <v/>
      </c>
    </row>
    <row r="250" ht="15" customHeight="1" s="20">
      <c r="A250" s="30">
        <f>IF($K250="","",IF(INDEX('Prospect Tracker'!$W$5:$W$554,$K250)="","",INDEX('Prospect Tracker'!$W$5:$W$554,$K250)))</f>
        <v/>
      </c>
      <c r="B250" s="30">
        <f>IF($K250="","",IF(INDEX('Prospect Tracker'!$A$5:$A$554,$K250)="","",INDEX('Prospect Tracker'!$A$5:$A$554,$K250)))</f>
        <v/>
      </c>
      <c r="C250" s="30">
        <f>IF($K250="","",IF(INDEX('Prospect Tracker'!$B$5:$B$554,$K250)="","",INDEX('Prospect Tracker'!$B$5:$B$554,$K250)))</f>
        <v/>
      </c>
      <c r="D250" s="30">
        <f>IF($K250="","",IF(INDEX('Prospect Tracker'!$M$5:$M$554,$K250)="","",INDEX('Prospect Tracker'!$M$5:$M$554,$K250)))</f>
        <v/>
      </c>
      <c r="E250" s="30">
        <f>IF($K250="","",IF(INDEX('Prospect Tracker'!$R$5:$R$554,$K250)="","",INDEX('Prospect Tracker'!$R$5:$R$554,$K250)))</f>
        <v/>
      </c>
      <c r="F250" s="30">
        <f>IF($K250="","",IF(INDEX('Prospect Tracker'!$J$5:$J$554,$K250)="","",INDEX('Prospect Tracker'!$J$5:$J$554,$K250)))</f>
        <v/>
      </c>
      <c r="G250" s="30">
        <f>IF($K250="","",IF(INDEX('Prospect Tracker'!$H$5:$H$554,$K250)="","",INDEX('Prospect Tracker'!$H$5:$H$554,$K250)))</f>
        <v/>
      </c>
      <c r="H250" s="31">
        <f>IF($K250="","",IF(INDEX('Prospect Tracker'!$K$5:$K$554,$K250)="","",INDEX('Prospect Tracker'!$K$5:$K$554,$K250)))</f>
        <v/>
      </c>
      <c r="I250" s="30">
        <f>IF($K250="","",IF(INDEX('Prospect Tracker'!$T$5:$T$554,$K250)="","",INDEX('Prospect Tracker'!$T$5:$T$554,$K250)))</f>
        <v/>
      </c>
      <c r="J250" s="30">
        <f>IF($K250="","",IF(INDEX('Prospect Tracker'!$L$5:$L$554,$K250)="","",INDEX('Prospect Tracker'!$L$5:$L$554,$K250)))</f>
        <v/>
      </c>
      <c r="K250" s="19">
        <f>IFERROR(MATCH(SMALL('Prospect Tracker'!$X$5:$X$554,ROW()-4),'Prospect Tracker'!$X$5:$X$554,0),"")</f>
        <v/>
      </c>
    </row>
    <row r="251" ht="15" customHeight="1" s="20">
      <c r="A251" s="25">
        <f>IF($K251="","",IF(INDEX('Prospect Tracker'!$W$5:$W$554,$K251)="","",INDEX('Prospect Tracker'!$W$5:$W$554,$K251)))</f>
        <v/>
      </c>
      <c r="B251" s="25">
        <f>IF($K251="","",IF(INDEX('Prospect Tracker'!$A$5:$A$554,$K251)="","",INDEX('Prospect Tracker'!$A$5:$A$554,$K251)))</f>
        <v/>
      </c>
      <c r="C251" s="25">
        <f>IF($K251="","",IF(INDEX('Prospect Tracker'!$B$5:$B$554,$K251)="","",INDEX('Prospect Tracker'!$B$5:$B$554,$K251)))</f>
        <v/>
      </c>
      <c r="D251" s="25">
        <f>IF($K251="","",IF(INDEX('Prospect Tracker'!$M$5:$M$554,$K251)="","",INDEX('Prospect Tracker'!$M$5:$M$554,$K251)))</f>
        <v/>
      </c>
      <c r="E251" s="25">
        <f>IF($K251="","",IF(INDEX('Prospect Tracker'!$R$5:$R$554,$K251)="","",INDEX('Prospect Tracker'!$R$5:$R$554,$K251)))</f>
        <v/>
      </c>
      <c r="F251" s="25">
        <f>IF($K251="","",IF(INDEX('Prospect Tracker'!$J$5:$J$554,$K251)="","",INDEX('Prospect Tracker'!$J$5:$J$554,$K251)))</f>
        <v/>
      </c>
      <c r="G251" s="25">
        <f>IF($K251="","",IF(INDEX('Prospect Tracker'!$H$5:$H$554,$K251)="","",INDEX('Prospect Tracker'!$H$5:$H$554,$K251)))</f>
        <v/>
      </c>
      <c r="H251" s="26">
        <f>IF($K251="","",IF(INDEX('Prospect Tracker'!$K$5:$K$554,$K251)="","",INDEX('Prospect Tracker'!$K$5:$K$554,$K251)))</f>
        <v/>
      </c>
      <c r="I251" s="25">
        <f>IF($K251="","",IF(INDEX('Prospect Tracker'!$T$5:$T$554,$K251)="","",INDEX('Prospect Tracker'!$T$5:$T$554,$K251)))</f>
        <v/>
      </c>
      <c r="J251" s="25">
        <f>IF($K251="","",IF(INDEX('Prospect Tracker'!$L$5:$L$554,$K251)="","",INDEX('Prospect Tracker'!$L$5:$L$554,$K251)))</f>
        <v/>
      </c>
      <c r="K251" s="19">
        <f>IFERROR(MATCH(SMALL('Prospect Tracker'!$X$5:$X$554,ROW()-4),'Prospect Tracker'!$X$5:$X$554,0),"")</f>
        <v/>
      </c>
    </row>
    <row r="252" ht="15" customHeight="1" s="20">
      <c r="A252" s="30">
        <f>IF($K252="","",IF(INDEX('Prospect Tracker'!$W$5:$W$554,$K252)="","",INDEX('Prospect Tracker'!$W$5:$W$554,$K252)))</f>
        <v/>
      </c>
      <c r="B252" s="30">
        <f>IF($K252="","",IF(INDEX('Prospect Tracker'!$A$5:$A$554,$K252)="","",INDEX('Prospect Tracker'!$A$5:$A$554,$K252)))</f>
        <v/>
      </c>
      <c r="C252" s="30">
        <f>IF($K252="","",IF(INDEX('Prospect Tracker'!$B$5:$B$554,$K252)="","",INDEX('Prospect Tracker'!$B$5:$B$554,$K252)))</f>
        <v/>
      </c>
      <c r="D252" s="30">
        <f>IF($K252="","",IF(INDEX('Prospect Tracker'!$M$5:$M$554,$K252)="","",INDEX('Prospect Tracker'!$M$5:$M$554,$K252)))</f>
        <v/>
      </c>
      <c r="E252" s="30">
        <f>IF($K252="","",IF(INDEX('Prospect Tracker'!$R$5:$R$554,$K252)="","",INDEX('Prospect Tracker'!$R$5:$R$554,$K252)))</f>
        <v/>
      </c>
      <c r="F252" s="30">
        <f>IF($K252="","",IF(INDEX('Prospect Tracker'!$J$5:$J$554,$K252)="","",INDEX('Prospect Tracker'!$J$5:$J$554,$K252)))</f>
        <v/>
      </c>
      <c r="G252" s="30">
        <f>IF($K252="","",IF(INDEX('Prospect Tracker'!$H$5:$H$554,$K252)="","",INDEX('Prospect Tracker'!$H$5:$H$554,$K252)))</f>
        <v/>
      </c>
      <c r="H252" s="31">
        <f>IF($K252="","",IF(INDEX('Prospect Tracker'!$K$5:$K$554,$K252)="","",INDEX('Prospect Tracker'!$K$5:$K$554,$K252)))</f>
        <v/>
      </c>
      <c r="I252" s="30">
        <f>IF($K252="","",IF(INDEX('Prospect Tracker'!$T$5:$T$554,$K252)="","",INDEX('Prospect Tracker'!$T$5:$T$554,$K252)))</f>
        <v/>
      </c>
      <c r="J252" s="30">
        <f>IF($K252="","",IF(INDEX('Prospect Tracker'!$L$5:$L$554,$K252)="","",INDEX('Prospect Tracker'!$L$5:$L$554,$K252)))</f>
        <v/>
      </c>
      <c r="K252" s="19">
        <f>IFERROR(MATCH(SMALL('Prospect Tracker'!$X$5:$X$554,ROW()-4),'Prospect Tracker'!$X$5:$X$554,0),"")</f>
        <v/>
      </c>
    </row>
    <row r="253" ht="15" customHeight="1" s="20">
      <c r="A253" s="25">
        <f>IF($K253="","",IF(INDEX('Prospect Tracker'!$W$5:$W$554,$K253)="","",INDEX('Prospect Tracker'!$W$5:$W$554,$K253)))</f>
        <v/>
      </c>
      <c r="B253" s="25">
        <f>IF($K253="","",IF(INDEX('Prospect Tracker'!$A$5:$A$554,$K253)="","",INDEX('Prospect Tracker'!$A$5:$A$554,$K253)))</f>
        <v/>
      </c>
      <c r="C253" s="25">
        <f>IF($K253="","",IF(INDEX('Prospect Tracker'!$B$5:$B$554,$K253)="","",INDEX('Prospect Tracker'!$B$5:$B$554,$K253)))</f>
        <v/>
      </c>
      <c r="D253" s="25">
        <f>IF($K253="","",IF(INDEX('Prospect Tracker'!$M$5:$M$554,$K253)="","",INDEX('Prospect Tracker'!$M$5:$M$554,$K253)))</f>
        <v/>
      </c>
      <c r="E253" s="25">
        <f>IF($K253="","",IF(INDEX('Prospect Tracker'!$R$5:$R$554,$K253)="","",INDEX('Prospect Tracker'!$R$5:$R$554,$K253)))</f>
        <v/>
      </c>
      <c r="F253" s="25">
        <f>IF($K253="","",IF(INDEX('Prospect Tracker'!$J$5:$J$554,$K253)="","",INDEX('Prospect Tracker'!$J$5:$J$554,$K253)))</f>
        <v/>
      </c>
      <c r="G253" s="25">
        <f>IF($K253="","",IF(INDEX('Prospect Tracker'!$H$5:$H$554,$K253)="","",INDEX('Prospect Tracker'!$H$5:$H$554,$K253)))</f>
        <v/>
      </c>
      <c r="H253" s="26">
        <f>IF($K253="","",IF(INDEX('Prospect Tracker'!$K$5:$K$554,$K253)="","",INDEX('Prospect Tracker'!$K$5:$K$554,$K253)))</f>
        <v/>
      </c>
      <c r="I253" s="25">
        <f>IF($K253="","",IF(INDEX('Prospect Tracker'!$T$5:$T$554,$K253)="","",INDEX('Prospect Tracker'!$T$5:$T$554,$K253)))</f>
        <v/>
      </c>
      <c r="J253" s="25">
        <f>IF($K253="","",IF(INDEX('Prospect Tracker'!$L$5:$L$554,$K253)="","",INDEX('Prospect Tracker'!$L$5:$L$554,$K253)))</f>
        <v/>
      </c>
      <c r="K253" s="19">
        <f>IFERROR(MATCH(SMALL('Prospect Tracker'!$X$5:$X$554,ROW()-4),'Prospect Tracker'!$X$5:$X$554,0),"")</f>
        <v/>
      </c>
    </row>
    <row r="254" ht="15" customHeight="1" s="20">
      <c r="A254" s="30">
        <f>IF($K254="","",IF(INDEX('Prospect Tracker'!$W$5:$W$554,$K254)="","",INDEX('Prospect Tracker'!$W$5:$W$554,$K254)))</f>
        <v/>
      </c>
      <c r="B254" s="30">
        <f>IF($K254="","",IF(INDEX('Prospect Tracker'!$A$5:$A$554,$K254)="","",INDEX('Prospect Tracker'!$A$5:$A$554,$K254)))</f>
        <v/>
      </c>
      <c r="C254" s="30">
        <f>IF($K254="","",IF(INDEX('Prospect Tracker'!$B$5:$B$554,$K254)="","",INDEX('Prospect Tracker'!$B$5:$B$554,$K254)))</f>
        <v/>
      </c>
      <c r="D254" s="30">
        <f>IF($K254="","",IF(INDEX('Prospect Tracker'!$M$5:$M$554,$K254)="","",INDEX('Prospect Tracker'!$M$5:$M$554,$K254)))</f>
        <v/>
      </c>
      <c r="E254" s="30">
        <f>IF($K254="","",IF(INDEX('Prospect Tracker'!$R$5:$R$554,$K254)="","",INDEX('Prospect Tracker'!$R$5:$R$554,$K254)))</f>
        <v/>
      </c>
      <c r="F254" s="30">
        <f>IF($K254="","",IF(INDEX('Prospect Tracker'!$J$5:$J$554,$K254)="","",INDEX('Prospect Tracker'!$J$5:$J$554,$K254)))</f>
        <v/>
      </c>
      <c r="G254" s="30">
        <f>IF($K254="","",IF(INDEX('Prospect Tracker'!$H$5:$H$554,$K254)="","",INDEX('Prospect Tracker'!$H$5:$H$554,$K254)))</f>
        <v/>
      </c>
      <c r="H254" s="31">
        <f>IF($K254="","",IF(INDEX('Prospect Tracker'!$K$5:$K$554,$K254)="","",INDEX('Prospect Tracker'!$K$5:$K$554,$K254)))</f>
        <v/>
      </c>
      <c r="I254" s="30">
        <f>IF($K254="","",IF(INDEX('Prospect Tracker'!$T$5:$T$554,$K254)="","",INDEX('Prospect Tracker'!$T$5:$T$554,$K254)))</f>
        <v/>
      </c>
      <c r="J254" s="30">
        <f>IF($K254="","",IF(INDEX('Prospect Tracker'!$L$5:$L$554,$K254)="","",INDEX('Prospect Tracker'!$L$5:$L$554,$K254)))</f>
        <v/>
      </c>
      <c r="K254" s="19">
        <f>IFERROR(MATCH(SMALL('Prospect Tracker'!$X$5:$X$554,ROW()-4),'Prospect Tracker'!$X$5:$X$554,0),"")</f>
        <v/>
      </c>
    </row>
    <row r="255" ht="15" customHeight="1" s="20">
      <c r="A255" s="25">
        <f>IF($K255="","",IF(INDEX('Prospect Tracker'!$W$5:$W$554,$K255)="","",INDEX('Prospect Tracker'!$W$5:$W$554,$K255)))</f>
        <v/>
      </c>
      <c r="B255" s="25">
        <f>IF($K255="","",IF(INDEX('Prospect Tracker'!$A$5:$A$554,$K255)="","",INDEX('Prospect Tracker'!$A$5:$A$554,$K255)))</f>
        <v/>
      </c>
      <c r="C255" s="25">
        <f>IF($K255="","",IF(INDEX('Prospect Tracker'!$B$5:$B$554,$K255)="","",INDEX('Prospect Tracker'!$B$5:$B$554,$K255)))</f>
        <v/>
      </c>
      <c r="D255" s="25">
        <f>IF($K255="","",IF(INDEX('Prospect Tracker'!$M$5:$M$554,$K255)="","",INDEX('Prospect Tracker'!$M$5:$M$554,$K255)))</f>
        <v/>
      </c>
      <c r="E255" s="25">
        <f>IF($K255="","",IF(INDEX('Prospect Tracker'!$R$5:$R$554,$K255)="","",INDEX('Prospect Tracker'!$R$5:$R$554,$K255)))</f>
        <v/>
      </c>
      <c r="F255" s="25">
        <f>IF($K255="","",IF(INDEX('Prospect Tracker'!$J$5:$J$554,$K255)="","",INDEX('Prospect Tracker'!$J$5:$J$554,$K255)))</f>
        <v/>
      </c>
      <c r="G255" s="25">
        <f>IF($K255="","",IF(INDEX('Prospect Tracker'!$H$5:$H$554,$K255)="","",INDEX('Prospect Tracker'!$H$5:$H$554,$K255)))</f>
        <v/>
      </c>
      <c r="H255" s="26">
        <f>IF($K255="","",IF(INDEX('Prospect Tracker'!$K$5:$K$554,$K255)="","",INDEX('Prospect Tracker'!$K$5:$K$554,$K255)))</f>
        <v/>
      </c>
      <c r="I255" s="25">
        <f>IF($K255="","",IF(INDEX('Prospect Tracker'!$T$5:$T$554,$K255)="","",INDEX('Prospect Tracker'!$T$5:$T$554,$K255)))</f>
        <v/>
      </c>
      <c r="J255" s="25">
        <f>IF($K255="","",IF(INDEX('Prospect Tracker'!$L$5:$L$554,$K255)="","",INDEX('Prospect Tracker'!$L$5:$L$554,$K255)))</f>
        <v/>
      </c>
      <c r="K255" s="19">
        <f>IFERROR(MATCH(SMALL('Prospect Tracker'!$X$5:$X$554,ROW()-4),'Prospect Tracker'!$X$5:$X$554,0),"")</f>
        <v/>
      </c>
    </row>
    <row r="256" ht="15" customHeight="1" s="20">
      <c r="A256" s="30">
        <f>IF($K256="","",IF(INDEX('Prospect Tracker'!$W$5:$W$554,$K256)="","",INDEX('Prospect Tracker'!$W$5:$W$554,$K256)))</f>
        <v/>
      </c>
      <c r="B256" s="30">
        <f>IF($K256="","",IF(INDEX('Prospect Tracker'!$A$5:$A$554,$K256)="","",INDEX('Prospect Tracker'!$A$5:$A$554,$K256)))</f>
        <v/>
      </c>
      <c r="C256" s="30">
        <f>IF($K256="","",IF(INDEX('Prospect Tracker'!$B$5:$B$554,$K256)="","",INDEX('Prospect Tracker'!$B$5:$B$554,$K256)))</f>
        <v/>
      </c>
      <c r="D256" s="30">
        <f>IF($K256="","",IF(INDEX('Prospect Tracker'!$M$5:$M$554,$K256)="","",INDEX('Prospect Tracker'!$M$5:$M$554,$K256)))</f>
        <v/>
      </c>
      <c r="E256" s="30">
        <f>IF($K256="","",IF(INDEX('Prospect Tracker'!$R$5:$R$554,$K256)="","",INDEX('Prospect Tracker'!$R$5:$R$554,$K256)))</f>
        <v/>
      </c>
      <c r="F256" s="30">
        <f>IF($K256="","",IF(INDEX('Prospect Tracker'!$J$5:$J$554,$K256)="","",INDEX('Prospect Tracker'!$J$5:$J$554,$K256)))</f>
        <v/>
      </c>
      <c r="G256" s="30">
        <f>IF($K256="","",IF(INDEX('Prospect Tracker'!$H$5:$H$554,$K256)="","",INDEX('Prospect Tracker'!$H$5:$H$554,$K256)))</f>
        <v/>
      </c>
      <c r="H256" s="31">
        <f>IF($K256="","",IF(INDEX('Prospect Tracker'!$K$5:$K$554,$K256)="","",INDEX('Prospect Tracker'!$K$5:$K$554,$K256)))</f>
        <v/>
      </c>
      <c r="I256" s="30">
        <f>IF($K256="","",IF(INDEX('Prospect Tracker'!$T$5:$T$554,$K256)="","",INDEX('Prospect Tracker'!$T$5:$T$554,$K256)))</f>
        <v/>
      </c>
      <c r="J256" s="30">
        <f>IF($K256="","",IF(INDEX('Prospect Tracker'!$L$5:$L$554,$K256)="","",INDEX('Prospect Tracker'!$L$5:$L$554,$K256)))</f>
        <v/>
      </c>
      <c r="K256" s="19">
        <f>IFERROR(MATCH(SMALL('Prospect Tracker'!$X$5:$X$554,ROW()-4),'Prospect Tracker'!$X$5:$X$554,0),"")</f>
        <v/>
      </c>
    </row>
    <row r="257" ht="15" customHeight="1" s="20">
      <c r="A257" s="25">
        <f>IF($K257="","",IF(INDEX('Prospect Tracker'!$W$5:$W$554,$K257)="","",INDEX('Prospect Tracker'!$W$5:$W$554,$K257)))</f>
        <v/>
      </c>
      <c r="B257" s="25">
        <f>IF($K257="","",IF(INDEX('Prospect Tracker'!$A$5:$A$554,$K257)="","",INDEX('Prospect Tracker'!$A$5:$A$554,$K257)))</f>
        <v/>
      </c>
      <c r="C257" s="25">
        <f>IF($K257="","",IF(INDEX('Prospect Tracker'!$B$5:$B$554,$K257)="","",INDEX('Prospect Tracker'!$B$5:$B$554,$K257)))</f>
        <v/>
      </c>
      <c r="D257" s="25">
        <f>IF($K257="","",IF(INDEX('Prospect Tracker'!$M$5:$M$554,$K257)="","",INDEX('Prospect Tracker'!$M$5:$M$554,$K257)))</f>
        <v/>
      </c>
      <c r="E257" s="25">
        <f>IF($K257="","",IF(INDEX('Prospect Tracker'!$R$5:$R$554,$K257)="","",INDEX('Prospect Tracker'!$R$5:$R$554,$K257)))</f>
        <v/>
      </c>
      <c r="F257" s="25">
        <f>IF($K257="","",IF(INDEX('Prospect Tracker'!$J$5:$J$554,$K257)="","",INDEX('Prospect Tracker'!$J$5:$J$554,$K257)))</f>
        <v/>
      </c>
      <c r="G257" s="25">
        <f>IF($K257="","",IF(INDEX('Prospect Tracker'!$H$5:$H$554,$K257)="","",INDEX('Prospect Tracker'!$H$5:$H$554,$K257)))</f>
        <v/>
      </c>
      <c r="H257" s="26">
        <f>IF($K257="","",IF(INDEX('Prospect Tracker'!$K$5:$K$554,$K257)="","",INDEX('Prospect Tracker'!$K$5:$K$554,$K257)))</f>
        <v/>
      </c>
      <c r="I257" s="25">
        <f>IF($K257="","",IF(INDEX('Prospect Tracker'!$T$5:$T$554,$K257)="","",INDEX('Prospect Tracker'!$T$5:$T$554,$K257)))</f>
        <v/>
      </c>
      <c r="J257" s="25">
        <f>IF($K257="","",IF(INDEX('Prospect Tracker'!$L$5:$L$554,$K257)="","",INDEX('Prospect Tracker'!$L$5:$L$554,$K257)))</f>
        <v/>
      </c>
      <c r="K257" s="19">
        <f>IFERROR(MATCH(SMALL('Prospect Tracker'!$X$5:$X$554,ROW()-4),'Prospect Tracker'!$X$5:$X$554,0),"")</f>
        <v/>
      </c>
    </row>
    <row r="258" ht="15" customHeight="1" s="20">
      <c r="A258" s="30">
        <f>IF($K258="","",IF(INDEX('Prospect Tracker'!$W$5:$W$554,$K258)="","",INDEX('Prospect Tracker'!$W$5:$W$554,$K258)))</f>
        <v/>
      </c>
      <c r="B258" s="30">
        <f>IF($K258="","",IF(INDEX('Prospect Tracker'!$A$5:$A$554,$K258)="","",INDEX('Prospect Tracker'!$A$5:$A$554,$K258)))</f>
        <v/>
      </c>
      <c r="C258" s="30">
        <f>IF($K258="","",IF(INDEX('Prospect Tracker'!$B$5:$B$554,$K258)="","",INDEX('Prospect Tracker'!$B$5:$B$554,$K258)))</f>
        <v/>
      </c>
      <c r="D258" s="30">
        <f>IF($K258="","",IF(INDEX('Prospect Tracker'!$M$5:$M$554,$K258)="","",INDEX('Prospect Tracker'!$M$5:$M$554,$K258)))</f>
        <v/>
      </c>
      <c r="E258" s="30">
        <f>IF($K258="","",IF(INDEX('Prospect Tracker'!$R$5:$R$554,$K258)="","",INDEX('Prospect Tracker'!$R$5:$R$554,$K258)))</f>
        <v/>
      </c>
      <c r="F258" s="30">
        <f>IF($K258="","",IF(INDEX('Prospect Tracker'!$J$5:$J$554,$K258)="","",INDEX('Prospect Tracker'!$J$5:$J$554,$K258)))</f>
        <v/>
      </c>
      <c r="G258" s="30">
        <f>IF($K258="","",IF(INDEX('Prospect Tracker'!$H$5:$H$554,$K258)="","",INDEX('Prospect Tracker'!$H$5:$H$554,$K258)))</f>
        <v/>
      </c>
      <c r="H258" s="31">
        <f>IF($K258="","",IF(INDEX('Prospect Tracker'!$K$5:$K$554,$K258)="","",INDEX('Prospect Tracker'!$K$5:$K$554,$K258)))</f>
        <v/>
      </c>
      <c r="I258" s="30">
        <f>IF($K258="","",IF(INDEX('Prospect Tracker'!$T$5:$T$554,$K258)="","",INDEX('Prospect Tracker'!$T$5:$T$554,$K258)))</f>
        <v/>
      </c>
      <c r="J258" s="30">
        <f>IF($K258="","",IF(INDEX('Prospect Tracker'!$L$5:$L$554,$K258)="","",INDEX('Prospect Tracker'!$L$5:$L$554,$K258)))</f>
        <v/>
      </c>
      <c r="K258" s="19">
        <f>IFERROR(MATCH(SMALL('Prospect Tracker'!$X$5:$X$554,ROW()-4),'Prospect Tracker'!$X$5:$X$554,0),"")</f>
        <v/>
      </c>
    </row>
    <row r="259" ht="15" customHeight="1" s="20">
      <c r="A259" s="25">
        <f>IF($K259="","",IF(INDEX('Prospect Tracker'!$W$5:$W$554,$K259)="","",INDEX('Prospect Tracker'!$W$5:$W$554,$K259)))</f>
        <v/>
      </c>
      <c r="B259" s="25">
        <f>IF($K259="","",IF(INDEX('Prospect Tracker'!$A$5:$A$554,$K259)="","",INDEX('Prospect Tracker'!$A$5:$A$554,$K259)))</f>
        <v/>
      </c>
      <c r="C259" s="25">
        <f>IF($K259="","",IF(INDEX('Prospect Tracker'!$B$5:$B$554,$K259)="","",INDEX('Prospect Tracker'!$B$5:$B$554,$K259)))</f>
        <v/>
      </c>
      <c r="D259" s="25">
        <f>IF($K259="","",IF(INDEX('Prospect Tracker'!$M$5:$M$554,$K259)="","",INDEX('Prospect Tracker'!$M$5:$M$554,$K259)))</f>
        <v/>
      </c>
      <c r="E259" s="25">
        <f>IF($K259="","",IF(INDEX('Prospect Tracker'!$R$5:$R$554,$K259)="","",INDEX('Prospect Tracker'!$R$5:$R$554,$K259)))</f>
        <v/>
      </c>
      <c r="F259" s="25">
        <f>IF($K259="","",IF(INDEX('Prospect Tracker'!$J$5:$J$554,$K259)="","",INDEX('Prospect Tracker'!$J$5:$J$554,$K259)))</f>
        <v/>
      </c>
      <c r="G259" s="25">
        <f>IF($K259="","",IF(INDEX('Prospect Tracker'!$H$5:$H$554,$K259)="","",INDEX('Prospect Tracker'!$H$5:$H$554,$K259)))</f>
        <v/>
      </c>
      <c r="H259" s="26">
        <f>IF($K259="","",IF(INDEX('Prospect Tracker'!$K$5:$K$554,$K259)="","",INDEX('Prospect Tracker'!$K$5:$K$554,$K259)))</f>
        <v/>
      </c>
      <c r="I259" s="25">
        <f>IF($K259="","",IF(INDEX('Prospect Tracker'!$T$5:$T$554,$K259)="","",INDEX('Prospect Tracker'!$T$5:$T$554,$K259)))</f>
        <v/>
      </c>
      <c r="J259" s="25">
        <f>IF($K259="","",IF(INDEX('Prospect Tracker'!$L$5:$L$554,$K259)="","",INDEX('Prospect Tracker'!$L$5:$L$554,$K259)))</f>
        <v/>
      </c>
      <c r="K259" s="19">
        <f>IFERROR(MATCH(SMALL('Prospect Tracker'!$X$5:$X$554,ROW()-4),'Prospect Tracker'!$X$5:$X$554,0),"")</f>
        <v/>
      </c>
    </row>
    <row r="260" ht="15" customHeight="1" s="20">
      <c r="A260" s="30">
        <f>IF($K260="","",IF(INDEX('Prospect Tracker'!$W$5:$W$554,$K260)="","",INDEX('Prospect Tracker'!$W$5:$W$554,$K260)))</f>
        <v/>
      </c>
      <c r="B260" s="30">
        <f>IF($K260="","",IF(INDEX('Prospect Tracker'!$A$5:$A$554,$K260)="","",INDEX('Prospect Tracker'!$A$5:$A$554,$K260)))</f>
        <v/>
      </c>
      <c r="C260" s="30">
        <f>IF($K260="","",IF(INDEX('Prospect Tracker'!$B$5:$B$554,$K260)="","",INDEX('Prospect Tracker'!$B$5:$B$554,$K260)))</f>
        <v/>
      </c>
      <c r="D260" s="30">
        <f>IF($K260="","",IF(INDEX('Prospect Tracker'!$M$5:$M$554,$K260)="","",INDEX('Prospect Tracker'!$M$5:$M$554,$K260)))</f>
        <v/>
      </c>
      <c r="E260" s="30">
        <f>IF($K260="","",IF(INDEX('Prospect Tracker'!$R$5:$R$554,$K260)="","",INDEX('Prospect Tracker'!$R$5:$R$554,$K260)))</f>
        <v/>
      </c>
      <c r="F260" s="30">
        <f>IF($K260="","",IF(INDEX('Prospect Tracker'!$J$5:$J$554,$K260)="","",INDEX('Prospect Tracker'!$J$5:$J$554,$K260)))</f>
        <v/>
      </c>
      <c r="G260" s="30">
        <f>IF($K260="","",IF(INDEX('Prospect Tracker'!$H$5:$H$554,$K260)="","",INDEX('Prospect Tracker'!$H$5:$H$554,$K260)))</f>
        <v/>
      </c>
      <c r="H260" s="31">
        <f>IF($K260="","",IF(INDEX('Prospect Tracker'!$K$5:$K$554,$K260)="","",INDEX('Prospect Tracker'!$K$5:$K$554,$K260)))</f>
        <v/>
      </c>
      <c r="I260" s="30">
        <f>IF($K260="","",IF(INDEX('Prospect Tracker'!$T$5:$T$554,$K260)="","",INDEX('Prospect Tracker'!$T$5:$T$554,$K260)))</f>
        <v/>
      </c>
      <c r="J260" s="30">
        <f>IF($K260="","",IF(INDEX('Prospect Tracker'!$L$5:$L$554,$K260)="","",INDEX('Prospect Tracker'!$L$5:$L$554,$K260)))</f>
        <v/>
      </c>
      <c r="K260" s="19">
        <f>IFERROR(MATCH(SMALL('Prospect Tracker'!$X$5:$X$554,ROW()-4),'Prospect Tracker'!$X$5:$X$554,0),"")</f>
        <v/>
      </c>
    </row>
    <row r="261" ht="15" customHeight="1" s="20">
      <c r="A261" s="25">
        <f>IF($K261="","",IF(INDEX('Prospect Tracker'!$W$5:$W$554,$K261)="","",INDEX('Prospect Tracker'!$W$5:$W$554,$K261)))</f>
        <v/>
      </c>
      <c r="B261" s="25">
        <f>IF($K261="","",IF(INDEX('Prospect Tracker'!$A$5:$A$554,$K261)="","",INDEX('Prospect Tracker'!$A$5:$A$554,$K261)))</f>
        <v/>
      </c>
      <c r="C261" s="25">
        <f>IF($K261="","",IF(INDEX('Prospect Tracker'!$B$5:$B$554,$K261)="","",INDEX('Prospect Tracker'!$B$5:$B$554,$K261)))</f>
        <v/>
      </c>
      <c r="D261" s="25">
        <f>IF($K261="","",IF(INDEX('Prospect Tracker'!$M$5:$M$554,$K261)="","",INDEX('Prospect Tracker'!$M$5:$M$554,$K261)))</f>
        <v/>
      </c>
      <c r="E261" s="25">
        <f>IF($K261="","",IF(INDEX('Prospect Tracker'!$R$5:$R$554,$K261)="","",INDEX('Prospect Tracker'!$R$5:$R$554,$K261)))</f>
        <v/>
      </c>
      <c r="F261" s="25">
        <f>IF($K261="","",IF(INDEX('Prospect Tracker'!$J$5:$J$554,$K261)="","",INDEX('Prospect Tracker'!$J$5:$J$554,$K261)))</f>
        <v/>
      </c>
      <c r="G261" s="25">
        <f>IF($K261="","",IF(INDEX('Prospect Tracker'!$H$5:$H$554,$K261)="","",INDEX('Prospect Tracker'!$H$5:$H$554,$K261)))</f>
        <v/>
      </c>
      <c r="H261" s="26">
        <f>IF($K261="","",IF(INDEX('Prospect Tracker'!$K$5:$K$554,$K261)="","",INDEX('Prospect Tracker'!$K$5:$K$554,$K261)))</f>
        <v/>
      </c>
      <c r="I261" s="25">
        <f>IF($K261="","",IF(INDEX('Prospect Tracker'!$T$5:$T$554,$K261)="","",INDEX('Prospect Tracker'!$T$5:$T$554,$K261)))</f>
        <v/>
      </c>
      <c r="J261" s="25">
        <f>IF($K261="","",IF(INDEX('Prospect Tracker'!$L$5:$L$554,$K261)="","",INDEX('Prospect Tracker'!$L$5:$L$554,$K261)))</f>
        <v/>
      </c>
      <c r="K261" s="19">
        <f>IFERROR(MATCH(SMALL('Prospect Tracker'!$X$5:$X$554,ROW()-4),'Prospect Tracker'!$X$5:$X$554,0),"")</f>
        <v/>
      </c>
    </row>
    <row r="262" ht="15" customHeight="1" s="20">
      <c r="A262" s="30">
        <f>IF($K262="","",IF(INDEX('Prospect Tracker'!$W$5:$W$554,$K262)="","",INDEX('Prospect Tracker'!$W$5:$W$554,$K262)))</f>
        <v/>
      </c>
      <c r="B262" s="30">
        <f>IF($K262="","",IF(INDEX('Prospect Tracker'!$A$5:$A$554,$K262)="","",INDEX('Prospect Tracker'!$A$5:$A$554,$K262)))</f>
        <v/>
      </c>
      <c r="C262" s="30">
        <f>IF($K262="","",IF(INDEX('Prospect Tracker'!$B$5:$B$554,$K262)="","",INDEX('Prospect Tracker'!$B$5:$B$554,$K262)))</f>
        <v/>
      </c>
      <c r="D262" s="30">
        <f>IF($K262="","",IF(INDEX('Prospect Tracker'!$M$5:$M$554,$K262)="","",INDEX('Prospect Tracker'!$M$5:$M$554,$K262)))</f>
        <v/>
      </c>
      <c r="E262" s="30">
        <f>IF($K262="","",IF(INDEX('Prospect Tracker'!$R$5:$R$554,$K262)="","",INDEX('Prospect Tracker'!$R$5:$R$554,$K262)))</f>
        <v/>
      </c>
      <c r="F262" s="30">
        <f>IF($K262="","",IF(INDEX('Prospect Tracker'!$J$5:$J$554,$K262)="","",INDEX('Prospect Tracker'!$J$5:$J$554,$K262)))</f>
        <v/>
      </c>
      <c r="G262" s="30">
        <f>IF($K262="","",IF(INDEX('Prospect Tracker'!$H$5:$H$554,$K262)="","",INDEX('Prospect Tracker'!$H$5:$H$554,$K262)))</f>
        <v/>
      </c>
      <c r="H262" s="31">
        <f>IF($K262="","",IF(INDEX('Prospect Tracker'!$K$5:$K$554,$K262)="","",INDEX('Prospect Tracker'!$K$5:$K$554,$K262)))</f>
        <v/>
      </c>
      <c r="I262" s="30">
        <f>IF($K262="","",IF(INDEX('Prospect Tracker'!$T$5:$T$554,$K262)="","",INDEX('Prospect Tracker'!$T$5:$T$554,$K262)))</f>
        <v/>
      </c>
      <c r="J262" s="30">
        <f>IF($K262="","",IF(INDEX('Prospect Tracker'!$L$5:$L$554,$K262)="","",INDEX('Prospect Tracker'!$L$5:$L$554,$K262)))</f>
        <v/>
      </c>
      <c r="K262" s="19">
        <f>IFERROR(MATCH(SMALL('Prospect Tracker'!$X$5:$X$554,ROW()-4),'Prospect Tracker'!$X$5:$X$554,0),"")</f>
        <v/>
      </c>
    </row>
    <row r="263" ht="15" customHeight="1" s="20">
      <c r="A263" s="25">
        <f>IF($K263="","",IF(INDEX('Prospect Tracker'!$W$5:$W$554,$K263)="","",INDEX('Prospect Tracker'!$W$5:$W$554,$K263)))</f>
        <v/>
      </c>
      <c r="B263" s="25">
        <f>IF($K263="","",IF(INDEX('Prospect Tracker'!$A$5:$A$554,$K263)="","",INDEX('Prospect Tracker'!$A$5:$A$554,$K263)))</f>
        <v/>
      </c>
      <c r="C263" s="25">
        <f>IF($K263="","",IF(INDEX('Prospect Tracker'!$B$5:$B$554,$K263)="","",INDEX('Prospect Tracker'!$B$5:$B$554,$K263)))</f>
        <v/>
      </c>
      <c r="D263" s="25">
        <f>IF($K263="","",IF(INDEX('Prospect Tracker'!$M$5:$M$554,$K263)="","",INDEX('Prospect Tracker'!$M$5:$M$554,$K263)))</f>
        <v/>
      </c>
      <c r="E263" s="25">
        <f>IF($K263="","",IF(INDEX('Prospect Tracker'!$R$5:$R$554,$K263)="","",INDEX('Prospect Tracker'!$R$5:$R$554,$K263)))</f>
        <v/>
      </c>
      <c r="F263" s="25">
        <f>IF($K263="","",IF(INDEX('Prospect Tracker'!$J$5:$J$554,$K263)="","",INDEX('Prospect Tracker'!$J$5:$J$554,$K263)))</f>
        <v/>
      </c>
      <c r="G263" s="25">
        <f>IF($K263="","",IF(INDEX('Prospect Tracker'!$H$5:$H$554,$K263)="","",INDEX('Prospect Tracker'!$H$5:$H$554,$K263)))</f>
        <v/>
      </c>
      <c r="H263" s="26">
        <f>IF($K263="","",IF(INDEX('Prospect Tracker'!$K$5:$K$554,$K263)="","",INDEX('Prospect Tracker'!$K$5:$K$554,$K263)))</f>
        <v/>
      </c>
      <c r="I263" s="25">
        <f>IF($K263="","",IF(INDEX('Prospect Tracker'!$T$5:$T$554,$K263)="","",INDEX('Prospect Tracker'!$T$5:$T$554,$K263)))</f>
        <v/>
      </c>
      <c r="J263" s="25">
        <f>IF($K263="","",IF(INDEX('Prospect Tracker'!$L$5:$L$554,$K263)="","",INDEX('Prospect Tracker'!$L$5:$L$554,$K263)))</f>
        <v/>
      </c>
      <c r="K263" s="19">
        <f>IFERROR(MATCH(SMALL('Prospect Tracker'!$X$5:$X$554,ROW()-4),'Prospect Tracker'!$X$5:$X$554,0),"")</f>
        <v/>
      </c>
    </row>
    <row r="264" ht="15" customHeight="1" s="20">
      <c r="A264" s="30">
        <f>IF($K264="","",IF(INDEX('Prospect Tracker'!$W$5:$W$554,$K264)="","",INDEX('Prospect Tracker'!$W$5:$W$554,$K264)))</f>
        <v/>
      </c>
      <c r="B264" s="30">
        <f>IF($K264="","",IF(INDEX('Prospect Tracker'!$A$5:$A$554,$K264)="","",INDEX('Prospect Tracker'!$A$5:$A$554,$K264)))</f>
        <v/>
      </c>
      <c r="C264" s="30">
        <f>IF($K264="","",IF(INDEX('Prospect Tracker'!$B$5:$B$554,$K264)="","",INDEX('Prospect Tracker'!$B$5:$B$554,$K264)))</f>
        <v/>
      </c>
      <c r="D264" s="30">
        <f>IF($K264="","",IF(INDEX('Prospect Tracker'!$M$5:$M$554,$K264)="","",INDEX('Prospect Tracker'!$M$5:$M$554,$K264)))</f>
        <v/>
      </c>
      <c r="E264" s="30">
        <f>IF($K264="","",IF(INDEX('Prospect Tracker'!$R$5:$R$554,$K264)="","",INDEX('Prospect Tracker'!$R$5:$R$554,$K264)))</f>
        <v/>
      </c>
      <c r="F264" s="30">
        <f>IF($K264="","",IF(INDEX('Prospect Tracker'!$J$5:$J$554,$K264)="","",INDEX('Prospect Tracker'!$J$5:$J$554,$K264)))</f>
        <v/>
      </c>
      <c r="G264" s="30">
        <f>IF($K264="","",IF(INDEX('Prospect Tracker'!$H$5:$H$554,$K264)="","",INDEX('Prospect Tracker'!$H$5:$H$554,$K264)))</f>
        <v/>
      </c>
      <c r="H264" s="31">
        <f>IF($K264="","",IF(INDEX('Prospect Tracker'!$K$5:$K$554,$K264)="","",INDEX('Prospect Tracker'!$K$5:$K$554,$K264)))</f>
        <v/>
      </c>
      <c r="I264" s="30">
        <f>IF($K264="","",IF(INDEX('Prospect Tracker'!$T$5:$T$554,$K264)="","",INDEX('Prospect Tracker'!$T$5:$T$554,$K264)))</f>
        <v/>
      </c>
      <c r="J264" s="30">
        <f>IF($K264="","",IF(INDEX('Prospect Tracker'!$L$5:$L$554,$K264)="","",INDEX('Prospect Tracker'!$L$5:$L$554,$K264)))</f>
        <v/>
      </c>
      <c r="K264" s="19">
        <f>IFERROR(MATCH(SMALL('Prospect Tracker'!$X$5:$X$554,ROW()-4),'Prospect Tracker'!$X$5:$X$554,0),"")</f>
        <v/>
      </c>
    </row>
    <row r="265" ht="15" customHeight="1" s="20">
      <c r="A265" s="25">
        <f>IF($K265="","",IF(INDEX('Prospect Tracker'!$W$5:$W$554,$K265)="","",INDEX('Prospect Tracker'!$W$5:$W$554,$K265)))</f>
        <v/>
      </c>
      <c r="B265" s="25">
        <f>IF($K265="","",IF(INDEX('Prospect Tracker'!$A$5:$A$554,$K265)="","",INDEX('Prospect Tracker'!$A$5:$A$554,$K265)))</f>
        <v/>
      </c>
      <c r="C265" s="25">
        <f>IF($K265="","",IF(INDEX('Prospect Tracker'!$B$5:$B$554,$K265)="","",INDEX('Prospect Tracker'!$B$5:$B$554,$K265)))</f>
        <v/>
      </c>
      <c r="D265" s="25">
        <f>IF($K265="","",IF(INDEX('Prospect Tracker'!$M$5:$M$554,$K265)="","",INDEX('Prospect Tracker'!$M$5:$M$554,$K265)))</f>
        <v/>
      </c>
      <c r="E265" s="25">
        <f>IF($K265="","",IF(INDEX('Prospect Tracker'!$R$5:$R$554,$K265)="","",INDEX('Prospect Tracker'!$R$5:$R$554,$K265)))</f>
        <v/>
      </c>
      <c r="F265" s="25">
        <f>IF($K265="","",IF(INDEX('Prospect Tracker'!$J$5:$J$554,$K265)="","",INDEX('Prospect Tracker'!$J$5:$J$554,$K265)))</f>
        <v/>
      </c>
      <c r="G265" s="25">
        <f>IF($K265="","",IF(INDEX('Prospect Tracker'!$H$5:$H$554,$K265)="","",INDEX('Prospect Tracker'!$H$5:$H$554,$K265)))</f>
        <v/>
      </c>
      <c r="H265" s="26">
        <f>IF($K265="","",IF(INDEX('Prospect Tracker'!$K$5:$K$554,$K265)="","",INDEX('Prospect Tracker'!$K$5:$K$554,$K265)))</f>
        <v/>
      </c>
      <c r="I265" s="25">
        <f>IF($K265="","",IF(INDEX('Prospect Tracker'!$T$5:$T$554,$K265)="","",INDEX('Prospect Tracker'!$T$5:$T$554,$K265)))</f>
        <v/>
      </c>
      <c r="J265" s="25">
        <f>IF($K265="","",IF(INDEX('Prospect Tracker'!$L$5:$L$554,$K265)="","",INDEX('Prospect Tracker'!$L$5:$L$554,$K265)))</f>
        <v/>
      </c>
      <c r="K265" s="19">
        <f>IFERROR(MATCH(SMALL('Prospect Tracker'!$X$5:$X$554,ROW()-4),'Prospect Tracker'!$X$5:$X$554,0),"")</f>
        <v/>
      </c>
    </row>
    <row r="266" ht="15" customHeight="1" s="20">
      <c r="A266" s="30">
        <f>IF($K266="","",IF(INDEX('Prospect Tracker'!$W$5:$W$554,$K266)="","",INDEX('Prospect Tracker'!$W$5:$W$554,$K266)))</f>
        <v/>
      </c>
      <c r="B266" s="30">
        <f>IF($K266="","",IF(INDEX('Prospect Tracker'!$A$5:$A$554,$K266)="","",INDEX('Prospect Tracker'!$A$5:$A$554,$K266)))</f>
        <v/>
      </c>
      <c r="C266" s="30">
        <f>IF($K266="","",IF(INDEX('Prospect Tracker'!$B$5:$B$554,$K266)="","",INDEX('Prospect Tracker'!$B$5:$B$554,$K266)))</f>
        <v/>
      </c>
      <c r="D266" s="30">
        <f>IF($K266="","",IF(INDEX('Prospect Tracker'!$M$5:$M$554,$K266)="","",INDEX('Prospect Tracker'!$M$5:$M$554,$K266)))</f>
        <v/>
      </c>
      <c r="E266" s="30">
        <f>IF($K266="","",IF(INDEX('Prospect Tracker'!$R$5:$R$554,$K266)="","",INDEX('Prospect Tracker'!$R$5:$R$554,$K266)))</f>
        <v/>
      </c>
      <c r="F266" s="30">
        <f>IF($K266="","",IF(INDEX('Prospect Tracker'!$J$5:$J$554,$K266)="","",INDEX('Prospect Tracker'!$J$5:$J$554,$K266)))</f>
        <v/>
      </c>
      <c r="G266" s="30">
        <f>IF($K266="","",IF(INDEX('Prospect Tracker'!$H$5:$H$554,$K266)="","",INDEX('Prospect Tracker'!$H$5:$H$554,$K266)))</f>
        <v/>
      </c>
      <c r="H266" s="31">
        <f>IF($K266="","",IF(INDEX('Prospect Tracker'!$K$5:$K$554,$K266)="","",INDEX('Prospect Tracker'!$K$5:$K$554,$K266)))</f>
        <v/>
      </c>
      <c r="I266" s="30">
        <f>IF($K266="","",IF(INDEX('Prospect Tracker'!$T$5:$T$554,$K266)="","",INDEX('Prospect Tracker'!$T$5:$T$554,$K266)))</f>
        <v/>
      </c>
      <c r="J266" s="30">
        <f>IF($K266="","",IF(INDEX('Prospect Tracker'!$L$5:$L$554,$K266)="","",INDEX('Prospect Tracker'!$L$5:$L$554,$K266)))</f>
        <v/>
      </c>
      <c r="K266" s="19">
        <f>IFERROR(MATCH(SMALL('Prospect Tracker'!$X$5:$X$554,ROW()-4),'Prospect Tracker'!$X$5:$X$554,0),"")</f>
        <v/>
      </c>
    </row>
    <row r="267" ht="15" customHeight="1" s="20">
      <c r="A267" s="25">
        <f>IF($K267="","",IF(INDEX('Prospect Tracker'!$W$5:$W$554,$K267)="","",INDEX('Prospect Tracker'!$W$5:$W$554,$K267)))</f>
        <v/>
      </c>
      <c r="B267" s="25">
        <f>IF($K267="","",IF(INDEX('Prospect Tracker'!$A$5:$A$554,$K267)="","",INDEX('Prospect Tracker'!$A$5:$A$554,$K267)))</f>
        <v/>
      </c>
      <c r="C267" s="25">
        <f>IF($K267="","",IF(INDEX('Prospect Tracker'!$B$5:$B$554,$K267)="","",INDEX('Prospect Tracker'!$B$5:$B$554,$K267)))</f>
        <v/>
      </c>
      <c r="D267" s="25">
        <f>IF($K267="","",IF(INDEX('Prospect Tracker'!$M$5:$M$554,$K267)="","",INDEX('Prospect Tracker'!$M$5:$M$554,$K267)))</f>
        <v/>
      </c>
      <c r="E267" s="25">
        <f>IF($K267="","",IF(INDEX('Prospect Tracker'!$R$5:$R$554,$K267)="","",INDEX('Prospect Tracker'!$R$5:$R$554,$K267)))</f>
        <v/>
      </c>
      <c r="F267" s="25">
        <f>IF($K267="","",IF(INDEX('Prospect Tracker'!$J$5:$J$554,$K267)="","",INDEX('Prospect Tracker'!$J$5:$J$554,$K267)))</f>
        <v/>
      </c>
      <c r="G267" s="25">
        <f>IF($K267="","",IF(INDEX('Prospect Tracker'!$H$5:$H$554,$K267)="","",INDEX('Prospect Tracker'!$H$5:$H$554,$K267)))</f>
        <v/>
      </c>
      <c r="H267" s="26">
        <f>IF($K267="","",IF(INDEX('Prospect Tracker'!$K$5:$K$554,$K267)="","",INDEX('Prospect Tracker'!$K$5:$K$554,$K267)))</f>
        <v/>
      </c>
      <c r="I267" s="25">
        <f>IF($K267="","",IF(INDEX('Prospect Tracker'!$T$5:$T$554,$K267)="","",INDEX('Prospect Tracker'!$T$5:$T$554,$K267)))</f>
        <v/>
      </c>
      <c r="J267" s="25">
        <f>IF($K267="","",IF(INDEX('Prospect Tracker'!$L$5:$L$554,$K267)="","",INDEX('Prospect Tracker'!$L$5:$L$554,$K267)))</f>
        <v/>
      </c>
      <c r="K267" s="19">
        <f>IFERROR(MATCH(SMALL('Prospect Tracker'!$X$5:$X$554,ROW()-4),'Prospect Tracker'!$X$5:$X$554,0),"")</f>
        <v/>
      </c>
    </row>
    <row r="268" ht="15" customHeight="1" s="20">
      <c r="A268" s="30">
        <f>IF($K268="","",IF(INDEX('Prospect Tracker'!$W$5:$W$554,$K268)="","",INDEX('Prospect Tracker'!$W$5:$W$554,$K268)))</f>
        <v/>
      </c>
      <c r="B268" s="30">
        <f>IF($K268="","",IF(INDEX('Prospect Tracker'!$A$5:$A$554,$K268)="","",INDEX('Prospect Tracker'!$A$5:$A$554,$K268)))</f>
        <v/>
      </c>
      <c r="C268" s="30">
        <f>IF($K268="","",IF(INDEX('Prospect Tracker'!$B$5:$B$554,$K268)="","",INDEX('Prospect Tracker'!$B$5:$B$554,$K268)))</f>
        <v/>
      </c>
      <c r="D268" s="30">
        <f>IF($K268="","",IF(INDEX('Prospect Tracker'!$M$5:$M$554,$K268)="","",INDEX('Prospect Tracker'!$M$5:$M$554,$K268)))</f>
        <v/>
      </c>
      <c r="E268" s="30">
        <f>IF($K268="","",IF(INDEX('Prospect Tracker'!$R$5:$R$554,$K268)="","",INDEX('Prospect Tracker'!$R$5:$R$554,$K268)))</f>
        <v/>
      </c>
      <c r="F268" s="30">
        <f>IF($K268="","",IF(INDEX('Prospect Tracker'!$J$5:$J$554,$K268)="","",INDEX('Prospect Tracker'!$J$5:$J$554,$K268)))</f>
        <v/>
      </c>
      <c r="G268" s="30">
        <f>IF($K268="","",IF(INDEX('Prospect Tracker'!$H$5:$H$554,$K268)="","",INDEX('Prospect Tracker'!$H$5:$H$554,$K268)))</f>
        <v/>
      </c>
      <c r="H268" s="31">
        <f>IF($K268="","",IF(INDEX('Prospect Tracker'!$K$5:$K$554,$K268)="","",INDEX('Prospect Tracker'!$K$5:$K$554,$K268)))</f>
        <v/>
      </c>
      <c r="I268" s="30">
        <f>IF($K268="","",IF(INDEX('Prospect Tracker'!$T$5:$T$554,$K268)="","",INDEX('Prospect Tracker'!$T$5:$T$554,$K268)))</f>
        <v/>
      </c>
      <c r="J268" s="30">
        <f>IF($K268="","",IF(INDEX('Prospect Tracker'!$L$5:$L$554,$K268)="","",INDEX('Prospect Tracker'!$L$5:$L$554,$K268)))</f>
        <v/>
      </c>
      <c r="K268" s="19">
        <f>IFERROR(MATCH(SMALL('Prospect Tracker'!$X$5:$X$554,ROW()-4),'Prospect Tracker'!$X$5:$X$554,0),"")</f>
        <v/>
      </c>
    </row>
    <row r="269" ht="15" customHeight="1" s="20">
      <c r="A269" s="25">
        <f>IF($K269="","",IF(INDEX('Prospect Tracker'!$W$5:$W$554,$K269)="","",INDEX('Prospect Tracker'!$W$5:$W$554,$K269)))</f>
        <v/>
      </c>
      <c r="B269" s="25">
        <f>IF($K269="","",IF(INDEX('Prospect Tracker'!$A$5:$A$554,$K269)="","",INDEX('Prospect Tracker'!$A$5:$A$554,$K269)))</f>
        <v/>
      </c>
      <c r="C269" s="25">
        <f>IF($K269="","",IF(INDEX('Prospect Tracker'!$B$5:$B$554,$K269)="","",INDEX('Prospect Tracker'!$B$5:$B$554,$K269)))</f>
        <v/>
      </c>
      <c r="D269" s="25">
        <f>IF($K269="","",IF(INDEX('Prospect Tracker'!$M$5:$M$554,$K269)="","",INDEX('Prospect Tracker'!$M$5:$M$554,$K269)))</f>
        <v/>
      </c>
      <c r="E269" s="25">
        <f>IF($K269="","",IF(INDEX('Prospect Tracker'!$R$5:$R$554,$K269)="","",INDEX('Prospect Tracker'!$R$5:$R$554,$K269)))</f>
        <v/>
      </c>
      <c r="F269" s="25">
        <f>IF($K269="","",IF(INDEX('Prospect Tracker'!$J$5:$J$554,$K269)="","",INDEX('Prospect Tracker'!$J$5:$J$554,$K269)))</f>
        <v/>
      </c>
      <c r="G269" s="25">
        <f>IF($K269="","",IF(INDEX('Prospect Tracker'!$H$5:$H$554,$K269)="","",INDEX('Prospect Tracker'!$H$5:$H$554,$K269)))</f>
        <v/>
      </c>
      <c r="H269" s="26">
        <f>IF($K269="","",IF(INDEX('Prospect Tracker'!$K$5:$K$554,$K269)="","",INDEX('Prospect Tracker'!$K$5:$K$554,$K269)))</f>
        <v/>
      </c>
      <c r="I269" s="25">
        <f>IF($K269="","",IF(INDEX('Prospect Tracker'!$T$5:$T$554,$K269)="","",INDEX('Prospect Tracker'!$T$5:$T$554,$K269)))</f>
        <v/>
      </c>
      <c r="J269" s="25">
        <f>IF($K269="","",IF(INDEX('Prospect Tracker'!$L$5:$L$554,$K269)="","",INDEX('Prospect Tracker'!$L$5:$L$554,$K269)))</f>
        <v/>
      </c>
      <c r="K269" s="19">
        <f>IFERROR(MATCH(SMALL('Prospect Tracker'!$X$5:$X$554,ROW()-4),'Prospect Tracker'!$X$5:$X$554,0),"")</f>
        <v/>
      </c>
    </row>
    <row r="270" ht="15" customHeight="1" s="20">
      <c r="A270" s="30">
        <f>IF($K270="","",IF(INDEX('Prospect Tracker'!$W$5:$W$554,$K270)="","",INDEX('Prospect Tracker'!$W$5:$W$554,$K270)))</f>
        <v/>
      </c>
      <c r="B270" s="30">
        <f>IF($K270="","",IF(INDEX('Prospect Tracker'!$A$5:$A$554,$K270)="","",INDEX('Prospect Tracker'!$A$5:$A$554,$K270)))</f>
        <v/>
      </c>
      <c r="C270" s="30">
        <f>IF($K270="","",IF(INDEX('Prospect Tracker'!$B$5:$B$554,$K270)="","",INDEX('Prospect Tracker'!$B$5:$B$554,$K270)))</f>
        <v/>
      </c>
      <c r="D270" s="30">
        <f>IF($K270="","",IF(INDEX('Prospect Tracker'!$M$5:$M$554,$K270)="","",INDEX('Prospect Tracker'!$M$5:$M$554,$K270)))</f>
        <v/>
      </c>
      <c r="E270" s="30">
        <f>IF($K270="","",IF(INDEX('Prospect Tracker'!$R$5:$R$554,$K270)="","",INDEX('Prospect Tracker'!$R$5:$R$554,$K270)))</f>
        <v/>
      </c>
      <c r="F270" s="30">
        <f>IF($K270="","",IF(INDEX('Prospect Tracker'!$J$5:$J$554,$K270)="","",INDEX('Prospect Tracker'!$J$5:$J$554,$K270)))</f>
        <v/>
      </c>
      <c r="G270" s="30">
        <f>IF($K270="","",IF(INDEX('Prospect Tracker'!$H$5:$H$554,$K270)="","",INDEX('Prospect Tracker'!$H$5:$H$554,$K270)))</f>
        <v/>
      </c>
      <c r="H270" s="31">
        <f>IF($K270="","",IF(INDEX('Prospect Tracker'!$K$5:$K$554,$K270)="","",INDEX('Prospect Tracker'!$K$5:$K$554,$K270)))</f>
        <v/>
      </c>
      <c r="I270" s="30">
        <f>IF($K270="","",IF(INDEX('Prospect Tracker'!$T$5:$T$554,$K270)="","",INDEX('Prospect Tracker'!$T$5:$T$554,$K270)))</f>
        <v/>
      </c>
      <c r="J270" s="30">
        <f>IF($K270="","",IF(INDEX('Prospect Tracker'!$L$5:$L$554,$K270)="","",INDEX('Prospect Tracker'!$L$5:$L$554,$K270)))</f>
        <v/>
      </c>
      <c r="K270" s="19">
        <f>IFERROR(MATCH(SMALL('Prospect Tracker'!$X$5:$X$554,ROW()-4),'Prospect Tracker'!$X$5:$X$554,0),"")</f>
        <v/>
      </c>
    </row>
    <row r="271" ht="15" customHeight="1" s="20">
      <c r="A271" s="25">
        <f>IF($K271="","",IF(INDEX('Prospect Tracker'!$W$5:$W$554,$K271)="","",INDEX('Prospect Tracker'!$W$5:$W$554,$K271)))</f>
        <v/>
      </c>
      <c r="B271" s="25">
        <f>IF($K271="","",IF(INDEX('Prospect Tracker'!$A$5:$A$554,$K271)="","",INDEX('Prospect Tracker'!$A$5:$A$554,$K271)))</f>
        <v/>
      </c>
      <c r="C271" s="25">
        <f>IF($K271="","",IF(INDEX('Prospect Tracker'!$B$5:$B$554,$K271)="","",INDEX('Prospect Tracker'!$B$5:$B$554,$K271)))</f>
        <v/>
      </c>
      <c r="D271" s="25">
        <f>IF($K271="","",IF(INDEX('Prospect Tracker'!$M$5:$M$554,$K271)="","",INDEX('Prospect Tracker'!$M$5:$M$554,$K271)))</f>
        <v/>
      </c>
      <c r="E271" s="25">
        <f>IF($K271="","",IF(INDEX('Prospect Tracker'!$R$5:$R$554,$K271)="","",INDEX('Prospect Tracker'!$R$5:$R$554,$K271)))</f>
        <v/>
      </c>
      <c r="F271" s="25">
        <f>IF($K271="","",IF(INDEX('Prospect Tracker'!$J$5:$J$554,$K271)="","",INDEX('Prospect Tracker'!$J$5:$J$554,$K271)))</f>
        <v/>
      </c>
      <c r="G271" s="25">
        <f>IF($K271="","",IF(INDEX('Prospect Tracker'!$H$5:$H$554,$K271)="","",INDEX('Prospect Tracker'!$H$5:$H$554,$K271)))</f>
        <v/>
      </c>
      <c r="H271" s="26">
        <f>IF($K271="","",IF(INDEX('Prospect Tracker'!$K$5:$K$554,$K271)="","",INDEX('Prospect Tracker'!$K$5:$K$554,$K271)))</f>
        <v/>
      </c>
      <c r="I271" s="25">
        <f>IF($K271="","",IF(INDEX('Prospect Tracker'!$T$5:$T$554,$K271)="","",INDEX('Prospect Tracker'!$T$5:$T$554,$K271)))</f>
        <v/>
      </c>
      <c r="J271" s="25">
        <f>IF($K271="","",IF(INDEX('Prospect Tracker'!$L$5:$L$554,$K271)="","",INDEX('Prospect Tracker'!$L$5:$L$554,$K271)))</f>
        <v/>
      </c>
      <c r="K271" s="19">
        <f>IFERROR(MATCH(SMALL('Prospect Tracker'!$X$5:$X$554,ROW()-4),'Prospect Tracker'!$X$5:$X$554,0),"")</f>
        <v/>
      </c>
    </row>
    <row r="272" ht="15" customHeight="1" s="20">
      <c r="A272" s="30">
        <f>IF($K272="","",IF(INDEX('Prospect Tracker'!$W$5:$W$554,$K272)="","",INDEX('Prospect Tracker'!$W$5:$W$554,$K272)))</f>
        <v/>
      </c>
      <c r="B272" s="30">
        <f>IF($K272="","",IF(INDEX('Prospect Tracker'!$A$5:$A$554,$K272)="","",INDEX('Prospect Tracker'!$A$5:$A$554,$K272)))</f>
        <v/>
      </c>
      <c r="C272" s="30">
        <f>IF($K272="","",IF(INDEX('Prospect Tracker'!$B$5:$B$554,$K272)="","",INDEX('Prospect Tracker'!$B$5:$B$554,$K272)))</f>
        <v/>
      </c>
      <c r="D272" s="30">
        <f>IF($K272="","",IF(INDEX('Prospect Tracker'!$M$5:$M$554,$K272)="","",INDEX('Prospect Tracker'!$M$5:$M$554,$K272)))</f>
        <v/>
      </c>
      <c r="E272" s="30">
        <f>IF($K272="","",IF(INDEX('Prospect Tracker'!$R$5:$R$554,$K272)="","",INDEX('Prospect Tracker'!$R$5:$R$554,$K272)))</f>
        <v/>
      </c>
      <c r="F272" s="30">
        <f>IF($K272="","",IF(INDEX('Prospect Tracker'!$J$5:$J$554,$K272)="","",INDEX('Prospect Tracker'!$J$5:$J$554,$K272)))</f>
        <v/>
      </c>
      <c r="G272" s="30">
        <f>IF($K272="","",IF(INDEX('Prospect Tracker'!$H$5:$H$554,$K272)="","",INDEX('Prospect Tracker'!$H$5:$H$554,$K272)))</f>
        <v/>
      </c>
      <c r="H272" s="31">
        <f>IF($K272="","",IF(INDEX('Prospect Tracker'!$K$5:$K$554,$K272)="","",INDEX('Prospect Tracker'!$K$5:$K$554,$K272)))</f>
        <v/>
      </c>
      <c r="I272" s="30">
        <f>IF($K272="","",IF(INDEX('Prospect Tracker'!$T$5:$T$554,$K272)="","",INDEX('Prospect Tracker'!$T$5:$T$554,$K272)))</f>
        <v/>
      </c>
      <c r="J272" s="30">
        <f>IF($K272="","",IF(INDEX('Prospect Tracker'!$L$5:$L$554,$K272)="","",INDEX('Prospect Tracker'!$L$5:$L$554,$K272)))</f>
        <v/>
      </c>
      <c r="K272" s="19">
        <f>IFERROR(MATCH(SMALL('Prospect Tracker'!$X$5:$X$554,ROW()-4),'Prospect Tracker'!$X$5:$X$554,0),"")</f>
        <v/>
      </c>
    </row>
    <row r="273" ht="15" customHeight="1" s="20">
      <c r="A273" s="25">
        <f>IF($K273="","",IF(INDEX('Prospect Tracker'!$W$5:$W$554,$K273)="","",INDEX('Prospect Tracker'!$W$5:$W$554,$K273)))</f>
        <v/>
      </c>
      <c r="B273" s="25">
        <f>IF($K273="","",IF(INDEX('Prospect Tracker'!$A$5:$A$554,$K273)="","",INDEX('Prospect Tracker'!$A$5:$A$554,$K273)))</f>
        <v/>
      </c>
      <c r="C273" s="25">
        <f>IF($K273="","",IF(INDEX('Prospect Tracker'!$B$5:$B$554,$K273)="","",INDEX('Prospect Tracker'!$B$5:$B$554,$K273)))</f>
        <v/>
      </c>
      <c r="D273" s="25">
        <f>IF($K273="","",IF(INDEX('Prospect Tracker'!$M$5:$M$554,$K273)="","",INDEX('Prospect Tracker'!$M$5:$M$554,$K273)))</f>
        <v/>
      </c>
      <c r="E273" s="25">
        <f>IF($K273="","",IF(INDEX('Prospect Tracker'!$R$5:$R$554,$K273)="","",INDEX('Prospect Tracker'!$R$5:$R$554,$K273)))</f>
        <v/>
      </c>
      <c r="F273" s="25">
        <f>IF($K273="","",IF(INDEX('Prospect Tracker'!$J$5:$J$554,$K273)="","",INDEX('Prospect Tracker'!$J$5:$J$554,$K273)))</f>
        <v/>
      </c>
      <c r="G273" s="25">
        <f>IF($K273="","",IF(INDEX('Prospect Tracker'!$H$5:$H$554,$K273)="","",INDEX('Prospect Tracker'!$H$5:$H$554,$K273)))</f>
        <v/>
      </c>
      <c r="H273" s="26">
        <f>IF($K273="","",IF(INDEX('Prospect Tracker'!$K$5:$K$554,$K273)="","",INDEX('Prospect Tracker'!$K$5:$K$554,$K273)))</f>
        <v/>
      </c>
      <c r="I273" s="25">
        <f>IF($K273="","",IF(INDEX('Prospect Tracker'!$T$5:$T$554,$K273)="","",INDEX('Prospect Tracker'!$T$5:$T$554,$K273)))</f>
        <v/>
      </c>
      <c r="J273" s="25">
        <f>IF($K273="","",IF(INDEX('Prospect Tracker'!$L$5:$L$554,$K273)="","",INDEX('Prospect Tracker'!$L$5:$L$554,$K273)))</f>
        <v/>
      </c>
      <c r="K273" s="19">
        <f>IFERROR(MATCH(SMALL('Prospect Tracker'!$X$5:$X$554,ROW()-4),'Prospect Tracker'!$X$5:$X$554,0),"")</f>
        <v/>
      </c>
    </row>
    <row r="274" ht="15" customHeight="1" s="20">
      <c r="A274" s="30">
        <f>IF($K274="","",IF(INDEX('Prospect Tracker'!$W$5:$W$554,$K274)="","",INDEX('Prospect Tracker'!$W$5:$W$554,$K274)))</f>
        <v/>
      </c>
      <c r="B274" s="30">
        <f>IF($K274="","",IF(INDEX('Prospect Tracker'!$A$5:$A$554,$K274)="","",INDEX('Prospect Tracker'!$A$5:$A$554,$K274)))</f>
        <v/>
      </c>
      <c r="C274" s="30">
        <f>IF($K274="","",IF(INDEX('Prospect Tracker'!$B$5:$B$554,$K274)="","",INDEX('Prospect Tracker'!$B$5:$B$554,$K274)))</f>
        <v/>
      </c>
      <c r="D274" s="30">
        <f>IF($K274="","",IF(INDEX('Prospect Tracker'!$M$5:$M$554,$K274)="","",INDEX('Prospect Tracker'!$M$5:$M$554,$K274)))</f>
        <v/>
      </c>
      <c r="E274" s="30">
        <f>IF($K274="","",IF(INDEX('Prospect Tracker'!$R$5:$R$554,$K274)="","",INDEX('Prospect Tracker'!$R$5:$R$554,$K274)))</f>
        <v/>
      </c>
      <c r="F274" s="30">
        <f>IF($K274="","",IF(INDEX('Prospect Tracker'!$J$5:$J$554,$K274)="","",INDEX('Prospect Tracker'!$J$5:$J$554,$K274)))</f>
        <v/>
      </c>
      <c r="G274" s="30">
        <f>IF($K274="","",IF(INDEX('Prospect Tracker'!$H$5:$H$554,$K274)="","",INDEX('Prospect Tracker'!$H$5:$H$554,$K274)))</f>
        <v/>
      </c>
      <c r="H274" s="31">
        <f>IF($K274="","",IF(INDEX('Prospect Tracker'!$K$5:$K$554,$K274)="","",INDEX('Prospect Tracker'!$K$5:$K$554,$K274)))</f>
        <v/>
      </c>
      <c r="I274" s="30">
        <f>IF($K274="","",IF(INDEX('Prospect Tracker'!$T$5:$T$554,$K274)="","",INDEX('Prospect Tracker'!$T$5:$T$554,$K274)))</f>
        <v/>
      </c>
      <c r="J274" s="30">
        <f>IF($K274="","",IF(INDEX('Prospect Tracker'!$L$5:$L$554,$K274)="","",INDEX('Prospect Tracker'!$L$5:$L$554,$K274)))</f>
        <v/>
      </c>
      <c r="K274" s="19">
        <f>IFERROR(MATCH(SMALL('Prospect Tracker'!$X$5:$X$554,ROW()-4),'Prospect Tracker'!$X$5:$X$554,0),"")</f>
        <v/>
      </c>
    </row>
    <row r="275" ht="15" customHeight="1" s="20">
      <c r="A275" s="25">
        <f>IF($K275="","",IF(INDEX('Prospect Tracker'!$W$5:$W$554,$K275)="","",INDEX('Prospect Tracker'!$W$5:$W$554,$K275)))</f>
        <v/>
      </c>
      <c r="B275" s="25">
        <f>IF($K275="","",IF(INDEX('Prospect Tracker'!$A$5:$A$554,$K275)="","",INDEX('Prospect Tracker'!$A$5:$A$554,$K275)))</f>
        <v/>
      </c>
      <c r="C275" s="25">
        <f>IF($K275="","",IF(INDEX('Prospect Tracker'!$B$5:$B$554,$K275)="","",INDEX('Prospect Tracker'!$B$5:$B$554,$K275)))</f>
        <v/>
      </c>
      <c r="D275" s="25">
        <f>IF($K275="","",IF(INDEX('Prospect Tracker'!$M$5:$M$554,$K275)="","",INDEX('Prospect Tracker'!$M$5:$M$554,$K275)))</f>
        <v/>
      </c>
      <c r="E275" s="25">
        <f>IF($K275="","",IF(INDEX('Prospect Tracker'!$R$5:$R$554,$K275)="","",INDEX('Prospect Tracker'!$R$5:$R$554,$K275)))</f>
        <v/>
      </c>
      <c r="F275" s="25">
        <f>IF($K275="","",IF(INDEX('Prospect Tracker'!$J$5:$J$554,$K275)="","",INDEX('Prospect Tracker'!$J$5:$J$554,$K275)))</f>
        <v/>
      </c>
      <c r="G275" s="25">
        <f>IF($K275="","",IF(INDEX('Prospect Tracker'!$H$5:$H$554,$K275)="","",INDEX('Prospect Tracker'!$H$5:$H$554,$K275)))</f>
        <v/>
      </c>
      <c r="H275" s="26">
        <f>IF($K275="","",IF(INDEX('Prospect Tracker'!$K$5:$K$554,$K275)="","",INDEX('Prospect Tracker'!$K$5:$K$554,$K275)))</f>
        <v/>
      </c>
      <c r="I275" s="25">
        <f>IF($K275="","",IF(INDEX('Prospect Tracker'!$T$5:$T$554,$K275)="","",INDEX('Prospect Tracker'!$T$5:$T$554,$K275)))</f>
        <v/>
      </c>
      <c r="J275" s="25">
        <f>IF($K275="","",IF(INDEX('Prospect Tracker'!$L$5:$L$554,$K275)="","",INDEX('Prospect Tracker'!$L$5:$L$554,$K275)))</f>
        <v/>
      </c>
      <c r="K275" s="19">
        <f>IFERROR(MATCH(SMALL('Prospect Tracker'!$X$5:$X$554,ROW()-4),'Prospect Tracker'!$X$5:$X$554,0),"")</f>
        <v/>
      </c>
    </row>
    <row r="276" ht="15" customHeight="1" s="20">
      <c r="A276" s="30">
        <f>IF($K276="","",IF(INDEX('Prospect Tracker'!$W$5:$W$554,$K276)="","",INDEX('Prospect Tracker'!$W$5:$W$554,$K276)))</f>
        <v/>
      </c>
      <c r="B276" s="30">
        <f>IF($K276="","",IF(INDEX('Prospect Tracker'!$A$5:$A$554,$K276)="","",INDEX('Prospect Tracker'!$A$5:$A$554,$K276)))</f>
        <v/>
      </c>
      <c r="C276" s="30">
        <f>IF($K276="","",IF(INDEX('Prospect Tracker'!$B$5:$B$554,$K276)="","",INDEX('Prospect Tracker'!$B$5:$B$554,$K276)))</f>
        <v/>
      </c>
      <c r="D276" s="30">
        <f>IF($K276="","",IF(INDEX('Prospect Tracker'!$M$5:$M$554,$K276)="","",INDEX('Prospect Tracker'!$M$5:$M$554,$K276)))</f>
        <v/>
      </c>
      <c r="E276" s="30">
        <f>IF($K276="","",IF(INDEX('Prospect Tracker'!$R$5:$R$554,$K276)="","",INDEX('Prospect Tracker'!$R$5:$R$554,$K276)))</f>
        <v/>
      </c>
      <c r="F276" s="30">
        <f>IF($K276="","",IF(INDEX('Prospect Tracker'!$J$5:$J$554,$K276)="","",INDEX('Prospect Tracker'!$J$5:$J$554,$K276)))</f>
        <v/>
      </c>
      <c r="G276" s="30">
        <f>IF($K276="","",IF(INDEX('Prospect Tracker'!$H$5:$H$554,$K276)="","",INDEX('Prospect Tracker'!$H$5:$H$554,$K276)))</f>
        <v/>
      </c>
      <c r="H276" s="31">
        <f>IF($K276="","",IF(INDEX('Prospect Tracker'!$K$5:$K$554,$K276)="","",INDEX('Prospect Tracker'!$K$5:$K$554,$K276)))</f>
        <v/>
      </c>
      <c r="I276" s="30">
        <f>IF($K276="","",IF(INDEX('Prospect Tracker'!$T$5:$T$554,$K276)="","",INDEX('Prospect Tracker'!$T$5:$T$554,$K276)))</f>
        <v/>
      </c>
      <c r="J276" s="30">
        <f>IF($K276="","",IF(INDEX('Prospect Tracker'!$L$5:$L$554,$K276)="","",INDEX('Prospect Tracker'!$L$5:$L$554,$K276)))</f>
        <v/>
      </c>
      <c r="K276" s="19">
        <f>IFERROR(MATCH(SMALL('Prospect Tracker'!$X$5:$X$554,ROW()-4),'Prospect Tracker'!$X$5:$X$554,0),"")</f>
        <v/>
      </c>
    </row>
    <row r="277" ht="15" customHeight="1" s="20">
      <c r="A277" s="25">
        <f>IF($K277="","",IF(INDEX('Prospect Tracker'!$W$5:$W$554,$K277)="","",INDEX('Prospect Tracker'!$W$5:$W$554,$K277)))</f>
        <v/>
      </c>
      <c r="B277" s="25">
        <f>IF($K277="","",IF(INDEX('Prospect Tracker'!$A$5:$A$554,$K277)="","",INDEX('Prospect Tracker'!$A$5:$A$554,$K277)))</f>
        <v/>
      </c>
      <c r="C277" s="25">
        <f>IF($K277="","",IF(INDEX('Prospect Tracker'!$B$5:$B$554,$K277)="","",INDEX('Prospect Tracker'!$B$5:$B$554,$K277)))</f>
        <v/>
      </c>
      <c r="D277" s="25">
        <f>IF($K277="","",IF(INDEX('Prospect Tracker'!$M$5:$M$554,$K277)="","",INDEX('Prospect Tracker'!$M$5:$M$554,$K277)))</f>
        <v/>
      </c>
      <c r="E277" s="25">
        <f>IF($K277="","",IF(INDEX('Prospect Tracker'!$R$5:$R$554,$K277)="","",INDEX('Prospect Tracker'!$R$5:$R$554,$K277)))</f>
        <v/>
      </c>
      <c r="F277" s="25">
        <f>IF($K277="","",IF(INDEX('Prospect Tracker'!$J$5:$J$554,$K277)="","",INDEX('Prospect Tracker'!$J$5:$J$554,$K277)))</f>
        <v/>
      </c>
      <c r="G277" s="25">
        <f>IF($K277="","",IF(INDEX('Prospect Tracker'!$H$5:$H$554,$K277)="","",INDEX('Prospect Tracker'!$H$5:$H$554,$K277)))</f>
        <v/>
      </c>
      <c r="H277" s="26">
        <f>IF($K277="","",IF(INDEX('Prospect Tracker'!$K$5:$K$554,$K277)="","",INDEX('Prospect Tracker'!$K$5:$K$554,$K277)))</f>
        <v/>
      </c>
      <c r="I277" s="25">
        <f>IF($K277="","",IF(INDEX('Prospect Tracker'!$T$5:$T$554,$K277)="","",INDEX('Prospect Tracker'!$T$5:$T$554,$K277)))</f>
        <v/>
      </c>
      <c r="J277" s="25">
        <f>IF($K277="","",IF(INDEX('Prospect Tracker'!$L$5:$L$554,$K277)="","",INDEX('Prospect Tracker'!$L$5:$L$554,$K277)))</f>
        <v/>
      </c>
      <c r="K277" s="19">
        <f>IFERROR(MATCH(SMALL('Prospect Tracker'!$X$5:$X$554,ROW()-4),'Prospect Tracker'!$X$5:$X$554,0),"")</f>
        <v/>
      </c>
    </row>
    <row r="278" ht="15" customHeight="1" s="20">
      <c r="A278" s="30">
        <f>IF($K278="","",IF(INDEX('Prospect Tracker'!$W$5:$W$554,$K278)="","",INDEX('Prospect Tracker'!$W$5:$W$554,$K278)))</f>
        <v/>
      </c>
      <c r="B278" s="30">
        <f>IF($K278="","",IF(INDEX('Prospect Tracker'!$A$5:$A$554,$K278)="","",INDEX('Prospect Tracker'!$A$5:$A$554,$K278)))</f>
        <v/>
      </c>
      <c r="C278" s="30">
        <f>IF($K278="","",IF(INDEX('Prospect Tracker'!$B$5:$B$554,$K278)="","",INDEX('Prospect Tracker'!$B$5:$B$554,$K278)))</f>
        <v/>
      </c>
      <c r="D278" s="30">
        <f>IF($K278="","",IF(INDEX('Prospect Tracker'!$M$5:$M$554,$K278)="","",INDEX('Prospect Tracker'!$M$5:$M$554,$K278)))</f>
        <v/>
      </c>
      <c r="E278" s="30">
        <f>IF($K278="","",IF(INDEX('Prospect Tracker'!$R$5:$R$554,$K278)="","",INDEX('Prospect Tracker'!$R$5:$R$554,$K278)))</f>
        <v/>
      </c>
      <c r="F278" s="30">
        <f>IF($K278="","",IF(INDEX('Prospect Tracker'!$J$5:$J$554,$K278)="","",INDEX('Prospect Tracker'!$J$5:$J$554,$K278)))</f>
        <v/>
      </c>
      <c r="G278" s="30">
        <f>IF($K278="","",IF(INDEX('Prospect Tracker'!$H$5:$H$554,$K278)="","",INDEX('Prospect Tracker'!$H$5:$H$554,$K278)))</f>
        <v/>
      </c>
      <c r="H278" s="31">
        <f>IF($K278="","",IF(INDEX('Prospect Tracker'!$K$5:$K$554,$K278)="","",INDEX('Prospect Tracker'!$K$5:$K$554,$K278)))</f>
        <v/>
      </c>
      <c r="I278" s="30">
        <f>IF($K278="","",IF(INDEX('Prospect Tracker'!$T$5:$T$554,$K278)="","",INDEX('Prospect Tracker'!$T$5:$T$554,$K278)))</f>
        <v/>
      </c>
      <c r="J278" s="30">
        <f>IF($K278="","",IF(INDEX('Prospect Tracker'!$L$5:$L$554,$K278)="","",INDEX('Prospect Tracker'!$L$5:$L$554,$K278)))</f>
        <v/>
      </c>
      <c r="K278" s="19">
        <f>IFERROR(MATCH(SMALL('Prospect Tracker'!$X$5:$X$554,ROW()-4),'Prospect Tracker'!$X$5:$X$554,0),"")</f>
        <v/>
      </c>
    </row>
    <row r="279" ht="15" customHeight="1" s="20">
      <c r="A279" s="25">
        <f>IF($K279="","",IF(INDEX('Prospect Tracker'!$W$5:$W$554,$K279)="","",INDEX('Prospect Tracker'!$W$5:$W$554,$K279)))</f>
        <v/>
      </c>
      <c r="B279" s="25">
        <f>IF($K279="","",IF(INDEX('Prospect Tracker'!$A$5:$A$554,$K279)="","",INDEX('Prospect Tracker'!$A$5:$A$554,$K279)))</f>
        <v/>
      </c>
      <c r="C279" s="25">
        <f>IF($K279="","",IF(INDEX('Prospect Tracker'!$B$5:$B$554,$K279)="","",INDEX('Prospect Tracker'!$B$5:$B$554,$K279)))</f>
        <v/>
      </c>
      <c r="D279" s="25">
        <f>IF($K279="","",IF(INDEX('Prospect Tracker'!$M$5:$M$554,$K279)="","",INDEX('Prospect Tracker'!$M$5:$M$554,$K279)))</f>
        <v/>
      </c>
      <c r="E279" s="25">
        <f>IF($K279="","",IF(INDEX('Prospect Tracker'!$R$5:$R$554,$K279)="","",INDEX('Prospect Tracker'!$R$5:$R$554,$K279)))</f>
        <v/>
      </c>
      <c r="F279" s="25">
        <f>IF($K279="","",IF(INDEX('Prospect Tracker'!$J$5:$J$554,$K279)="","",INDEX('Prospect Tracker'!$J$5:$J$554,$K279)))</f>
        <v/>
      </c>
      <c r="G279" s="25">
        <f>IF($K279="","",IF(INDEX('Prospect Tracker'!$H$5:$H$554,$K279)="","",INDEX('Prospect Tracker'!$H$5:$H$554,$K279)))</f>
        <v/>
      </c>
      <c r="H279" s="26">
        <f>IF($K279="","",IF(INDEX('Prospect Tracker'!$K$5:$K$554,$K279)="","",INDEX('Prospect Tracker'!$K$5:$K$554,$K279)))</f>
        <v/>
      </c>
      <c r="I279" s="25">
        <f>IF($K279="","",IF(INDEX('Prospect Tracker'!$T$5:$T$554,$K279)="","",INDEX('Prospect Tracker'!$T$5:$T$554,$K279)))</f>
        <v/>
      </c>
      <c r="J279" s="25">
        <f>IF($K279="","",IF(INDEX('Prospect Tracker'!$L$5:$L$554,$K279)="","",INDEX('Prospect Tracker'!$L$5:$L$554,$K279)))</f>
        <v/>
      </c>
      <c r="K279" s="19">
        <f>IFERROR(MATCH(SMALL('Prospect Tracker'!$X$5:$X$554,ROW()-4),'Prospect Tracker'!$X$5:$X$554,0),"")</f>
        <v/>
      </c>
    </row>
    <row r="280" ht="15" customHeight="1" s="20">
      <c r="A280" s="30">
        <f>IF($K280="","",IF(INDEX('Prospect Tracker'!$W$5:$W$554,$K280)="","",INDEX('Prospect Tracker'!$W$5:$W$554,$K280)))</f>
        <v/>
      </c>
      <c r="B280" s="30">
        <f>IF($K280="","",IF(INDEX('Prospect Tracker'!$A$5:$A$554,$K280)="","",INDEX('Prospect Tracker'!$A$5:$A$554,$K280)))</f>
        <v/>
      </c>
      <c r="C280" s="30">
        <f>IF($K280="","",IF(INDEX('Prospect Tracker'!$B$5:$B$554,$K280)="","",INDEX('Prospect Tracker'!$B$5:$B$554,$K280)))</f>
        <v/>
      </c>
      <c r="D280" s="30">
        <f>IF($K280="","",IF(INDEX('Prospect Tracker'!$M$5:$M$554,$K280)="","",INDEX('Prospect Tracker'!$M$5:$M$554,$K280)))</f>
        <v/>
      </c>
      <c r="E280" s="30">
        <f>IF($K280="","",IF(INDEX('Prospect Tracker'!$R$5:$R$554,$K280)="","",INDEX('Prospect Tracker'!$R$5:$R$554,$K280)))</f>
        <v/>
      </c>
      <c r="F280" s="30">
        <f>IF($K280="","",IF(INDEX('Prospect Tracker'!$J$5:$J$554,$K280)="","",INDEX('Prospect Tracker'!$J$5:$J$554,$K280)))</f>
        <v/>
      </c>
      <c r="G280" s="30">
        <f>IF($K280="","",IF(INDEX('Prospect Tracker'!$H$5:$H$554,$K280)="","",INDEX('Prospect Tracker'!$H$5:$H$554,$K280)))</f>
        <v/>
      </c>
      <c r="H280" s="31">
        <f>IF($K280="","",IF(INDEX('Prospect Tracker'!$K$5:$K$554,$K280)="","",INDEX('Prospect Tracker'!$K$5:$K$554,$K280)))</f>
        <v/>
      </c>
      <c r="I280" s="30">
        <f>IF($K280="","",IF(INDEX('Prospect Tracker'!$T$5:$T$554,$K280)="","",INDEX('Prospect Tracker'!$T$5:$T$554,$K280)))</f>
        <v/>
      </c>
      <c r="J280" s="30">
        <f>IF($K280="","",IF(INDEX('Prospect Tracker'!$L$5:$L$554,$K280)="","",INDEX('Prospect Tracker'!$L$5:$L$554,$K280)))</f>
        <v/>
      </c>
      <c r="K280" s="19">
        <f>IFERROR(MATCH(SMALL('Prospect Tracker'!$X$5:$X$554,ROW()-4),'Prospect Tracker'!$X$5:$X$554,0),"")</f>
        <v/>
      </c>
    </row>
    <row r="281" ht="15" customHeight="1" s="20">
      <c r="A281" s="25">
        <f>IF($K281="","",IF(INDEX('Prospect Tracker'!$W$5:$W$554,$K281)="","",INDEX('Prospect Tracker'!$W$5:$W$554,$K281)))</f>
        <v/>
      </c>
      <c r="B281" s="25">
        <f>IF($K281="","",IF(INDEX('Prospect Tracker'!$A$5:$A$554,$K281)="","",INDEX('Prospect Tracker'!$A$5:$A$554,$K281)))</f>
        <v/>
      </c>
      <c r="C281" s="25">
        <f>IF($K281="","",IF(INDEX('Prospect Tracker'!$B$5:$B$554,$K281)="","",INDEX('Prospect Tracker'!$B$5:$B$554,$K281)))</f>
        <v/>
      </c>
      <c r="D281" s="25">
        <f>IF($K281="","",IF(INDEX('Prospect Tracker'!$M$5:$M$554,$K281)="","",INDEX('Prospect Tracker'!$M$5:$M$554,$K281)))</f>
        <v/>
      </c>
      <c r="E281" s="25">
        <f>IF($K281="","",IF(INDEX('Prospect Tracker'!$R$5:$R$554,$K281)="","",INDEX('Prospect Tracker'!$R$5:$R$554,$K281)))</f>
        <v/>
      </c>
      <c r="F281" s="25">
        <f>IF($K281="","",IF(INDEX('Prospect Tracker'!$J$5:$J$554,$K281)="","",INDEX('Prospect Tracker'!$J$5:$J$554,$K281)))</f>
        <v/>
      </c>
      <c r="G281" s="25">
        <f>IF($K281="","",IF(INDEX('Prospect Tracker'!$H$5:$H$554,$K281)="","",INDEX('Prospect Tracker'!$H$5:$H$554,$K281)))</f>
        <v/>
      </c>
      <c r="H281" s="26">
        <f>IF($K281="","",IF(INDEX('Prospect Tracker'!$K$5:$K$554,$K281)="","",INDEX('Prospect Tracker'!$K$5:$K$554,$K281)))</f>
        <v/>
      </c>
      <c r="I281" s="25">
        <f>IF($K281="","",IF(INDEX('Prospect Tracker'!$T$5:$T$554,$K281)="","",INDEX('Prospect Tracker'!$T$5:$T$554,$K281)))</f>
        <v/>
      </c>
      <c r="J281" s="25">
        <f>IF($K281="","",IF(INDEX('Prospect Tracker'!$L$5:$L$554,$K281)="","",INDEX('Prospect Tracker'!$L$5:$L$554,$K281)))</f>
        <v/>
      </c>
      <c r="K281" s="19">
        <f>IFERROR(MATCH(SMALL('Prospect Tracker'!$X$5:$X$554,ROW()-4),'Prospect Tracker'!$X$5:$X$554,0),"")</f>
        <v/>
      </c>
    </row>
    <row r="282" ht="15" customHeight="1" s="20">
      <c r="A282" s="30">
        <f>IF($K282="","",IF(INDEX('Prospect Tracker'!$W$5:$W$554,$K282)="","",INDEX('Prospect Tracker'!$W$5:$W$554,$K282)))</f>
        <v/>
      </c>
      <c r="B282" s="30">
        <f>IF($K282="","",IF(INDEX('Prospect Tracker'!$A$5:$A$554,$K282)="","",INDEX('Prospect Tracker'!$A$5:$A$554,$K282)))</f>
        <v/>
      </c>
      <c r="C282" s="30">
        <f>IF($K282="","",IF(INDEX('Prospect Tracker'!$B$5:$B$554,$K282)="","",INDEX('Prospect Tracker'!$B$5:$B$554,$K282)))</f>
        <v/>
      </c>
      <c r="D282" s="30">
        <f>IF($K282="","",IF(INDEX('Prospect Tracker'!$M$5:$M$554,$K282)="","",INDEX('Prospect Tracker'!$M$5:$M$554,$K282)))</f>
        <v/>
      </c>
      <c r="E282" s="30">
        <f>IF($K282="","",IF(INDEX('Prospect Tracker'!$R$5:$R$554,$K282)="","",INDEX('Prospect Tracker'!$R$5:$R$554,$K282)))</f>
        <v/>
      </c>
      <c r="F282" s="30">
        <f>IF($K282="","",IF(INDEX('Prospect Tracker'!$J$5:$J$554,$K282)="","",INDEX('Prospect Tracker'!$J$5:$J$554,$K282)))</f>
        <v/>
      </c>
      <c r="G282" s="30">
        <f>IF($K282="","",IF(INDEX('Prospect Tracker'!$H$5:$H$554,$K282)="","",INDEX('Prospect Tracker'!$H$5:$H$554,$K282)))</f>
        <v/>
      </c>
      <c r="H282" s="31">
        <f>IF($K282="","",IF(INDEX('Prospect Tracker'!$K$5:$K$554,$K282)="","",INDEX('Prospect Tracker'!$K$5:$K$554,$K282)))</f>
        <v/>
      </c>
      <c r="I282" s="30">
        <f>IF($K282="","",IF(INDEX('Prospect Tracker'!$T$5:$T$554,$K282)="","",INDEX('Prospect Tracker'!$T$5:$T$554,$K282)))</f>
        <v/>
      </c>
      <c r="J282" s="30">
        <f>IF($K282="","",IF(INDEX('Prospect Tracker'!$L$5:$L$554,$K282)="","",INDEX('Prospect Tracker'!$L$5:$L$554,$K282)))</f>
        <v/>
      </c>
      <c r="K282" s="19">
        <f>IFERROR(MATCH(SMALL('Prospect Tracker'!$X$5:$X$554,ROW()-4),'Prospect Tracker'!$X$5:$X$554,0),"")</f>
        <v/>
      </c>
    </row>
    <row r="283" ht="15" customHeight="1" s="20">
      <c r="A283" s="25">
        <f>IF($K283="","",IF(INDEX('Prospect Tracker'!$W$5:$W$554,$K283)="","",INDEX('Prospect Tracker'!$W$5:$W$554,$K283)))</f>
        <v/>
      </c>
      <c r="B283" s="25">
        <f>IF($K283="","",IF(INDEX('Prospect Tracker'!$A$5:$A$554,$K283)="","",INDEX('Prospect Tracker'!$A$5:$A$554,$K283)))</f>
        <v/>
      </c>
      <c r="C283" s="25">
        <f>IF($K283="","",IF(INDEX('Prospect Tracker'!$B$5:$B$554,$K283)="","",INDEX('Prospect Tracker'!$B$5:$B$554,$K283)))</f>
        <v/>
      </c>
      <c r="D283" s="25">
        <f>IF($K283="","",IF(INDEX('Prospect Tracker'!$M$5:$M$554,$K283)="","",INDEX('Prospect Tracker'!$M$5:$M$554,$K283)))</f>
        <v/>
      </c>
      <c r="E283" s="25">
        <f>IF($K283="","",IF(INDEX('Prospect Tracker'!$R$5:$R$554,$K283)="","",INDEX('Prospect Tracker'!$R$5:$R$554,$K283)))</f>
        <v/>
      </c>
      <c r="F283" s="25">
        <f>IF($K283="","",IF(INDEX('Prospect Tracker'!$J$5:$J$554,$K283)="","",INDEX('Prospect Tracker'!$J$5:$J$554,$K283)))</f>
        <v/>
      </c>
      <c r="G283" s="25">
        <f>IF($K283="","",IF(INDEX('Prospect Tracker'!$H$5:$H$554,$K283)="","",INDEX('Prospect Tracker'!$H$5:$H$554,$K283)))</f>
        <v/>
      </c>
      <c r="H283" s="26">
        <f>IF($K283="","",IF(INDEX('Prospect Tracker'!$K$5:$K$554,$K283)="","",INDEX('Prospect Tracker'!$K$5:$K$554,$K283)))</f>
        <v/>
      </c>
      <c r="I283" s="25">
        <f>IF($K283="","",IF(INDEX('Prospect Tracker'!$T$5:$T$554,$K283)="","",INDEX('Prospect Tracker'!$T$5:$T$554,$K283)))</f>
        <v/>
      </c>
      <c r="J283" s="25">
        <f>IF($K283="","",IF(INDEX('Prospect Tracker'!$L$5:$L$554,$K283)="","",INDEX('Prospect Tracker'!$L$5:$L$554,$K283)))</f>
        <v/>
      </c>
      <c r="K283" s="19">
        <f>IFERROR(MATCH(SMALL('Prospect Tracker'!$X$5:$X$554,ROW()-4),'Prospect Tracker'!$X$5:$X$554,0),"")</f>
        <v/>
      </c>
    </row>
    <row r="284" ht="15" customHeight="1" s="20">
      <c r="A284" s="30">
        <f>IF($K284="","",IF(INDEX('Prospect Tracker'!$W$5:$W$554,$K284)="","",INDEX('Prospect Tracker'!$W$5:$W$554,$K284)))</f>
        <v/>
      </c>
      <c r="B284" s="30">
        <f>IF($K284="","",IF(INDEX('Prospect Tracker'!$A$5:$A$554,$K284)="","",INDEX('Prospect Tracker'!$A$5:$A$554,$K284)))</f>
        <v/>
      </c>
      <c r="C284" s="30">
        <f>IF($K284="","",IF(INDEX('Prospect Tracker'!$B$5:$B$554,$K284)="","",INDEX('Prospect Tracker'!$B$5:$B$554,$K284)))</f>
        <v/>
      </c>
      <c r="D284" s="30">
        <f>IF($K284="","",IF(INDEX('Prospect Tracker'!$M$5:$M$554,$K284)="","",INDEX('Prospect Tracker'!$M$5:$M$554,$K284)))</f>
        <v/>
      </c>
      <c r="E284" s="30">
        <f>IF($K284="","",IF(INDEX('Prospect Tracker'!$R$5:$R$554,$K284)="","",INDEX('Prospect Tracker'!$R$5:$R$554,$K284)))</f>
        <v/>
      </c>
      <c r="F284" s="30">
        <f>IF($K284="","",IF(INDEX('Prospect Tracker'!$J$5:$J$554,$K284)="","",INDEX('Prospect Tracker'!$J$5:$J$554,$K284)))</f>
        <v/>
      </c>
      <c r="G284" s="30">
        <f>IF($K284="","",IF(INDEX('Prospect Tracker'!$H$5:$H$554,$K284)="","",INDEX('Prospect Tracker'!$H$5:$H$554,$K284)))</f>
        <v/>
      </c>
      <c r="H284" s="31">
        <f>IF($K284="","",IF(INDEX('Prospect Tracker'!$K$5:$K$554,$K284)="","",INDEX('Prospect Tracker'!$K$5:$K$554,$K284)))</f>
        <v/>
      </c>
      <c r="I284" s="30">
        <f>IF($K284="","",IF(INDEX('Prospect Tracker'!$T$5:$T$554,$K284)="","",INDEX('Prospect Tracker'!$T$5:$T$554,$K284)))</f>
        <v/>
      </c>
      <c r="J284" s="30">
        <f>IF($K284="","",IF(INDEX('Prospect Tracker'!$L$5:$L$554,$K284)="","",INDEX('Prospect Tracker'!$L$5:$L$554,$K284)))</f>
        <v/>
      </c>
      <c r="K284" s="19">
        <f>IFERROR(MATCH(SMALL('Prospect Tracker'!$X$5:$X$554,ROW()-4),'Prospect Tracker'!$X$5:$X$554,0),"")</f>
        <v/>
      </c>
    </row>
    <row r="285" ht="15" customHeight="1" s="20">
      <c r="A285" s="25">
        <f>IF($K285="","",IF(INDEX('Prospect Tracker'!$W$5:$W$554,$K285)="","",INDEX('Prospect Tracker'!$W$5:$W$554,$K285)))</f>
        <v/>
      </c>
      <c r="B285" s="25">
        <f>IF($K285="","",IF(INDEX('Prospect Tracker'!$A$5:$A$554,$K285)="","",INDEX('Prospect Tracker'!$A$5:$A$554,$K285)))</f>
        <v/>
      </c>
      <c r="C285" s="25">
        <f>IF($K285="","",IF(INDEX('Prospect Tracker'!$B$5:$B$554,$K285)="","",INDEX('Prospect Tracker'!$B$5:$B$554,$K285)))</f>
        <v/>
      </c>
      <c r="D285" s="25">
        <f>IF($K285="","",IF(INDEX('Prospect Tracker'!$M$5:$M$554,$K285)="","",INDEX('Prospect Tracker'!$M$5:$M$554,$K285)))</f>
        <v/>
      </c>
      <c r="E285" s="25">
        <f>IF($K285="","",IF(INDEX('Prospect Tracker'!$R$5:$R$554,$K285)="","",INDEX('Prospect Tracker'!$R$5:$R$554,$K285)))</f>
        <v/>
      </c>
      <c r="F285" s="25">
        <f>IF($K285="","",IF(INDEX('Prospect Tracker'!$J$5:$J$554,$K285)="","",INDEX('Prospect Tracker'!$J$5:$J$554,$K285)))</f>
        <v/>
      </c>
      <c r="G285" s="25">
        <f>IF($K285="","",IF(INDEX('Prospect Tracker'!$H$5:$H$554,$K285)="","",INDEX('Prospect Tracker'!$H$5:$H$554,$K285)))</f>
        <v/>
      </c>
      <c r="H285" s="26">
        <f>IF($K285="","",IF(INDEX('Prospect Tracker'!$K$5:$K$554,$K285)="","",INDEX('Prospect Tracker'!$K$5:$K$554,$K285)))</f>
        <v/>
      </c>
      <c r="I285" s="25">
        <f>IF($K285="","",IF(INDEX('Prospect Tracker'!$T$5:$T$554,$K285)="","",INDEX('Prospect Tracker'!$T$5:$T$554,$K285)))</f>
        <v/>
      </c>
      <c r="J285" s="25">
        <f>IF($K285="","",IF(INDEX('Prospect Tracker'!$L$5:$L$554,$K285)="","",INDEX('Prospect Tracker'!$L$5:$L$554,$K285)))</f>
        <v/>
      </c>
      <c r="K285" s="19">
        <f>IFERROR(MATCH(SMALL('Prospect Tracker'!$X$5:$X$554,ROW()-4),'Prospect Tracker'!$X$5:$X$554,0),"")</f>
        <v/>
      </c>
    </row>
    <row r="286" ht="15" customHeight="1" s="20">
      <c r="A286" s="30">
        <f>IF($K286="","",IF(INDEX('Prospect Tracker'!$W$5:$W$554,$K286)="","",INDEX('Prospect Tracker'!$W$5:$W$554,$K286)))</f>
        <v/>
      </c>
      <c r="B286" s="30">
        <f>IF($K286="","",IF(INDEX('Prospect Tracker'!$A$5:$A$554,$K286)="","",INDEX('Prospect Tracker'!$A$5:$A$554,$K286)))</f>
        <v/>
      </c>
      <c r="C286" s="30">
        <f>IF($K286="","",IF(INDEX('Prospect Tracker'!$B$5:$B$554,$K286)="","",INDEX('Prospect Tracker'!$B$5:$B$554,$K286)))</f>
        <v/>
      </c>
      <c r="D286" s="30">
        <f>IF($K286="","",IF(INDEX('Prospect Tracker'!$M$5:$M$554,$K286)="","",INDEX('Prospect Tracker'!$M$5:$M$554,$K286)))</f>
        <v/>
      </c>
      <c r="E286" s="30">
        <f>IF($K286="","",IF(INDEX('Prospect Tracker'!$R$5:$R$554,$K286)="","",INDEX('Prospect Tracker'!$R$5:$R$554,$K286)))</f>
        <v/>
      </c>
      <c r="F286" s="30">
        <f>IF($K286="","",IF(INDEX('Prospect Tracker'!$J$5:$J$554,$K286)="","",INDEX('Prospect Tracker'!$J$5:$J$554,$K286)))</f>
        <v/>
      </c>
      <c r="G286" s="30">
        <f>IF($K286="","",IF(INDEX('Prospect Tracker'!$H$5:$H$554,$K286)="","",INDEX('Prospect Tracker'!$H$5:$H$554,$K286)))</f>
        <v/>
      </c>
      <c r="H286" s="31">
        <f>IF($K286="","",IF(INDEX('Prospect Tracker'!$K$5:$K$554,$K286)="","",INDEX('Prospect Tracker'!$K$5:$K$554,$K286)))</f>
        <v/>
      </c>
      <c r="I286" s="30">
        <f>IF($K286="","",IF(INDEX('Prospect Tracker'!$T$5:$T$554,$K286)="","",INDEX('Prospect Tracker'!$T$5:$T$554,$K286)))</f>
        <v/>
      </c>
      <c r="J286" s="30">
        <f>IF($K286="","",IF(INDEX('Prospect Tracker'!$L$5:$L$554,$K286)="","",INDEX('Prospect Tracker'!$L$5:$L$554,$K286)))</f>
        <v/>
      </c>
      <c r="K286" s="19">
        <f>IFERROR(MATCH(SMALL('Prospect Tracker'!$X$5:$X$554,ROW()-4),'Prospect Tracker'!$X$5:$X$554,0),"")</f>
        <v/>
      </c>
    </row>
    <row r="287" ht="15" customHeight="1" s="20">
      <c r="A287" s="25">
        <f>IF($K287="","",IF(INDEX('Prospect Tracker'!$W$5:$W$554,$K287)="","",INDEX('Prospect Tracker'!$W$5:$W$554,$K287)))</f>
        <v/>
      </c>
      <c r="B287" s="25">
        <f>IF($K287="","",IF(INDEX('Prospect Tracker'!$A$5:$A$554,$K287)="","",INDEX('Prospect Tracker'!$A$5:$A$554,$K287)))</f>
        <v/>
      </c>
      <c r="C287" s="25">
        <f>IF($K287="","",IF(INDEX('Prospect Tracker'!$B$5:$B$554,$K287)="","",INDEX('Prospect Tracker'!$B$5:$B$554,$K287)))</f>
        <v/>
      </c>
      <c r="D287" s="25">
        <f>IF($K287="","",IF(INDEX('Prospect Tracker'!$M$5:$M$554,$K287)="","",INDEX('Prospect Tracker'!$M$5:$M$554,$K287)))</f>
        <v/>
      </c>
      <c r="E287" s="25">
        <f>IF($K287="","",IF(INDEX('Prospect Tracker'!$R$5:$R$554,$K287)="","",INDEX('Prospect Tracker'!$R$5:$R$554,$K287)))</f>
        <v/>
      </c>
      <c r="F287" s="25">
        <f>IF($K287="","",IF(INDEX('Prospect Tracker'!$J$5:$J$554,$K287)="","",INDEX('Prospect Tracker'!$J$5:$J$554,$K287)))</f>
        <v/>
      </c>
      <c r="G287" s="25">
        <f>IF($K287="","",IF(INDEX('Prospect Tracker'!$H$5:$H$554,$K287)="","",INDEX('Prospect Tracker'!$H$5:$H$554,$K287)))</f>
        <v/>
      </c>
      <c r="H287" s="26">
        <f>IF($K287="","",IF(INDEX('Prospect Tracker'!$K$5:$K$554,$K287)="","",INDEX('Prospect Tracker'!$K$5:$K$554,$K287)))</f>
        <v/>
      </c>
      <c r="I287" s="25">
        <f>IF($K287="","",IF(INDEX('Prospect Tracker'!$T$5:$T$554,$K287)="","",INDEX('Prospect Tracker'!$T$5:$T$554,$K287)))</f>
        <v/>
      </c>
      <c r="J287" s="25">
        <f>IF($K287="","",IF(INDEX('Prospect Tracker'!$L$5:$L$554,$K287)="","",INDEX('Prospect Tracker'!$L$5:$L$554,$K287)))</f>
        <v/>
      </c>
      <c r="K287" s="19">
        <f>IFERROR(MATCH(SMALL('Prospect Tracker'!$X$5:$X$554,ROW()-4),'Prospect Tracker'!$X$5:$X$554,0),"")</f>
        <v/>
      </c>
    </row>
    <row r="288" ht="15" customHeight="1" s="20">
      <c r="A288" s="30">
        <f>IF($K288="","",IF(INDEX('Prospect Tracker'!$W$5:$W$554,$K288)="","",INDEX('Prospect Tracker'!$W$5:$W$554,$K288)))</f>
        <v/>
      </c>
      <c r="B288" s="30">
        <f>IF($K288="","",IF(INDEX('Prospect Tracker'!$A$5:$A$554,$K288)="","",INDEX('Prospect Tracker'!$A$5:$A$554,$K288)))</f>
        <v/>
      </c>
      <c r="C288" s="30">
        <f>IF($K288="","",IF(INDEX('Prospect Tracker'!$B$5:$B$554,$K288)="","",INDEX('Prospect Tracker'!$B$5:$B$554,$K288)))</f>
        <v/>
      </c>
      <c r="D288" s="30">
        <f>IF($K288="","",IF(INDEX('Prospect Tracker'!$M$5:$M$554,$K288)="","",INDEX('Prospect Tracker'!$M$5:$M$554,$K288)))</f>
        <v/>
      </c>
      <c r="E288" s="30">
        <f>IF($K288="","",IF(INDEX('Prospect Tracker'!$R$5:$R$554,$K288)="","",INDEX('Prospect Tracker'!$R$5:$R$554,$K288)))</f>
        <v/>
      </c>
      <c r="F288" s="30">
        <f>IF($K288="","",IF(INDEX('Prospect Tracker'!$J$5:$J$554,$K288)="","",INDEX('Prospect Tracker'!$J$5:$J$554,$K288)))</f>
        <v/>
      </c>
      <c r="G288" s="30">
        <f>IF($K288="","",IF(INDEX('Prospect Tracker'!$H$5:$H$554,$K288)="","",INDEX('Prospect Tracker'!$H$5:$H$554,$K288)))</f>
        <v/>
      </c>
      <c r="H288" s="31">
        <f>IF($K288="","",IF(INDEX('Prospect Tracker'!$K$5:$K$554,$K288)="","",INDEX('Prospect Tracker'!$K$5:$K$554,$K288)))</f>
        <v/>
      </c>
      <c r="I288" s="30">
        <f>IF($K288="","",IF(INDEX('Prospect Tracker'!$T$5:$T$554,$K288)="","",INDEX('Prospect Tracker'!$T$5:$T$554,$K288)))</f>
        <v/>
      </c>
      <c r="J288" s="30">
        <f>IF($K288="","",IF(INDEX('Prospect Tracker'!$L$5:$L$554,$K288)="","",INDEX('Prospect Tracker'!$L$5:$L$554,$K288)))</f>
        <v/>
      </c>
      <c r="K288" s="19">
        <f>IFERROR(MATCH(SMALL('Prospect Tracker'!$X$5:$X$554,ROW()-4),'Prospect Tracker'!$X$5:$X$554,0),"")</f>
        <v/>
      </c>
    </row>
    <row r="289" ht="15" customHeight="1" s="20">
      <c r="A289" s="25">
        <f>IF($K289="","",IF(INDEX('Prospect Tracker'!$W$5:$W$554,$K289)="","",INDEX('Prospect Tracker'!$W$5:$W$554,$K289)))</f>
        <v/>
      </c>
      <c r="B289" s="25">
        <f>IF($K289="","",IF(INDEX('Prospect Tracker'!$A$5:$A$554,$K289)="","",INDEX('Prospect Tracker'!$A$5:$A$554,$K289)))</f>
        <v/>
      </c>
      <c r="C289" s="25">
        <f>IF($K289="","",IF(INDEX('Prospect Tracker'!$B$5:$B$554,$K289)="","",INDEX('Prospect Tracker'!$B$5:$B$554,$K289)))</f>
        <v/>
      </c>
      <c r="D289" s="25">
        <f>IF($K289="","",IF(INDEX('Prospect Tracker'!$M$5:$M$554,$K289)="","",INDEX('Prospect Tracker'!$M$5:$M$554,$K289)))</f>
        <v/>
      </c>
      <c r="E289" s="25">
        <f>IF($K289="","",IF(INDEX('Prospect Tracker'!$R$5:$R$554,$K289)="","",INDEX('Prospect Tracker'!$R$5:$R$554,$K289)))</f>
        <v/>
      </c>
      <c r="F289" s="25">
        <f>IF($K289="","",IF(INDEX('Prospect Tracker'!$J$5:$J$554,$K289)="","",INDEX('Prospect Tracker'!$J$5:$J$554,$K289)))</f>
        <v/>
      </c>
      <c r="G289" s="25">
        <f>IF($K289="","",IF(INDEX('Prospect Tracker'!$H$5:$H$554,$K289)="","",INDEX('Prospect Tracker'!$H$5:$H$554,$K289)))</f>
        <v/>
      </c>
      <c r="H289" s="26">
        <f>IF($K289="","",IF(INDEX('Prospect Tracker'!$K$5:$K$554,$K289)="","",INDEX('Prospect Tracker'!$K$5:$K$554,$K289)))</f>
        <v/>
      </c>
      <c r="I289" s="25">
        <f>IF($K289="","",IF(INDEX('Prospect Tracker'!$T$5:$T$554,$K289)="","",INDEX('Prospect Tracker'!$T$5:$T$554,$K289)))</f>
        <v/>
      </c>
      <c r="J289" s="25">
        <f>IF($K289="","",IF(INDEX('Prospect Tracker'!$L$5:$L$554,$K289)="","",INDEX('Prospect Tracker'!$L$5:$L$554,$K289)))</f>
        <v/>
      </c>
      <c r="K289" s="19">
        <f>IFERROR(MATCH(SMALL('Prospect Tracker'!$X$5:$X$554,ROW()-4),'Prospect Tracker'!$X$5:$X$554,0),"")</f>
        <v/>
      </c>
    </row>
    <row r="290" ht="15" customHeight="1" s="20">
      <c r="A290" s="30">
        <f>IF($K290="","",IF(INDEX('Prospect Tracker'!$W$5:$W$554,$K290)="","",INDEX('Prospect Tracker'!$W$5:$W$554,$K290)))</f>
        <v/>
      </c>
      <c r="B290" s="30">
        <f>IF($K290="","",IF(INDEX('Prospect Tracker'!$A$5:$A$554,$K290)="","",INDEX('Prospect Tracker'!$A$5:$A$554,$K290)))</f>
        <v/>
      </c>
      <c r="C290" s="30">
        <f>IF($K290="","",IF(INDEX('Prospect Tracker'!$B$5:$B$554,$K290)="","",INDEX('Prospect Tracker'!$B$5:$B$554,$K290)))</f>
        <v/>
      </c>
      <c r="D290" s="30">
        <f>IF($K290="","",IF(INDEX('Prospect Tracker'!$M$5:$M$554,$K290)="","",INDEX('Prospect Tracker'!$M$5:$M$554,$K290)))</f>
        <v/>
      </c>
      <c r="E290" s="30">
        <f>IF($K290="","",IF(INDEX('Prospect Tracker'!$R$5:$R$554,$K290)="","",INDEX('Prospect Tracker'!$R$5:$R$554,$K290)))</f>
        <v/>
      </c>
      <c r="F290" s="30">
        <f>IF($K290="","",IF(INDEX('Prospect Tracker'!$J$5:$J$554,$K290)="","",INDEX('Prospect Tracker'!$J$5:$J$554,$K290)))</f>
        <v/>
      </c>
      <c r="G290" s="30">
        <f>IF($K290="","",IF(INDEX('Prospect Tracker'!$H$5:$H$554,$K290)="","",INDEX('Prospect Tracker'!$H$5:$H$554,$K290)))</f>
        <v/>
      </c>
      <c r="H290" s="31">
        <f>IF($K290="","",IF(INDEX('Prospect Tracker'!$K$5:$K$554,$K290)="","",INDEX('Prospect Tracker'!$K$5:$K$554,$K290)))</f>
        <v/>
      </c>
      <c r="I290" s="30">
        <f>IF($K290="","",IF(INDEX('Prospect Tracker'!$T$5:$T$554,$K290)="","",INDEX('Prospect Tracker'!$T$5:$T$554,$K290)))</f>
        <v/>
      </c>
      <c r="J290" s="30">
        <f>IF($K290="","",IF(INDEX('Prospect Tracker'!$L$5:$L$554,$K290)="","",INDEX('Prospect Tracker'!$L$5:$L$554,$K290)))</f>
        <v/>
      </c>
      <c r="K290" s="19">
        <f>IFERROR(MATCH(SMALL('Prospect Tracker'!$X$5:$X$554,ROW()-4),'Prospect Tracker'!$X$5:$X$554,0),"")</f>
        <v/>
      </c>
    </row>
    <row r="291" ht="15" customHeight="1" s="20">
      <c r="A291" s="25">
        <f>IF($K291="","",IF(INDEX('Prospect Tracker'!$W$5:$W$554,$K291)="","",INDEX('Prospect Tracker'!$W$5:$W$554,$K291)))</f>
        <v/>
      </c>
      <c r="B291" s="25">
        <f>IF($K291="","",IF(INDEX('Prospect Tracker'!$A$5:$A$554,$K291)="","",INDEX('Prospect Tracker'!$A$5:$A$554,$K291)))</f>
        <v/>
      </c>
      <c r="C291" s="25">
        <f>IF($K291="","",IF(INDEX('Prospect Tracker'!$B$5:$B$554,$K291)="","",INDEX('Prospect Tracker'!$B$5:$B$554,$K291)))</f>
        <v/>
      </c>
      <c r="D291" s="25">
        <f>IF($K291="","",IF(INDEX('Prospect Tracker'!$M$5:$M$554,$K291)="","",INDEX('Prospect Tracker'!$M$5:$M$554,$K291)))</f>
        <v/>
      </c>
      <c r="E291" s="25">
        <f>IF($K291="","",IF(INDEX('Prospect Tracker'!$R$5:$R$554,$K291)="","",INDEX('Prospect Tracker'!$R$5:$R$554,$K291)))</f>
        <v/>
      </c>
      <c r="F291" s="25">
        <f>IF($K291="","",IF(INDEX('Prospect Tracker'!$J$5:$J$554,$K291)="","",INDEX('Prospect Tracker'!$J$5:$J$554,$K291)))</f>
        <v/>
      </c>
      <c r="G291" s="25">
        <f>IF($K291="","",IF(INDEX('Prospect Tracker'!$H$5:$H$554,$K291)="","",INDEX('Prospect Tracker'!$H$5:$H$554,$K291)))</f>
        <v/>
      </c>
      <c r="H291" s="26">
        <f>IF($K291="","",IF(INDEX('Prospect Tracker'!$K$5:$K$554,$K291)="","",INDEX('Prospect Tracker'!$K$5:$K$554,$K291)))</f>
        <v/>
      </c>
      <c r="I291" s="25">
        <f>IF($K291="","",IF(INDEX('Prospect Tracker'!$T$5:$T$554,$K291)="","",INDEX('Prospect Tracker'!$T$5:$T$554,$K291)))</f>
        <v/>
      </c>
      <c r="J291" s="25">
        <f>IF($K291="","",IF(INDEX('Prospect Tracker'!$L$5:$L$554,$K291)="","",INDEX('Prospect Tracker'!$L$5:$L$554,$K291)))</f>
        <v/>
      </c>
      <c r="K291" s="19">
        <f>IFERROR(MATCH(SMALL('Prospect Tracker'!$X$5:$X$554,ROW()-4),'Prospect Tracker'!$X$5:$X$554,0),"")</f>
        <v/>
      </c>
    </row>
    <row r="292" ht="15" customHeight="1" s="20">
      <c r="A292" s="30">
        <f>IF($K292="","",IF(INDEX('Prospect Tracker'!$W$5:$W$554,$K292)="","",INDEX('Prospect Tracker'!$W$5:$W$554,$K292)))</f>
        <v/>
      </c>
      <c r="B292" s="30">
        <f>IF($K292="","",IF(INDEX('Prospect Tracker'!$A$5:$A$554,$K292)="","",INDEX('Prospect Tracker'!$A$5:$A$554,$K292)))</f>
        <v/>
      </c>
      <c r="C292" s="30">
        <f>IF($K292="","",IF(INDEX('Prospect Tracker'!$B$5:$B$554,$K292)="","",INDEX('Prospect Tracker'!$B$5:$B$554,$K292)))</f>
        <v/>
      </c>
      <c r="D292" s="30">
        <f>IF($K292="","",IF(INDEX('Prospect Tracker'!$M$5:$M$554,$K292)="","",INDEX('Prospect Tracker'!$M$5:$M$554,$K292)))</f>
        <v/>
      </c>
      <c r="E292" s="30">
        <f>IF($K292="","",IF(INDEX('Prospect Tracker'!$R$5:$R$554,$K292)="","",INDEX('Prospect Tracker'!$R$5:$R$554,$K292)))</f>
        <v/>
      </c>
      <c r="F292" s="30">
        <f>IF($K292="","",IF(INDEX('Prospect Tracker'!$J$5:$J$554,$K292)="","",INDEX('Prospect Tracker'!$J$5:$J$554,$K292)))</f>
        <v/>
      </c>
      <c r="G292" s="30">
        <f>IF($K292="","",IF(INDEX('Prospect Tracker'!$H$5:$H$554,$K292)="","",INDEX('Prospect Tracker'!$H$5:$H$554,$K292)))</f>
        <v/>
      </c>
      <c r="H292" s="31">
        <f>IF($K292="","",IF(INDEX('Prospect Tracker'!$K$5:$K$554,$K292)="","",INDEX('Prospect Tracker'!$K$5:$K$554,$K292)))</f>
        <v/>
      </c>
      <c r="I292" s="30">
        <f>IF($K292="","",IF(INDEX('Prospect Tracker'!$T$5:$T$554,$K292)="","",INDEX('Prospect Tracker'!$T$5:$T$554,$K292)))</f>
        <v/>
      </c>
      <c r="J292" s="30">
        <f>IF($K292="","",IF(INDEX('Prospect Tracker'!$L$5:$L$554,$K292)="","",INDEX('Prospect Tracker'!$L$5:$L$554,$K292)))</f>
        <v/>
      </c>
      <c r="K292" s="19">
        <f>IFERROR(MATCH(SMALL('Prospect Tracker'!$X$5:$X$554,ROW()-4),'Prospect Tracker'!$X$5:$X$554,0),"")</f>
        <v/>
      </c>
    </row>
    <row r="293" ht="15" customHeight="1" s="20">
      <c r="A293" s="25">
        <f>IF($K293="","",IF(INDEX('Prospect Tracker'!$W$5:$W$554,$K293)="","",INDEX('Prospect Tracker'!$W$5:$W$554,$K293)))</f>
        <v/>
      </c>
      <c r="B293" s="25">
        <f>IF($K293="","",IF(INDEX('Prospect Tracker'!$A$5:$A$554,$K293)="","",INDEX('Prospect Tracker'!$A$5:$A$554,$K293)))</f>
        <v/>
      </c>
      <c r="C293" s="25">
        <f>IF($K293="","",IF(INDEX('Prospect Tracker'!$B$5:$B$554,$K293)="","",INDEX('Prospect Tracker'!$B$5:$B$554,$K293)))</f>
        <v/>
      </c>
      <c r="D293" s="25">
        <f>IF($K293="","",IF(INDEX('Prospect Tracker'!$M$5:$M$554,$K293)="","",INDEX('Prospect Tracker'!$M$5:$M$554,$K293)))</f>
        <v/>
      </c>
      <c r="E293" s="25">
        <f>IF($K293="","",IF(INDEX('Prospect Tracker'!$R$5:$R$554,$K293)="","",INDEX('Prospect Tracker'!$R$5:$R$554,$K293)))</f>
        <v/>
      </c>
      <c r="F293" s="25">
        <f>IF($K293="","",IF(INDEX('Prospect Tracker'!$J$5:$J$554,$K293)="","",INDEX('Prospect Tracker'!$J$5:$J$554,$K293)))</f>
        <v/>
      </c>
      <c r="G293" s="25">
        <f>IF($K293="","",IF(INDEX('Prospect Tracker'!$H$5:$H$554,$K293)="","",INDEX('Prospect Tracker'!$H$5:$H$554,$K293)))</f>
        <v/>
      </c>
      <c r="H293" s="26">
        <f>IF($K293="","",IF(INDEX('Prospect Tracker'!$K$5:$K$554,$K293)="","",INDEX('Prospect Tracker'!$K$5:$K$554,$K293)))</f>
        <v/>
      </c>
      <c r="I293" s="25">
        <f>IF($K293="","",IF(INDEX('Prospect Tracker'!$T$5:$T$554,$K293)="","",INDEX('Prospect Tracker'!$T$5:$T$554,$K293)))</f>
        <v/>
      </c>
      <c r="J293" s="25">
        <f>IF($K293="","",IF(INDEX('Prospect Tracker'!$L$5:$L$554,$K293)="","",INDEX('Prospect Tracker'!$L$5:$L$554,$K293)))</f>
        <v/>
      </c>
      <c r="K293" s="19">
        <f>IFERROR(MATCH(SMALL('Prospect Tracker'!$X$5:$X$554,ROW()-4),'Prospect Tracker'!$X$5:$X$554,0),"")</f>
        <v/>
      </c>
    </row>
    <row r="294" ht="15" customHeight="1" s="20">
      <c r="A294" s="30">
        <f>IF($K294="","",IF(INDEX('Prospect Tracker'!$W$5:$W$554,$K294)="","",INDEX('Prospect Tracker'!$W$5:$W$554,$K294)))</f>
        <v/>
      </c>
      <c r="B294" s="30">
        <f>IF($K294="","",IF(INDEX('Prospect Tracker'!$A$5:$A$554,$K294)="","",INDEX('Prospect Tracker'!$A$5:$A$554,$K294)))</f>
        <v/>
      </c>
      <c r="C294" s="30">
        <f>IF($K294="","",IF(INDEX('Prospect Tracker'!$B$5:$B$554,$K294)="","",INDEX('Prospect Tracker'!$B$5:$B$554,$K294)))</f>
        <v/>
      </c>
      <c r="D294" s="30">
        <f>IF($K294="","",IF(INDEX('Prospect Tracker'!$M$5:$M$554,$K294)="","",INDEX('Prospect Tracker'!$M$5:$M$554,$K294)))</f>
        <v/>
      </c>
      <c r="E294" s="30">
        <f>IF($K294="","",IF(INDEX('Prospect Tracker'!$R$5:$R$554,$K294)="","",INDEX('Prospect Tracker'!$R$5:$R$554,$K294)))</f>
        <v/>
      </c>
      <c r="F294" s="30">
        <f>IF($K294="","",IF(INDEX('Prospect Tracker'!$J$5:$J$554,$K294)="","",INDEX('Prospect Tracker'!$J$5:$J$554,$K294)))</f>
        <v/>
      </c>
      <c r="G294" s="30">
        <f>IF($K294="","",IF(INDEX('Prospect Tracker'!$H$5:$H$554,$K294)="","",INDEX('Prospect Tracker'!$H$5:$H$554,$K294)))</f>
        <v/>
      </c>
      <c r="H294" s="31">
        <f>IF($K294="","",IF(INDEX('Prospect Tracker'!$K$5:$K$554,$K294)="","",INDEX('Prospect Tracker'!$K$5:$K$554,$K294)))</f>
        <v/>
      </c>
      <c r="I294" s="30">
        <f>IF($K294="","",IF(INDEX('Prospect Tracker'!$T$5:$T$554,$K294)="","",INDEX('Prospect Tracker'!$T$5:$T$554,$K294)))</f>
        <v/>
      </c>
      <c r="J294" s="30">
        <f>IF($K294="","",IF(INDEX('Prospect Tracker'!$L$5:$L$554,$K294)="","",INDEX('Prospect Tracker'!$L$5:$L$554,$K294)))</f>
        <v/>
      </c>
      <c r="K294" s="19">
        <f>IFERROR(MATCH(SMALL('Prospect Tracker'!$X$5:$X$554,ROW()-4),'Prospect Tracker'!$X$5:$X$554,0),"")</f>
        <v/>
      </c>
    </row>
    <row r="295" ht="15" customHeight="1" s="20">
      <c r="A295" s="25">
        <f>IF($K295="","",IF(INDEX('Prospect Tracker'!$W$5:$W$554,$K295)="","",INDEX('Prospect Tracker'!$W$5:$W$554,$K295)))</f>
        <v/>
      </c>
      <c r="B295" s="25">
        <f>IF($K295="","",IF(INDEX('Prospect Tracker'!$A$5:$A$554,$K295)="","",INDEX('Prospect Tracker'!$A$5:$A$554,$K295)))</f>
        <v/>
      </c>
      <c r="C295" s="25">
        <f>IF($K295="","",IF(INDEX('Prospect Tracker'!$B$5:$B$554,$K295)="","",INDEX('Prospect Tracker'!$B$5:$B$554,$K295)))</f>
        <v/>
      </c>
      <c r="D295" s="25">
        <f>IF($K295="","",IF(INDEX('Prospect Tracker'!$M$5:$M$554,$K295)="","",INDEX('Prospect Tracker'!$M$5:$M$554,$K295)))</f>
        <v/>
      </c>
      <c r="E295" s="25">
        <f>IF($K295="","",IF(INDEX('Prospect Tracker'!$R$5:$R$554,$K295)="","",INDEX('Prospect Tracker'!$R$5:$R$554,$K295)))</f>
        <v/>
      </c>
      <c r="F295" s="25">
        <f>IF($K295="","",IF(INDEX('Prospect Tracker'!$J$5:$J$554,$K295)="","",INDEX('Prospect Tracker'!$J$5:$J$554,$K295)))</f>
        <v/>
      </c>
      <c r="G295" s="25">
        <f>IF($K295="","",IF(INDEX('Prospect Tracker'!$H$5:$H$554,$K295)="","",INDEX('Prospect Tracker'!$H$5:$H$554,$K295)))</f>
        <v/>
      </c>
      <c r="H295" s="26">
        <f>IF($K295="","",IF(INDEX('Prospect Tracker'!$K$5:$K$554,$K295)="","",INDEX('Prospect Tracker'!$K$5:$K$554,$K295)))</f>
        <v/>
      </c>
      <c r="I295" s="25">
        <f>IF($K295="","",IF(INDEX('Prospect Tracker'!$T$5:$T$554,$K295)="","",INDEX('Prospect Tracker'!$T$5:$T$554,$K295)))</f>
        <v/>
      </c>
      <c r="J295" s="25">
        <f>IF($K295="","",IF(INDEX('Prospect Tracker'!$L$5:$L$554,$K295)="","",INDEX('Prospect Tracker'!$L$5:$L$554,$K295)))</f>
        <v/>
      </c>
      <c r="K295" s="19">
        <f>IFERROR(MATCH(SMALL('Prospect Tracker'!$X$5:$X$554,ROW()-4),'Prospect Tracker'!$X$5:$X$554,0),"")</f>
        <v/>
      </c>
    </row>
    <row r="296" ht="15" customHeight="1" s="20">
      <c r="A296" s="30">
        <f>IF($K296="","",IF(INDEX('Prospect Tracker'!$W$5:$W$554,$K296)="","",INDEX('Prospect Tracker'!$W$5:$W$554,$K296)))</f>
        <v/>
      </c>
      <c r="B296" s="30">
        <f>IF($K296="","",IF(INDEX('Prospect Tracker'!$A$5:$A$554,$K296)="","",INDEX('Prospect Tracker'!$A$5:$A$554,$K296)))</f>
        <v/>
      </c>
      <c r="C296" s="30">
        <f>IF($K296="","",IF(INDEX('Prospect Tracker'!$B$5:$B$554,$K296)="","",INDEX('Prospect Tracker'!$B$5:$B$554,$K296)))</f>
        <v/>
      </c>
      <c r="D296" s="30">
        <f>IF($K296="","",IF(INDEX('Prospect Tracker'!$M$5:$M$554,$K296)="","",INDEX('Prospect Tracker'!$M$5:$M$554,$K296)))</f>
        <v/>
      </c>
      <c r="E296" s="30">
        <f>IF($K296="","",IF(INDEX('Prospect Tracker'!$R$5:$R$554,$K296)="","",INDEX('Prospect Tracker'!$R$5:$R$554,$K296)))</f>
        <v/>
      </c>
      <c r="F296" s="30">
        <f>IF($K296="","",IF(INDEX('Prospect Tracker'!$J$5:$J$554,$K296)="","",INDEX('Prospect Tracker'!$J$5:$J$554,$K296)))</f>
        <v/>
      </c>
      <c r="G296" s="30">
        <f>IF($K296="","",IF(INDEX('Prospect Tracker'!$H$5:$H$554,$K296)="","",INDEX('Prospect Tracker'!$H$5:$H$554,$K296)))</f>
        <v/>
      </c>
      <c r="H296" s="31">
        <f>IF($K296="","",IF(INDEX('Prospect Tracker'!$K$5:$K$554,$K296)="","",INDEX('Prospect Tracker'!$K$5:$K$554,$K296)))</f>
        <v/>
      </c>
      <c r="I296" s="30">
        <f>IF($K296="","",IF(INDEX('Prospect Tracker'!$T$5:$T$554,$K296)="","",INDEX('Prospect Tracker'!$T$5:$T$554,$K296)))</f>
        <v/>
      </c>
      <c r="J296" s="30">
        <f>IF($K296="","",IF(INDEX('Prospect Tracker'!$L$5:$L$554,$K296)="","",INDEX('Prospect Tracker'!$L$5:$L$554,$K296)))</f>
        <v/>
      </c>
      <c r="K296" s="19">
        <f>IFERROR(MATCH(SMALL('Prospect Tracker'!$X$5:$X$554,ROW()-4),'Prospect Tracker'!$X$5:$X$554,0),"")</f>
        <v/>
      </c>
    </row>
    <row r="297" ht="15" customHeight="1" s="20">
      <c r="A297" s="25">
        <f>IF($K297="","",IF(INDEX('Prospect Tracker'!$W$5:$W$554,$K297)="","",INDEX('Prospect Tracker'!$W$5:$W$554,$K297)))</f>
        <v/>
      </c>
      <c r="B297" s="25">
        <f>IF($K297="","",IF(INDEX('Prospect Tracker'!$A$5:$A$554,$K297)="","",INDEX('Prospect Tracker'!$A$5:$A$554,$K297)))</f>
        <v/>
      </c>
      <c r="C297" s="25">
        <f>IF($K297="","",IF(INDEX('Prospect Tracker'!$B$5:$B$554,$K297)="","",INDEX('Prospect Tracker'!$B$5:$B$554,$K297)))</f>
        <v/>
      </c>
      <c r="D297" s="25">
        <f>IF($K297="","",IF(INDEX('Prospect Tracker'!$M$5:$M$554,$K297)="","",INDEX('Prospect Tracker'!$M$5:$M$554,$K297)))</f>
        <v/>
      </c>
      <c r="E297" s="25">
        <f>IF($K297="","",IF(INDEX('Prospect Tracker'!$R$5:$R$554,$K297)="","",INDEX('Prospect Tracker'!$R$5:$R$554,$K297)))</f>
        <v/>
      </c>
      <c r="F297" s="25">
        <f>IF($K297="","",IF(INDEX('Prospect Tracker'!$J$5:$J$554,$K297)="","",INDEX('Prospect Tracker'!$J$5:$J$554,$K297)))</f>
        <v/>
      </c>
      <c r="G297" s="25">
        <f>IF($K297="","",IF(INDEX('Prospect Tracker'!$H$5:$H$554,$K297)="","",INDEX('Prospect Tracker'!$H$5:$H$554,$K297)))</f>
        <v/>
      </c>
      <c r="H297" s="26">
        <f>IF($K297="","",IF(INDEX('Prospect Tracker'!$K$5:$K$554,$K297)="","",INDEX('Prospect Tracker'!$K$5:$K$554,$K297)))</f>
        <v/>
      </c>
      <c r="I297" s="25">
        <f>IF($K297="","",IF(INDEX('Prospect Tracker'!$T$5:$T$554,$K297)="","",INDEX('Prospect Tracker'!$T$5:$T$554,$K297)))</f>
        <v/>
      </c>
      <c r="J297" s="25">
        <f>IF($K297="","",IF(INDEX('Prospect Tracker'!$L$5:$L$554,$K297)="","",INDEX('Prospect Tracker'!$L$5:$L$554,$K297)))</f>
        <v/>
      </c>
      <c r="K297" s="19">
        <f>IFERROR(MATCH(SMALL('Prospect Tracker'!$X$5:$X$554,ROW()-4),'Prospect Tracker'!$X$5:$X$554,0),"")</f>
        <v/>
      </c>
    </row>
    <row r="298" ht="15" customHeight="1" s="20">
      <c r="A298" s="30">
        <f>IF($K298="","",IF(INDEX('Prospect Tracker'!$W$5:$W$554,$K298)="","",INDEX('Prospect Tracker'!$W$5:$W$554,$K298)))</f>
        <v/>
      </c>
      <c r="B298" s="30">
        <f>IF($K298="","",IF(INDEX('Prospect Tracker'!$A$5:$A$554,$K298)="","",INDEX('Prospect Tracker'!$A$5:$A$554,$K298)))</f>
        <v/>
      </c>
      <c r="C298" s="30">
        <f>IF($K298="","",IF(INDEX('Prospect Tracker'!$B$5:$B$554,$K298)="","",INDEX('Prospect Tracker'!$B$5:$B$554,$K298)))</f>
        <v/>
      </c>
      <c r="D298" s="30">
        <f>IF($K298="","",IF(INDEX('Prospect Tracker'!$M$5:$M$554,$K298)="","",INDEX('Prospect Tracker'!$M$5:$M$554,$K298)))</f>
        <v/>
      </c>
      <c r="E298" s="30">
        <f>IF($K298="","",IF(INDEX('Prospect Tracker'!$R$5:$R$554,$K298)="","",INDEX('Prospect Tracker'!$R$5:$R$554,$K298)))</f>
        <v/>
      </c>
      <c r="F298" s="30">
        <f>IF($K298="","",IF(INDEX('Prospect Tracker'!$J$5:$J$554,$K298)="","",INDEX('Prospect Tracker'!$J$5:$J$554,$K298)))</f>
        <v/>
      </c>
      <c r="G298" s="30">
        <f>IF($K298="","",IF(INDEX('Prospect Tracker'!$H$5:$H$554,$K298)="","",INDEX('Prospect Tracker'!$H$5:$H$554,$K298)))</f>
        <v/>
      </c>
      <c r="H298" s="31">
        <f>IF($K298="","",IF(INDEX('Prospect Tracker'!$K$5:$K$554,$K298)="","",INDEX('Prospect Tracker'!$K$5:$K$554,$K298)))</f>
        <v/>
      </c>
      <c r="I298" s="30">
        <f>IF($K298="","",IF(INDEX('Prospect Tracker'!$T$5:$T$554,$K298)="","",INDEX('Prospect Tracker'!$T$5:$T$554,$K298)))</f>
        <v/>
      </c>
      <c r="J298" s="30">
        <f>IF($K298="","",IF(INDEX('Prospect Tracker'!$L$5:$L$554,$K298)="","",INDEX('Prospect Tracker'!$L$5:$L$554,$K298)))</f>
        <v/>
      </c>
      <c r="K298" s="19">
        <f>IFERROR(MATCH(SMALL('Prospect Tracker'!$X$5:$X$554,ROW()-4),'Prospect Tracker'!$X$5:$X$554,0),"")</f>
        <v/>
      </c>
    </row>
    <row r="299" ht="15" customHeight="1" s="20">
      <c r="A299" s="25">
        <f>IF($K299="","",IF(INDEX('Prospect Tracker'!$W$5:$W$554,$K299)="","",INDEX('Prospect Tracker'!$W$5:$W$554,$K299)))</f>
        <v/>
      </c>
      <c r="B299" s="25">
        <f>IF($K299="","",IF(INDEX('Prospect Tracker'!$A$5:$A$554,$K299)="","",INDEX('Prospect Tracker'!$A$5:$A$554,$K299)))</f>
        <v/>
      </c>
      <c r="C299" s="25">
        <f>IF($K299="","",IF(INDEX('Prospect Tracker'!$B$5:$B$554,$K299)="","",INDEX('Prospect Tracker'!$B$5:$B$554,$K299)))</f>
        <v/>
      </c>
      <c r="D299" s="25">
        <f>IF($K299="","",IF(INDEX('Prospect Tracker'!$M$5:$M$554,$K299)="","",INDEX('Prospect Tracker'!$M$5:$M$554,$K299)))</f>
        <v/>
      </c>
      <c r="E299" s="25">
        <f>IF($K299="","",IF(INDEX('Prospect Tracker'!$R$5:$R$554,$K299)="","",INDEX('Prospect Tracker'!$R$5:$R$554,$K299)))</f>
        <v/>
      </c>
      <c r="F299" s="25">
        <f>IF($K299="","",IF(INDEX('Prospect Tracker'!$J$5:$J$554,$K299)="","",INDEX('Prospect Tracker'!$J$5:$J$554,$K299)))</f>
        <v/>
      </c>
      <c r="G299" s="25">
        <f>IF($K299="","",IF(INDEX('Prospect Tracker'!$H$5:$H$554,$K299)="","",INDEX('Prospect Tracker'!$H$5:$H$554,$K299)))</f>
        <v/>
      </c>
      <c r="H299" s="26">
        <f>IF($K299="","",IF(INDEX('Prospect Tracker'!$K$5:$K$554,$K299)="","",INDEX('Prospect Tracker'!$K$5:$K$554,$K299)))</f>
        <v/>
      </c>
      <c r="I299" s="25">
        <f>IF($K299="","",IF(INDEX('Prospect Tracker'!$T$5:$T$554,$K299)="","",INDEX('Prospect Tracker'!$T$5:$T$554,$K299)))</f>
        <v/>
      </c>
      <c r="J299" s="25">
        <f>IF($K299="","",IF(INDEX('Prospect Tracker'!$L$5:$L$554,$K299)="","",INDEX('Prospect Tracker'!$L$5:$L$554,$K299)))</f>
        <v/>
      </c>
      <c r="K299" s="19">
        <f>IFERROR(MATCH(SMALL('Prospect Tracker'!$X$5:$X$554,ROW()-4),'Prospect Tracker'!$X$5:$X$554,0),"")</f>
        <v/>
      </c>
    </row>
    <row r="300" ht="15" customHeight="1" s="20">
      <c r="A300" s="30">
        <f>IF($K300="","",IF(INDEX('Prospect Tracker'!$W$5:$W$554,$K300)="","",INDEX('Prospect Tracker'!$W$5:$W$554,$K300)))</f>
        <v/>
      </c>
      <c r="B300" s="30">
        <f>IF($K300="","",IF(INDEX('Prospect Tracker'!$A$5:$A$554,$K300)="","",INDEX('Prospect Tracker'!$A$5:$A$554,$K300)))</f>
        <v/>
      </c>
      <c r="C300" s="30">
        <f>IF($K300="","",IF(INDEX('Prospect Tracker'!$B$5:$B$554,$K300)="","",INDEX('Prospect Tracker'!$B$5:$B$554,$K300)))</f>
        <v/>
      </c>
      <c r="D300" s="30">
        <f>IF($K300="","",IF(INDEX('Prospect Tracker'!$M$5:$M$554,$K300)="","",INDEX('Prospect Tracker'!$M$5:$M$554,$K300)))</f>
        <v/>
      </c>
      <c r="E300" s="30">
        <f>IF($K300="","",IF(INDEX('Prospect Tracker'!$R$5:$R$554,$K300)="","",INDEX('Prospect Tracker'!$R$5:$R$554,$K300)))</f>
        <v/>
      </c>
      <c r="F300" s="30">
        <f>IF($K300="","",IF(INDEX('Prospect Tracker'!$J$5:$J$554,$K300)="","",INDEX('Prospect Tracker'!$J$5:$J$554,$K300)))</f>
        <v/>
      </c>
      <c r="G300" s="30">
        <f>IF($K300="","",IF(INDEX('Prospect Tracker'!$H$5:$H$554,$K300)="","",INDEX('Prospect Tracker'!$H$5:$H$554,$K300)))</f>
        <v/>
      </c>
      <c r="H300" s="31">
        <f>IF($K300="","",IF(INDEX('Prospect Tracker'!$K$5:$K$554,$K300)="","",INDEX('Prospect Tracker'!$K$5:$K$554,$K300)))</f>
        <v/>
      </c>
      <c r="I300" s="30">
        <f>IF($K300="","",IF(INDEX('Prospect Tracker'!$T$5:$T$554,$K300)="","",INDEX('Prospect Tracker'!$T$5:$T$554,$K300)))</f>
        <v/>
      </c>
      <c r="J300" s="30">
        <f>IF($K300="","",IF(INDEX('Prospect Tracker'!$L$5:$L$554,$K300)="","",INDEX('Prospect Tracker'!$L$5:$L$554,$K300)))</f>
        <v/>
      </c>
      <c r="K300" s="19">
        <f>IFERROR(MATCH(SMALL('Prospect Tracker'!$X$5:$X$554,ROW()-4),'Prospect Tracker'!$X$5:$X$554,0),"")</f>
        <v/>
      </c>
    </row>
    <row r="301" ht="15" customHeight="1" s="20">
      <c r="A301" s="25">
        <f>IF($K301="","",IF(INDEX('Prospect Tracker'!$W$5:$W$554,$K301)="","",INDEX('Prospect Tracker'!$W$5:$W$554,$K301)))</f>
        <v/>
      </c>
      <c r="B301" s="25">
        <f>IF($K301="","",IF(INDEX('Prospect Tracker'!$A$5:$A$554,$K301)="","",INDEX('Prospect Tracker'!$A$5:$A$554,$K301)))</f>
        <v/>
      </c>
      <c r="C301" s="25">
        <f>IF($K301="","",IF(INDEX('Prospect Tracker'!$B$5:$B$554,$K301)="","",INDEX('Prospect Tracker'!$B$5:$B$554,$K301)))</f>
        <v/>
      </c>
      <c r="D301" s="25">
        <f>IF($K301="","",IF(INDEX('Prospect Tracker'!$M$5:$M$554,$K301)="","",INDEX('Prospect Tracker'!$M$5:$M$554,$K301)))</f>
        <v/>
      </c>
      <c r="E301" s="25">
        <f>IF($K301="","",IF(INDEX('Prospect Tracker'!$R$5:$R$554,$K301)="","",INDEX('Prospect Tracker'!$R$5:$R$554,$K301)))</f>
        <v/>
      </c>
      <c r="F301" s="25">
        <f>IF($K301="","",IF(INDEX('Prospect Tracker'!$J$5:$J$554,$K301)="","",INDEX('Prospect Tracker'!$J$5:$J$554,$K301)))</f>
        <v/>
      </c>
      <c r="G301" s="25">
        <f>IF($K301="","",IF(INDEX('Prospect Tracker'!$H$5:$H$554,$K301)="","",INDEX('Prospect Tracker'!$H$5:$H$554,$K301)))</f>
        <v/>
      </c>
      <c r="H301" s="26">
        <f>IF($K301="","",IF(INDEX('Prospect Tracker'!$K$5:$K$554,$K301)="","",INDEX('Prospect Tracker'!$K$5:$K$554,$K301)))</f>
        <v/>
      </c>
      <c r="I301" s="25">
        <f>IF($K301="","",IF(INDEX('Prospect Tracker'!$T$5:$T$554,$K301)="","",INDEX('Prospect Tracker'!$T$5:$T$554,$K301)))</f>
        <v/>
      </c>
      <c r="J301" s="25">
        <f>IF($K301="","",IF(INDEX('Prospect Tracker'!$L$5:$L$554,$K301)="","",INDEX('Prospect Tracker'!$L$5:$L$554,$K301)))</f>
        <v/>
      </c>
      <c r="K301" s="19">
        <f>IFERROR(MATCH(SMALL('Prospect Tracker'!$X$5:$X$554,ROW()-4),'Prospect Tracker'!$X$5:$X$554,0),"")</f>
        <v/>
      </c>
    </row>
    <row r="302" ht="15" customHeight="1" s="20">
      <c r="A302" s="30">
        <f>IF($K302="","",IF(INDEX('Prospect Tracker'!$W$5:$W$554,$K302)="","",INDEX('Prospect Tracker'!$W$5:$W$554,$K302)))</f>
        <v/>
      </c>
      <c r="B302" s="30">
        <f>IF($K302="","",IF(INDEX('Prospect Tracker'!$A$5:$A$554,$K302)="","",INDEX('Prospect Tracker'!$A$5:$A$554,$K302)))</f>
        <v/>
      </c>
      <c r="C302" s="30">
        <f>IF($K302="","",IF(INDEX('Prospect Tracker'!$B$5:$B$554,$K302)="","",INDEX('Prospect Tracker'!$B$5:$B$554,$K302)))</f>
        <v/>
      </c>
      <c r="D302" s="30">
        <f>IF($K302="","",IF(INDEX('Prospect Tracker'!$M$5:$M$554,$K302)="","",INDEX('Prospect Tracker'!$M$5:$M$554,$K302)))</f>
        <v/>
      </c>
      <c r="E302" s="30">
        <f>IF($K302="","",IF(INDEX('Prospect Tracker'!$R$5:$R$554,$K302)="","",INDEX('Prospect Tracker'!$R$5:$R$554,$K302)))</f>
        <v/>
      </c>
      <c r="F302" s="30">
        <f>IF($K302="","",IF(INDEX('Prospect Tracker'!$J$5:$J$554,$K302)="","",INDEX('Prospect Tracker'!$J$5:$J$554,$K302)))</f>
        <v/>
      </c>
      <c r="G302" s="30">
        <f>IF($K302="","",IF(INDEX('Prospect Tracker'!$H$5:$H$554,$K302)="","",INDEX('Prospect Tracker'!$H$5:$H$554,$K302)))</f>
        <v/>
      </c>
      <c r="H302" s="31">
        <f>IF($K302="","",IF(INDEX('Prospect Tracker'!$K$5:$K$554,$K302)="","",INDEX('Prospect Tracker'!$K$5:$K$554,$K302)))</f>
        <v/>
      </c>
      <c r="I302" s="30">
        <f>IF($K302="","",IF(INDEX('Prospect Tracker'!$T$5:$T$554,$K302)="","",INDEX('Prospect Tracker'!$T$5:$T$554,$K302)))</f>
        <v/>
      </c>
      <c r="J302" s="30">
        <f>IF($K302="","",IF(INDEX('Prospect Tracker'!$L$5:$L$554,$K302)="","",INDEX('Prospect Tracker'!$L$5:$L$554,$K302)))</f>
        <v/>
      </c>
      <c r="K302" s="19">
        <f>IFERROR(MATCH(SMALL('Prospect Tracker'!$X$5:$X$554,ROW()-4),'Prospect Tracker'!$X$5:$X$554,0),"")</f>
        <v/>
      </c>
    </row>
    <row r="303" ht="15" customHeight="1" s="20">
      <c r="A303" s="25">
        <f>IF($K303="","",IF(INDEX('Prospect Tracker'!$W$5:$W$554,$K303)="","",INDEX('Prospect Tracker'!$W$5:$W$554,$K303)))</f>
        <v/>
      </c>
      <c r="B303" s="25">
        <f>IF($K303="","",IF(INDEX('Prospect Tracker'!$A$5:$A$554,$K303)="","",INDEX('Prospect Tracker'!$A$5:$A$554,$K303)))</f>
        <v/>
      </c>
      <c r="C303" s="25">
        <f>IF($K303="","",IF(INDEX('Prospect Tracker'!$B$5:$B$554,$K303)="","",INDEX('Prospect Tracker'!$B$5:$B$554,$K303)))</f>
        <v/>
      </c>
      <c r="D303" s="25">
        <f>IF($K303="","",IF(INDEX('Prospect Tracker'!$M$5:$M$554,$K303)="","",INDEX('Prospect Tracker'!$M$5:$M$554,$K303)))</f>
        <v/>
      </c>
      <c r="E303" s="25">
        <f>IF($K303="","",IF(INDEX('Prospect Tracker'!$R$5:$R$554,$K303)="","",INDEX('Prospect Tracker'!$R$5:$R$554,$K303)))</f>
        <v/>
      </c>
      <c r="F303" s="25">
        <f>IF($K303="","",IF(INDEX('Prospect Tracker'!$J$5:$J$554,$K303)="","",INDEX('Prospect Tracker'!$J$5:$J$554,$K303)))</f>
        <v/>
      </c>
      <c r="G303" s="25">
        <f>IF($K303="","",IF(INDEX('Prospect Tracker'!$H$5:$H$554,$K303)="","",INDEX('Prospect Tracker'!$H$5:$H$554,$K303)))</f>
        <v/>
      </c>
      <c r="H303" s="26">
        <f>IF($K303="","",IF(INDEX('Prospect Tracker'!$K$5:$K$554,$K303)="","",INDEX('Prospect Tracker'!$K$5:$K$554,$K303)))</f>
        <v/>
      </c>
      <c r="I303" s="25">
        <f>IF($K303="","",IF(INDEX('Prospect Tracker'!$T$5:$T$554,$K303)="","",INDEX('Prospect Tracker'!$T$5:$T$554,$K303)))</f>
        <v/>
      </c>
      <c r="J303" s="25">
        <f>IF($K303="","",IF(INDEX('Prospect Tracker'!$L$5:$L$554,$K303)="","",INDEX('Prospect Tracker'!$L$5:$L$554,$K303)))</f>
        <v/>
      </c>
      <c r="K303" s="19">
        <f>IFERROR(MATCH(SMALL('Prospect Tracker'!$X$5:$X$554,ROW()-4),'Prospect Tracker'!$X$5:$X$554,0),"")</f>
        <v/>
      </c>
    </row>
    <row r="304" ht="15" customHeight="1" s="20">
      <c r="A304" s="30">
        <f>IF($K304="","",IF(INDEX('Prospect Tracker'!$W$5:$W$554,$K304)="","",INDEX('Prospect Tracker'!$W$5:$W$554,$K304)))</f>
        <v/>
      </c>
      <c r="B304" s="30">
        <f>IF($K304="","",IF(INDEX('Prospect Tracker'!$A$5:$A$554,$K304)="","",INDEX('Prospect Tracker'!$A$5:$A$554,$K304)))</f>
        <v/>
      </c>
      <c r="C304" s="30">
        <f>IF($K304="","",IF(INDEX('Prospect Tracker'!$B$5:$B$554,$K304)="","",INDEX('Prospect Tracker'!$B$5:$B$554,$K304)))</f>
        <v/>
      </c>
      <c r="D304" s="30">
        <f>IF($K304="","",IF(INDEX('Prospect Tracker'!$M$5:$M$554,$K304)="","",INDEX('Prospect Tracker'!$M$5:$M$554,$K304)))</f>
        <v/>
      </c>
      <c r="E304" s="30">
        <f>IF($K304="","",IF(INDEX('Prospect Tracker'!$R$5:$R$554,$K304)="","",INDEX('Prospect Tracker'!$R$5:$R$554,$K304)))</f>
        <v/>
      </c>
      <c r="F304" s="30">
        <f>IF($K304="","",IF(INDEX('Prospect Tracker'!$J$5:$J$554,$K304)="","",INDEX('Prospect Tracker'!$J$5:$J$554,$K304)))</f>
        <v/>
      </c>
      <c r="G304" s="30">
        <f>IF($K304="","",IF(INDEX('Prospect Tracker'!$H$5:$H$554,$K304)="","",INDEX('Prospect Tracker'!$H$5:$H$554,$K304)))</f>
        <v/>
      </c>
      <c r="H304" s="31">
        <f>IF($K304="","",IF(INDEX('Prospect Tracker'!$K$5:$K$554,$K304)="","",INDEX('Prospect Tracker'!$K$5:$K$554,$K304)))</f>
        <v/>
      </c>
      <c r="I304" s="30">
        <f>IF($K304="","",IF(INDEX('Prospect Tracker'!$T$5:$T$554,$K304)="","",INDEX('Prospect Tracker'!$T$5:$T$554,$K304)))</f>
        <v/>
      </c>
      <c r="J304" s="30">
        <f>IF($K304="","",IF(INDEX('Prospect Tracker'!$L$5:$L$554,$K304)="","",INDEX('Prospect Tracker'!$L$5:$L$554,$K304)))</f>
        <v/>
      </c>
      <c r="K304" s="19">
        <f>IFERROR(MATCH(SMALL('Prospect Tracker'!$X$5:$X$554,ROW()-4),'Prospect Tracker'!$X$5:$X$554,0),"")</f>
        <v/>
      </c>
    </row>
    <row r="305" ht="15" customHeight="1" s="20">
      <c r="A305" s="25">
        <f>IF($K305="","",IF(INDEX('Prospect Tracker'!$W$5:$W$554,$K305)="","",INDEX('Prospect Tracker'!$W$5:$W$554,$K305)))</f>
        <v/>
      </c>
      <c r="B305" s="25">
        <f>IF($K305="","",IF(INDEX('Prospect Tracker'!$A$5:$A$554,$K305)="","",INDEX('Prospect Tracker'!$A$5:$A$554,$K305)))</f>
        <v/>
      </c>
      <c r="C305" s="25">
        <f>IF($K305="","",IF(INDEX('Prospect Tracker'!$B$5:$B$554,$K305)="","",INDEX('Prospect Tracker'!$B$5:$B$554,$K305)))</f>
        <v/>
      </c>
      <c r="D305" s="25">
        <f>IF($K305="","",IF(INDEX('Prospect Tracker'!$M$5:$M$554,$K305)="","",INDEX('Prospect Tracker'!$M$5:$M$554,$K305)))</f>
        <v/>
      </c>
      <c r="E305" s="25">
        <f>IF($K305="","",IF(INDEX('Prospect Tracker'!$R$5:$R$554,$K305)="","",INDEX('Prospect Tracker'!$R$5:$R$554,$K305)))</f>
        <v/>
      </c>
      <c r="F305" s="25">
        <f>IF($K305="","",IF(INDEX('Prospect Tracker'!$J$5:$J$554,$K305)="","",INDEX('Prospect Tracker'!$J$5:$J$554,$K305)))</f>
        <v/>
      </c>
      <c r="G305" s="25">
        <f>IF($K305="","",IF(INDEX('Prospect Tracker'!$H$5:$H$554,$K305)="","",INDEX('Prospect Tracker'!$H$5:$H$554,$K305)))</f>
        <v/>
      </c>
      <c r="H305" s="26">
        <f>IF($K305="","",IF(INDEX('Prospect Tracker'!$K$5:$K$554,$K305)="","",INDEX('Prospect Tracker'!$K$5:$K$554,$K305)))</f>
        <v/>
      </c>
      <c r="I305" s="25">
        <f>IF($K305="","",IF(INDEX('Prospect Tracker'!$T$5:$T$554,$K305)="","",INDEX('Prospect Tracker'!$T$5:$T$554,$K305)))</f>
        <v/>
      </c>
      <c r="J305" s="25">
        <f>IF($K305="","",IF(INDEX('Prospect Tracker'!$L$5:$L$554,$K305)="","",INDEX('Prospect Tracker'!$L$5:$L$554,$K305)))</f>
        <v/>
      </c>
      <c r="K305" s="19">
        <f>IFERROR(MATCH(SMALL('Prospect Tracker'!$X$5:$X$554,ROW()-4),'Prospect Tracker'!$X$5:$X$554,0),"")</f>
        <v/>
      </c>
    </row>
    <row r="306" ht="15" customHeight="1" s="20">
      <c r="A306" s="30">
        <f>IF($K306="","",IF(INDEX('Prospect Tracker'!$W$5:$W$554,$K306)="","",INDEX('Prospect Tracker'!$W$5:$W$554,$K306)))</f>
        <v/>
      </c>
      <c r="B306" s="30">
        <f>IF($K306="","",IF(INDEX('Prospect Tracker'!$A$5:$A$554,$K306)="","",INDEX('Prospect Tracker'!$A$5:$A$554,$K306)))</f>
        <v/>
      </c>
      <c r="C306" s="30">
        <f>IF($K306="","",IF(INDEX('Prospect Tracker'!$B$5:$B$554,$K306)="","",INDEX('Prospect Tracker'!$B$5:$B$554,$K306)))</f>
        <v/>
      </c>
      <c r="D306" s="30">
        <f>IF($K306="","",IF(INDEX('Prospect Tracker'!$M$5:$M$554,$K306)="","",INDEX('Prospect Tracker'!$M$5:$M$554,$K306)))</f>
        <v/>
      </c>
      <c r="E306" s="30">
        <f>IF($K306="","",IF(INDEX('Prospect Tracker'!$R$5:$R$554,$K306)="","",INDEX('Prospect Tracker'!$R$5:$R$554,$K306)))</f>
        <v/>
      </c>
      <c r="F306" s="30">
        <f>IF($K306="","",IF(INDEX('Prospect Tracker'!$J$5:$J$554,$K306)="","",INDEX('Prospect Tracker'!$J$5:$J$554,$K306)))</f>
        <v/>
      </c>
      <c r="G306" s="30">
        <f>IF($K306="","",IF(INDEX('Prospect Tracker'!$H$5:$H$554,$K306)="","",INDEX('Prospect Tracker'!$H$5:$H$554,$K306)))</f>
        <v/>
      </c>
      <c r="H306" s="31">
        <f>IF($K306="","",IF(INDEX('Prospect Tracker'!$K$5:$K$554,$K306)="","",INDEX('Prospect Tracker'!$K$5:$K$554,$K306)))</f>
        <v/>
      </c>
      <c r="I306" s="30">
        <f>IF($K306="","",IF(INDEX('Prospect Tracker'!$T$5:$T$554,$K306)="","",INDEX('Prospect Tracker'!$T$5:$T$554,$K306)))</f>
        <v/>
      </c>
      <c r="J306" s="30">
        <f>IF($K306="","",IF(INDEX('Prospect Tracker'!$L$5:$L$554,$K306)="","",INDEX('Prospect Tracker'!$L$5:$L$554,$K306)))</f>
        <v/>
      </c>
      <c r="K306" s="19">
        <f>IFERROR(MATCH(SMALL('Prospect Tracker'!$X$5:$X$554,ROW()-4),'Prospect Tracker'!$X$5:$X$554,0),"")</f>
        <v/>
      </c>
    </row>
    <row r="307" ht="15" customHeight="1" s="20">
      <c r="A307" s="25">
        <f>IF($K307="","",IF(INDEX('Prospect Tracker'!$W$5:$W$554,$K307)="","",INDEX('Prospect Tracker'!$W$5:$W$554,$K307)))</f>
        <v/>
      </c>
      <c r="B307" s="25">
        <f>IF($K307="","",IF(INDEX('Prospect Tracker'!$A$5:$A$554,$K307)="","",INDEX('Prospect Tracker'!$A$5:$A$554,$K307)))</f>
        <v/>
      </c>
      <c r="C307" s="25">
        <f>IF($K307="","",IF(INDEX('Prospect Tracker'!$B$5:$B$554,$K307)="","",INDEX('Prospect Tracker'!$B$5:$B$554,$K307)))</f>
        <v/>
      </c>
      <c r="D307" s="25">
        <f>IF($K307="","",IF(INDEX('Prospect Tracker'!$M$5:$M$554,$K307)="","",INDEX('Prospect Tracker'!$M$5:$M$554,$K307)))</f>
        <v/>
      </c>
      <c r="E307" s="25">
        <f>IF($K307="","",IF(INDEX('Prospect Tracker'!$R$5:$R$554,$K307)="","",INDEX('Prospect Tracker'!$R$5:$R$554,$K307)))</f>
        <v/>
      </c>
      <c r="F307" s="25">
        <f>IF($K307="","",IF(INDEX('Prospect Tracker'!$J$5:$J$554,$K307)="","",INDEX('Prospect Tracker'!$J$5:$J$554,$K307)))</f>
        <v/>
      </c>
      <c r="G307" s="25">
        <f>IF($K307="","",IF(INDEX('Prospect Tracker'!$H$5:$H$554,$K307)="","",INDEX('Prospect Tracker'!$H$5:$H$554,$K307)))</f>
        <v/>
      </c>
      <c r="H307" s="26">
        <f>IF($K307="","",IF(INDEX('Prospect Tracker'!$K$5:$K$554,$K307)="","",INDEX('Prospect Tracker'!$K$5:$K$554,$K307)))</f>
        <v/>
      </c>
      <c r="I307" s="25">
        <f>IF($K307="","",IF(INDEX('Prospect Tracker'!$T$5:$T$554,$K307)="","",INDEX('Prospect Tracker'!$T$5:$T$554,$K307)))</f>
        <v/>
      </c>
      <c r="J307" s="25">
        <f>IF($K307="","",IF(INDEX('Prospect Tracker'!$L$5:$L$554,$K307)="","",INDEX('Prospect Tracker'!$L$5:$L$554,$K307)))</f>
        <v/>
      </c>
      <c r="K307" s="19">
        <f>IFERROR(MATCH(SMALL('Prospect Tracker'!$X$5:$X$554,ROW()-4),'Prospect Tracker'!$X$5:$X$554,0),"")</f>
        <v/>
      </c>
    </row>
    <row r="308" ht="15" customHeight="1" s="20">
      <c r="A308" s="30">
        <f>IF($K308="","",IF(INDEX('Prospect Tracker'!$W$5:$W$554,$K308)="","",INDEX('Prospect Tracker'!$W$5:$W$554,$K308)))</f>
        <v/>
      </c>
      <c r="B308" s="30">
        <f>IF($K308="","",IF(INDEX('Prospect Tracker'!$A$5:$A$554,$K308)="","",INDEX('Prospect Tracker'!$A$5:$A$554,$K308)))</f>
        <v/>
      </c>
      <c r="C308" s="30">
        <f>IF($K308="","",IF(INDEX('Prospect Tracker'!$B$5:$B$554,$K308)="","",INDEX('Prospect Tracker'!$B$5:$B$554,$K308)))</f>
        <v/>
      </c>
      <c r="D308" s="30">
        <f>IF($K308="","",IF(INDEX('Prospect Tracker'!$M$5:$M$554,$K308)="","",INDEX('Prospect Tracker'!$M$5:$M$554,$K308)))</f>
        <v/>
      </c>
      <c r="E308" s="30">
        <f>IF($K308="","",IF(INDEX('Prospect Tracker'!$R$5:$R$554,$K308)="","",INDEX('Prospect Tracker'!$R$5:$R$554,$K308)))</f>
        <v/>
      </c>
      <c r="F308" s="30">
        <f>IF($K308="","",IF(INDEX('Prospect Tracker'!$J$5:$J$554,$K308)="","",INDEX('Prospect Tracker'!$J$5:$J$554,$K308)))</f>
        <v/>
      </c>
      <c r="G308" s="30">
        <f>IF($K308="","",IF(INDEX('Prospect Tracker'!$H$5:$H$554,$K308)="","",INDEX('Prospect Tracker'!$H$5:$H$554,$K308)))</f>
        <v/>
      </c>
      <c r="H308" s="31">
        <f>IF($K308="","",IF(INDEX('Prospect Tracker'!$K$5:$K$554,$K308)="","",INDEX('Prospect Tracker'!$K$5:$K$554,$K308)))</f>
        <v/>
      </c>
      <c r="I308" s="30">
        <f>IF($K308="","",IF(INDEX('Prospect Tracker'!$T$5:$T$554,$K308)="","",INDEX('Prospect Tracker'!$T$5:$T$554,$K308)))</f>
        <v/>
      </c>
      <c r="J308" s="30">
        <f>IF($K308="","",IF(INDEX('Prospect Tracker'!$L$5:$L$554,$K308)="","",INDEX('Prospect Tracker'!$L$5:$L$554,$K308)))</f>
        <v/>
      </c>
      <c r="K308" s="19">
        <f>IFERROR(MATCH(SMALL('Prospect Tracker'!$X$5:$X$554,ROW()-4),'Prospect Tracker'!$X$5:$X$554,0),"")</f>
        <v/>
      </c>
    </row>
    <row r="309" ht="15" customHeight="1" s="20">
      <c r="A309" s="25">
        <f>IF($K309="","",IF(INDEX('Prospect Tracker'!$W$5:$W$554,$K309)="","",INDEX('Prospect Tracker'!$W$5:$W$554,$K309)))</f>
        <v/>
      </c>
      <c r="B309" s="25">
        <f>IF($K309="","",IF(INDEX('Prospect Tracker'!$A$5:$A$554,$K309)="","",INDEX('Prospect Tracker'!$A$5:$A$554,$K309)))</f>
        <v/>
      </c>
      <c r="C309" s="25">
        <f>IF($K309="","",IF(INDEX('Prospect Tracker'!$B$5:$B$554,$K309)="","",INDEX('Prospect Tracker'!$B$5:$B$554,$K309)))</f>
        <v/>
      </c>
      <c r="D309" s="25">
        <f>IF($K309="","",IF(INDEX('Prospect Tracker'!$M$5:$M$554,$K309)="","",INDEX('Prospect Tracker'!$M$5:$M$554,$K309)))</f>
        <v/>
      </c>
      <c r="E309" s="25">
        <f>IF($K309="","",IF(INDEX('Prospect Tracker'!$R$5:$R$554,$K309)="","",INDEX('Prospect Tracker'!$R$5:$R$554,$K309)))</f>
        <v/>
      </c>
      <c r="F309" s="25">
        <f>IF($K309="","",IF(INDEX('Prospect Tracker'!$J$5:$J$554,$K309)="","",INDEX('Prospect Tracker'!$J$5:$J$554,$K309)))</f>
        <v/>
      </c>
      <c r="G309" s="25">
        <f>IF($K309="","",IF(INDEX('Prospect Tracker'!$H$5:$H$554,$K309)="","",INDEX('Prospect Tracker'!$H$5:$H$554,$K309)))</f>
        <v/>
      </c>
      <c r="H309" s="26">
        <f>IF($K309="","",IF(INDEX('Prospect Tracker'!$K$5:$K$554,$K309)="","",INDEX('Prospect Tracker'!$K$5:$K$554,$K309)))</f>
        <v/>
      </c>
      <c r="I309" s="25">
        <f>IF($K309="","",IF(INDEX('Prospect Tracker'!$T$5:$T$554,$K309)="","",INDEX('Prospect Tracker'!$T$5:$T$554,$K309)))</f>
        <v/>
      </c>
      <c r="J309" s="25">
        <f>IF($K309="","",IF(INDEX('Prospect Tracker'!$L$5:$L$554,$K309)="","",INDEX('Prospect Tracker'!$L$5:$L$554,$K309)))</f>
        <v/>
      </c>
      <c r="K309" s="19">
        <f>IFERROR(MATCH(SMALL('Prospect Tracker'!$X$5:$X$554,ROW()-4),'Prospect Tracker'!$X$5:$X$554,0),"")</f>
        <v/>
      </c>
    </row>
    <row r="310" ht="15" customHeight="1" s="20">
      <c r="A310" s="30">
        <f>IF($K310="","",IF(INDEX('Prospect Tracker'!$W$5:$W$554,$K310)="","",INDEX('Prospect Tracker'!$W$5:$W$554,$K310)))</f>
        <v/>
      </c>
      <c r="B310" s="30">
        <f>IF($K310="","",IF(INDEX('Prospect Tracker'!$A$5:$A$554,$K310)="","",INDEX('Prospect Tracker'!$A$5:$A$554,$K310)))</f>
        <v/>
      </c>
      <c r="C310" s="30">
        <f>IF($K310="","",IF(INDEX('Prospect Tracker'!$B$5:$B$554,$K310)="","",INDEX('Prospect Tracker'!$B$5:$B$554,$K310)))</f>
        <v/>
      </c>
      <c r="D310" s="30">
        <f>IF($K310="","",IF(INDEX('Prospect Tracker'!$M$5:$M$554,$K310)="","",INDEX('Prospect Tracker'!$M$5:$M$554,$K310)))</f>
        <v/>
      </c>
      <c r="E310" s="30">
        <f>IF($K310="","",IF(INDEX('Prospect Tracker'!$R$5:$R$554,$K310)="","",INDEX('Prospect Tracker'!$R$5:$R$554,$K310)))</f>
        <v/>
      </c>
      <c r="F310" s="30">
        <f>IF($K310="","",IF(INDEX('Prospect Tracker'!$J$5:$J$554,$K310)="","",INDEX('Prospect Tracker'!$J$5:$J$554,$K310)))</f>
        <v/>
      </c>
      <c r="G310" s="30">
        <f>IF($K310="","",IF(INDEX('Prospect Tracker'!$H$5:$H$554,$K310)="","",INDEX('Prospect Tracker'!$H$5:$H$554,$K310)))</f>
        <v/>
      </c>
      <c r="H310" s="31">
        <f>IF($K310="","",IF(INDEX('Prospect Tracker'!$K$5:$K$554,$K310)="","",INDEX('Prospect Tracker'!$K$5:$K$554,$K310)))</f>
        <v/>
      </c>
      <c r="I310" s="30">
        <f>IF($K310="","",IF(INDEX('Prospect Tracker'!$T$5:$T$554,$K310)="","",INDEX('Prospect Tracker'!$T$5:$T$554,$K310)))</f>
        <v/>
      </c>
      <c r="J310" s="30">
        <f>IF($K310="","",IF(INDEX('Prospect Tracker'!$L$5:$L$554,$K310)="","",INDEX('Prospect Tracker'!$L$5:$L$554,$K310)))</f>
        <v/>
      </c>
      <c r="K310" s="19">
        <f>IFERROR(MATCH(SMALL('Prospect Tracker'!$X$5:$X$554,ROW()-4),'Prospect Tracker'!$X$5:$X$554,0),"")</f>
        <v/>
      </c>
    </row>
    <row r="311" ht="15" customHeight="1" s="20">
      <c r="A311" s="25">
        <f>IF($K311="","",IF(INDEX('Prospect Tracker'!$W$5:$W$554,$K311)="","",INDEX('Prospect Tracker'!$W$5:$W$554,$K311)))</f>
        <v/>
      </c>
      <c r="B311" s="25">
        <f>IF($K311="","",IF(INDEX('Prospect Tracker'!$A$5:$A$554,$K311)="","",INDEX('Prospect Tracker'!$A$5:$A$554,$K311)))</f>
        <v/>
      </c>
      <c r="C311" s="25">
        <f>IF($K311="","",IF(INDEX('Prospect Tracker'!$B$5:$B$554,$K311)="","",INDEX('Prospect Tracker'!$B$5:$B$554,$K311)))</f>
        <v/>
      </c>
      <c r="D311" s="25">
        <f>IF($K311="","",IF(INDEX('Prospect Tracker'!$M$5:$M$554,$K311)="","",INDEX('Prospect Tracker'!$M$5:$M$554,$K311)))</f>
        <v/>
      </c>
      <c r="E311" s="25">
        <f>IF($K311="","",IF(INDEX('Prospect Tracker'!$R$5:$R$554,$K311)="","",INDEX('Prospect Tracker'!$R$5:$R$554,$K311)))</f>
        <v/>
      </c>
      <c r="F311" s="25">
        <f>IF($K311="","",IF(INDEX('Prospect Tracker'!$J$5:$J$554,$K311)="","",INDEX('Prospect Tracker'!$J$5:$J$554,$K311)))</f>
        <v/>
      </c>
      <c r="G311" s="25">
        <f>IF($K311="","",IF(INDEX('Prospect Tracker'!$H$5:$H$554,$K311)="","",INDEX('Prospect Tracker'!$H$5:$H$554,$K311)))</f>
        <v/>
      </c>
      <c r="H311" s="26">
        <f>IF($K311="","",IF(INDEX('Prospect Tracker'!$K$5:$K$554,$K311)="","",INDEX('Prospect Tracker'!$K$5:$K$554,$K311)))</f>
        <v/>
      </c>
      <c r="I311" s="25">
        <f>IF($K311="","",IF(INDEX('Prospect Tracker'!$T$5:$T$554,$K311)="","",INDEX('Prospect Tracker'!$T$5:$T$554,$K311)))</f>
        <v/>
      </c>
      <c r="J311" s="25">
        <f>IF($K311="","",IF(INDEX('Prospect Tracker'!$L$5:$L$554,$K311)="","",INDEX('Prospect Tracker'!$L$5:$L$554,$K311)))</f>
        <v/>
      </c>
      <c r="K311" s="19">
        <f>IFERROR(MATCH(SMALL('Prospect Tracker'!$X$5:$X$554,ROW()-4),'Prospect Tracker'!$X$5:$X$554,0),"")</f>
        <v/>
      </c>
    </row>
    <row r="312" ht="15" customHeight="1" s="20">
      <c r="A312" s="30">
        <f>IF($K312="","",IF(INDEX('Prospect Tracker'!$W$5:$W$554,$K312)="","",INDEX('Prospect Tracker'!$W$5:$W$554,$K312)))</f>
        <v/>
      </c>
      <c r="B312" s="30">
        <f>IF($K312="","",IF(INDEX('Prospect Tracker'!$A$5:$A$554,$K312)="","",INDEX('Prospect Tracker'!$A$5:$A$554,$K312)))</f>
        <v/>
      </c>
      <c r="C312" s="30">
        <f>IF($K312="","",IF(INDEX('Prospect Tracker'!$B$5:$B$554,$K312)="","",INDEX('Prospect Tracker'!$B$5:$B$554,$K312)))</f>
        <v/>
      </c>
      <c r="D312" s="30">
        <f>IF($K312="","",IF(INDEX('Prospect Tracker'!$M$5:$M$554,$K312)="","",INDEX('Prospect Tracker'!$M$5:$M$554,$K312)))</f>
        <v/>
      </c>
      <c r="E312" s="30">
        <f>IF($K312="","",IF(INDEX('Prospect Tracker'!$R$5:$R$554,$K312)="","",INDEX('Prospect Tracker'!$R$5:$R$554,$K312)))</f>
        <v/>
      </c>
      <c r="F312" s="30">
        <f>IF($K312="","",IF(INDEX('Prospect Tracker'!$J$5:$J$554,$K312)="","",INDEX('Prospect Tracker'!$J$5:$J$554,$K312)))</f>
        <v/>
      </c>
      <c r="G312" s="30">
        <f>IF($K312="","",IF(INDEX('Prospect Tracker'!$H$5:$H$554,$K312)="","",INDEX('Prospect Tracker'!$H$5:$H$554,$K312)))</f>
        <v/>
      </c>
      <c r="H312" s="31">
        <f>IF($K312="","",IF(INDEX('Prospect Tracker'!$K$5:$K$554,$K312)="","",INDEX('Prospect Tracker'!$K$5:$K$554,$K312)))</f>
        <v/>
      </c>
      <c r="I312" s="30">
        <f>IF($K312="","",IF(INDEX('Prospect Tracker'!$T$5:$T$554,$K312)="","",INDEX('Prospect Tracker'!$T$5:$T$554,$K312)))</f>
        <v/>
      </c>
      <c r="J312" s="30">
        <f>IF($K312="","",IF(INDEX('Prospect Tracker'!$L$5:$L$554,$K312)="","",INDEX('Prospect Tracker'!$L$5:$L$554,$K312)))</f>
        <v/>
      </c>
      <c r="K312" s="19">
        <f>IFERROR(MATCH(SMALL('Prospect Tracker'!$X$5:$X$554,ROW()-4),'Prospect Tracker'!$X$5:$X$554,0),"")</f>
        <v/>
      </c>
    </row>
    <row r="313" ht="15" customHeight="1" s="20">
      <c r="A313" s="25">
        <f>IF($K313="","",IF(INDEX('Prospect Tracker'!$W$5:$W$554,$K313)="","",INDEX('Prospect Tracker'!$W$5:$W$554,$K313)))</f>
        <v/>
      </c>
      <c r="B313" s="25">
        <f>IF($K313="","",IF(INDEX('Prospect Tracker'!$A$5:$A$554,$K313)="","",INDEX('Prospect Tracker'!$A$5:$A$554,$K313)))</f>
        <v/>
      </c>
      <c r="C313" s="25">
        <f>IF($K313="","",IF(INDEX('Prospect Tracker'!$B$5:$B$554,$K313)="","",INDEX('Prospect Tracker'!$B$5:$B$554,$K313)))</f>
        <v/>
      </c>
      <c r="D313" s="25">
        <f>IF($K313="","",IF(INDEX('Prospect Tracker'!$M$5:$M$554,$K313)="","",INDEX('Prospect Tracker'!$M$5:$M$554,$K313)))</f>
        <v/>
      </c>
      <c r="E313" s="25">
        <f>IF($K313="","",IF(INDEX('Prospect Tracker'!$R$5:$R$554,$K313)="","",INDEX('Prospect Tracker'!$R$5:$R$554,$K313)))</f>
        <v/>
      </c>
      <c r="F313" s="25">
        <f>IF($K313="","",IF(INDEX('Prospect Tracker'!$J$5:$J$554,$K313)="","",INDEX('Prospect Tracker'!$J$5:$J$554,$K313)))</f>
        <v/>
      </c>
      <c r="G313" s="25">
        <f>IF($K313="","",IF(INDEX('Prospect Tracker'!$H$5:$H$554,$K313)="","",INDEX('Prospect Tracker'!$H$5:$H$554,$K313)))</f>
        <v/>
      </c>
      <c r="H313" s="26">
        <f>IF($K313="","",IF(INDEX('Prospect Tracker'!$K$5:$K$554,$K313)="","",INDEX('Prospect Tracker'!$K$5:$K$554,$K313)))</f>
        <v/>
      </c>
      <c r="I313" s="25">
        <f>IF($K313="","",IF(INDEX('Prospect Tracker'!$T$5:$T$554,$K313)="","",INDEX('Prospect Tracker'!$T$5:$T$554,$K313)))</f>
        <v/>
      </c>
      <c r="J313" s="25">
        <f>IF($K313="","",IF(INDEX('Prospect Tracker'!$L$5:$L$554,$K313)="","",INDEX('Prospect Tracker'!$L$5:$L$554,$K313)))</f>
        <v/>
      </c>
      <c r="K313" s="19">
        <f>IFERROR(MATCH(SMALL('Prospect Tracker'!$X$5:$X$554,ROW()-4),'Prospect Tracker'!$X$5:$X$554,0),"")</f>
        <v/>
      </c>
    </row>
    <row r="314" ht="15" customHeight="1" s="20">
      <c r="A314" s="30">
        <f>IF($K314="","",IF(INDEX('Prospect Tracker'!$W$5:$W$554,$K314)="","",INDEX('Prospect Tracker'!$W$5:$W$554,$K314)))</f>
        <v/>
      </c>
      <c r="B314" s="30">
        <f>IF($K314="","",IF(INDEX('Prospect Tracker'!$A$5:$A$554,$K314)="","",INDEX('Prospect Tracker'!$A$5:$A$554,$K314)))</f>
        <v/>
      </c>
      <c r="C314" s="30">
        <f>IF($K314="","",IF(INDEX('Prospect Tracker'!$B$5:$B$554,$K314)="","",INDEX('Prospect Tracker'!$B$5:$B$554,$K314)))</f>
        <v/>
      </c>
      <c r="D314" s="30">
        <f>IF($K314="","",IF(INDEX('Prospect Tracker'!$M$5:$M$554,$K314)="","",INDEX('Prospect Tracker'!$M$5:$M$554,$K314)))</f>
        <v/>
      </c>
      <c r="E314" s="30">
        <f>IF($K314="","",IF(INDEX('Prospect Tracker'!$R$5:$R$554,$K314)="","",INDEX('Prospect Tracker'!$R$5:$R$554,$K314)))</f>
        <v/>
      </c>
      <c r="F314" s="30">
        <f>IF($K314="","",IF(INDEX('Prospect Tracker'!$J$5:$J$554,$K314)="","",INDEX('Prospect Tracker'!$J$5:$J$554,$K314)))</f>
        <v/>
      </c>
      <c r="G314" s="30">
        <f>IF($K314="","",IF(INDEX('Prospect Tracker'!$H$5:$H$554,$K314)="","",INDEX('Prospect Tracker'!$H$5:$H$554,$K314)))</f>
        <v/>
      </c>
      <c r="H314" s="31">
        <f>IF($K314="","",IF(INDEX('Prospect Tracker'!$K$5:$K$554,$K314)="","",INDEX('Prospect Tracker'!$K$5:$K$554,$K314)))</f>
        <v/>
      </c>
      <c r="I314" s="30">
        <f>IF($K314="","",IF(INDEX('Prospect Tracker'!$T$5:$T$554,$K314)="","",INDEX('Prospect Tracker'!$T$5:$T$554,$K314)))</f>
        <v/>
      </c>
      <c r="J314" s="30">
        <f>IF($K314="","",IF(INDEX('Prospect Tracker'!$L$5:$L$554,$K314)="","",INDEX('Prospect Tracker'!$L$5:$L$554,$K314)))</f>
        <v/>
      </c>
      <c r="K314" s="19">
        <f>IFERROR(MATCH(SMALL('Prospect Tracker'!$X$5:$X$554,ROW()-4),'Prospect Tracker'!$X$5:$X$554,0),"")</f>
        <v/>
      </c>
    </row>
    <row r="315" ht="15" customHeight="1" s="20">
      <c r="A315" s="25">
        <f>IF($K315="","",IF(INDEX('Prospect Tracker'!$W$5:$W$554,$K315)="","",INDEX('Prospect Tracker'!$W$5:$W$554,$K315)))</f>
        <v/>
      </c>
      <c r="B315" s="25">
        <f>IF($K315="","",IF(INDEX('Prospect Tracker'!$A$5:$A$554,$K315)="","",INDEX('Prospect Tracker'!$A$5:$A$554,$K315)))</f>
        <v/>
      </c>
      <c r="C315" s="25">
        <f>IF($K315="","",IF(INDEX('Prospect Tracker'!$B$5:$B$554,$K315)="","",INDEX('Prospect Tracker'!$B$5:$B$554,$K315)))</f>
        <v/>
      </c>
      <c r="D315" s="25">
        <f>IF($K315="","",IF(INDEX('Prospect Tracker'!$M$5:$M$554,$K315)="","",INDEX('Prospect Tracker'!$M$5:$M$554,$K315)))</f>
        <v/>
      </c>
      <c r="E315" s="25">
        <f>IF($K315="","",IF(INDEX('Prospect Tracker'!$R$5:$R$554,$K315)="","",INDEX('Prospect Tracker'!$R$5:$R$554,$K315)))</f>
        <v/>
      </c>
      <c r="F315" s="25">
        <f>IF($K315="","",IF(INDEX('Prospect Tracker'!$J$5:$J$554,$K315)="","",INDEX('Prospect Tracker'!$J$5:$J$554,$K315)))</f>
        <v/>
      </c>
      <c r="G315" s="25">
        <f>IF($K315="","",IF(INDEX('Prospect Tracker'!$H$5:$H$554,$K315)="","",INDEX('Prospect Tracker'!$H$5:$H$554,$K315)))</f>
        <v/>
      </c>
      <c r="H315" s="26">
        <f>IF($K315="","",IF(INDEX('Prospect Tracker'!$K$5:$K$554,$K315)="","",INDEX('Prospect Tracker'!$K$5:$K$554,$K315)))</f>
        <v/>
      </c>
      <c r="I315" s="25">
        <f>IF($K315="","",IF(INDEX('Prospect Tracker'!$T$5:$T$554,$K315)="","",INDEX('Prospect Tracker'!$T$5:$T$554,$K315)))</f>
        <v/>
      </c>
      <c r="J315" s="25">
        <f>IF($K315="","",IF(INDEX('Prospect Tracker'!$L$5:$L$554,$K315)="","",INDEX('Prospect Tracker'!$L$5:$L$554,$K315)))</f>
        <v/>
      </c>
      <c r="K315" s="19">
        <f>IFERROR(MATCH(SMALL('Prospect Tracker'!$X$5:$X$554,ROW()-4),'Prospect Tracker'!$X$5:$X$554,0),"")</f>
        <v/>
      </c>
    </row>
    <row r="316" ht="15" customHeight="1" s="20">
      <c r="A316" s="30">
        <f>IF($K316="","",IF(INDEX('Prospect Tracker'!$W$5:$W$554,$K316)="","",INDEX('Prospect Tracker'!$W$5:$W$554,$K316)))</f>
        <v/>
      </c>
      <c r="B316" s="30">
        <f>IF($K316="","",IF(INDEX('Prospect Tracker'!$A$5:$A$554,$K316)="","",INDEX('Prospect Tracker'!$A$5:$A$554,$K316)))</f>
        <v/>
      </c>
      <c r="C316" s="30">
        <f>IF($K316="","",IF(INDEX('Prospect Tracker'!$B$5:$B$554,$K316)="","",INDEX('Prospect Tracker'!$B$5:$B$554,$K316)))</f>
        <v/>
      </c>
      <c r="D316" s="30">
        <f>IF($K316="","",IF(INDEX('Prospect Tracker'!$M$5:$M$554,$K316)="","",INDEX('Prospect Tracker'!$M$5:$M$554,$K316)))</f>
        <v/>
      </c>
      <c r="E316" s="30">
        <f>IF($K316="","",IF(INDEX('Prospect Tracker'!$R$5:$R$554,$K316)="","",INDEX('Prospect Tracker'!$R$5:$R$554,$K316)))</f>
        <v/>
      </c>
      <c r="F316" s="30">
        <f>IF($K316="","",IF(INDEX('Prospect Tracker'!$J$5:$J$554,$K316)="","",INDEX('Prospect Tracker'!$J$5:$J$554,$K316)))</f>
        <v/>
      </c>
      <c r="G316" s="30">
        <f>IF($K316="","",IF(INDEX('Prospect Tracker'!$H$5:$H$554,$K316)="","",INDEX('Prospect Tracker'!$H$5:$H$554,$K316)))</f>
        <v/>
      </c>
      <c r="H316" s="31">
        <f>IF($K316="","",IF(INDEX('Prospect Tracker'!$K$5:$K$554,$K316)="","",INDEX('Prospect Tracker'!$K$5:$K$554,$K316)))</f>
        <v/>
      </c>
      <c r="I316" s="30">
        <f>IF($K316="","",IF(INDEX('Prospect Tracker'!$T$5:$T$554,$K316)="","",INDEX('Prospect Tracker'!$T$5:$T$554,$K316)))</f>
        <v/>
      </c>
      <c r="J316" s="30">
        <f>IF($K316="","",IF(INDEX('Prospect Tracker'!$L$5:$L$554,$K316)="","",INDEX('Prospect Tracker'!$L$5:$L$554,$K316)))</f>
        <v/>
      </c>
      <c r="K316" s="19">
        <f>IFERROR(MATCH(SMALL('Prospect Tracker'!$X$5:$X$554,ROW()-4),'Prospect Tracker'!$X$5:$X$554,0),"")</f>
        <v/>
      </c>
    </row>
    <row r="317" ht="15" customHeight="1" s="20">
      <c r="A317" s="25">
        <f>IF($K317="","",IF(INDEX('Prospect Tracker'!$W$5:$W$554,$K317)="","",INDEX('Prospect Tracker'!$W$5:$W$554,$K317)))</f>
        <v/>
      </c>
      <c r="B317" s="25">
        <f>IF($K317="","",IF(INDEX('Prospect Tracker'!$A$5:$A$554,$K317)="","",INDEX('Prospect Tracker'!$A$5:$A$554,$K317)))</f>
        <v/>
      </c>
      <c r="C317" s="25">
        <f>IF($K317="","",IF(INDEX('Prospect Tracker'!$B$5:$B$554,$K317)="","",INDEX('Prospect Tracker'!$B$5:$B$554,$K317)))</f>
        <v/>
      </c>
      <c r="D317" s="25">
        <f>IF($K317="","",IF(INDEX('Prospect Tracker'!$M$5:$M$554,$K317)="","",INDEX('Prospect Tracker'!$M$5:$M$554,$K317)))</f>
        <v/>
      </c>
      <c r="E317" s="25">
        <f>IF($K317="","",IF(INDEX('Prospect Tracker'!$R$5:$R$554,$K317)="","",INDEX('Prospect Tracker'!$R$5:$R$554,$K317)))</f>
        <v/>
      </c>
      <c r="F317" s="25">
        <f>IF($K317="","",IF(INDEX('Prospect Tracker'!$J$5:$J$554,$K317)="","",INDEX('Prospect Tracker'!$J$5:$J$554,$K317)))</f>
        <v/>
      </c>
      <c r="G317" s="25">
        <f>IF($K317="","",IF(INDEX('Prospect Tracker'!$H$5:$H$554,$K317)="","",INDEX('Prospect Tracker'!$H$5:$H$554,$K317)))</f>
        <v/>
      </c>
      <c r="H317" s="26">
        <f>IF($K317="","",IF(INDEX('Prospect Tracker'!$K$5:$K$554,$K317)="","",INDEX('Prospect Tracker'!$K$5:$K$554,$K317)))</f>
        <v/>
      </c>
      <c r="I317" s="25">
        <f>IF($K317="","",IF(INDEX('Prospect Tracker'!$T$5:$T$554,$K317)="","",INDEX('Prospect Tracker'!$T$5:$T$554,$K317)))</f>
        <v/>
      </c>
      <c r="J317" s="25">
        <f>IF($K317="","",IF(INDEX('Prospect Tracker'!$L$5:$L$554,$K317)="","",INDEX('Prospect Tracker'!$L$5:$L$554,$K317)))</f>
        <v/>
      </c>
      <c r="K317" s="19">
        <f>IFERROR(MATCH(SMALL('Prospect Tracker'!$X$5:$X$554,ROW()-4),'Prospect Tracker'!$X$5:$X$554,0),"")</f>
        <v/>
      </c>
    </row>
    <row r="318" ht="15" customHeight="1" s="20">
      <c r="A318" s="30">
        <f>IF($K318="","",IF(INDEX('Prospect Tracker'!$W$5:$W$554,$K318)="","",INDEX('Prospect Tracker'!$W$5:$W$554,$K318)))</f>
        <v/>
      </c>
      <c r="B318" s="30">
        <f>IF($K318="","",IF(INDEX('Prospect Tracker'!$A$5:$A$554,$K318)="","",INDEX('Prospect Tracker'!$A$5:$A$554,$K318)))</f>
        <v/>
      </c>
      <c r="C318" s="30">
        <f>IF($K318="","",IF(INDEX('Prospect Tracker'!$B$5:$B$554,$K318)="","",INDEX('Prospect Tracker'!$B$5:$B$554,$K318)))</f>
        <v/>
      </c>
      <c r="D318" s="30">
        <f>IF($K318="","",IF(INDEX('Prospect Tracker'!$M$5:$M$554,$K318)="","",INDEX('Prospect Tracker'!$M$5:$M$554,$K318)))</f>
        <v/>
      </c>
      <c r="E318" s="30">
        <f>IF($K318="","",IF(INDEX('Prospect Tracker'!$R$5:$R$554,$K318)="","",INDEX('Prospect Tracker'!$R$5:$R$554,$K318)))</f>
        <v/>
      </c>
      <c r="F318" s="30">
        <f>IF($K318="","",IF(INDEX('Prospect Tracker'!$J$5:$J$554,$K318)="","",INDEX('Prospect Tracker'!$J$5:$J$554,$K318)))</f>
        <v/>
      </c>
      <c r="G318" s="30">
        <f>IF($K318="","",IF(INDEX('Prospect Tracker'!$H$5:$H$554,$K318)="","",INDEX('Prospect Tracker'!$H$5:$H$554,$K318)))</f>
        <v/>
      </c>
      <c r="H318" s="31">
        <f>IF($K318="","",IF(INDEX('Prospect Tracker'!$K$5:$K$554,$K318)="","",INDEX('Prospect Tracker'!$K$5:$K$554,$K318)))</f>
        <v/>
      </c>
      <c r="I318" s="30">
        <f>IF($K318="","",IF(INDEX('Prospect Tracker'!$T$5:$T$554,$K318)="","",INDEX('Prospect Tracker'!$T$5:$T$554,$K318)))</f>
        <v/>
      </c>
      <c r="J318" s="30">
        <f>IF($K318="","",IF(INDEX('Prospect Tracker'!$L$5:$L$554,$K318)="","",INDEX('Prospect Tracker'!$L$5:$L$554,$K318)))</f>
        <v/>
      </c>
      <c r="K318" s="19">
        <f>IFERROR(MATCH(SMALL('Prospect Tracker'!$X$5:$X$554,ROW()-4),'Prospect Tracker'!$X$5:$X$554,0),"")</f>
        <v/>
      </c>
    </row>
    <row r="319" ht="15" customHeight="1" s="20">
      <c r="A319" s="25">
        <f>IF($K319="","",IF(INDEX('Prospect Tracker'!$W$5:$W$554,$K319)="","",INDEX('Prospect Tracker'!$W$5:$W$554,$K319)))</f>
        <v/>
      </c>
      <c r="B319" s="25">
        <f>IF($K319="","",IF(INDEX('Prospect Tracker'!$A$5:$A$554,$K319)="","",INDEX('Prospect Tracker'!$A$5:$A$554,$K319)))</f>
        <v/>
      </c>
      <c r="C319" s="25">
        <f>IF($K319="","",IF(INDEX('Prospect Tracker'!$B$5:$B$554,$K319)="","",INDEX('Prospect Tracker'!$B$5:$B$554,$K319)))</f>
        <v/>
      </c>
      <c r="D319" s="25">
        <f>IF($K319="","",IF(INDEX('Prospect Tracker'!$M$5:$M$554,$K319)="","",INDEX('Prospect Tracker'!$M$5:$M$554,$K319)))</f>
        <v/>
      </c>
      <c r="E319" s="25">
        <f>IF($K319="","",IF(INDEX('Prospect Tracker'!$R$5:$R$554,$K319)="","",INDEX('Prospect Tracker'!$R$5:$R$554,$K319)))</f>
        <v/>
      </c>
      <c r="F319" s="25">
        <f>IF($K319="","",IF(INDEX('Prospect Tracker'!$J$5:$J$554,$K319)="","",INDEX('Prospect Tracker'!$J$5:$J$554,$K319)))</f>
        <v/>
      </c>
      <c r="G319" s="25">
        <f>IF($K319="","",IF(INDEX('Prospect Tracker'!$H$5:$H$554,$K319)="","",INDEX('Prospect Tracker'!$H$5:$H$554,$K319)))</f>
        <v/>
      </c>
      <c r="H319" s="26">
        <f>IF($K319="","",IF(INDEX('Prospect Tracker'!$K$5:$K$554,$K319)="","",INDEX('Prospect Tracker'!$K$5:$K$554,$K319)))</f>
        <v/>
      </c>
      <c r="I319" s="25">
        <f>IF($K319="","",IF(INDEX('Prospect Tracker'!$T$5:$T$554,$K319)="","",INDEX('Prospect Tracker'!$T$5:$T$554,$K319)))</f>
        <v/>
      </c>
      <c r="J319" s="25">
        <f>IF($K319="","",IF(INDEX('Prospect Tracker'!$L$5:$L$554,$K319)="","",INDEX('Prospect Tracker'!$L$5:$L$554,$K319)))</f>
        <v/>
      </c>
      <c r="K319" s="19">
        <f>IFERROR(MATCH(SMALL('Prospect Tracker'!$X$5:$X$554,ROW()-4),'Prospect Tracker'!$X$5:$X$554,0),"")</f>
        <v/>
      </c>
    </row>
    <row r="320" ht="15" customHeight="1" s="20">
      <c r="A320" s="30">
        <f>IF($K320="","",IF(INDEX('Prospect Tracker'!$W$5:$W$554,$K320)="","",INDEX('Prospect Tracker'!$W$5:$W$554,$K320)))</f>
        <v/>
      </c>
      <c r="B320" s="30">
        <f>IF($K320="","",IF(INDEX('Prospect Tracker'!$A$5:$A$554,$K320)="","",INDEX('Prospect Tracker'!$A$5:$A$554,$K320)))</f>
        <v/>
      </c>
      <c r="C320" s="30">
        <f>IF($K320="","",IF(INDEX('Prospect Tracker'!$B$5:$B$554,$K320)="","",INDEX('Prospect Tracker'!$B$5:$B$554,$K320)))</f>
        <v/>
      </c>
      <c r="D320" s="30">
        <f>IF($K320="","",IF(INDEX('Prospect Tracker'!$M$5:$M$554,$K320)="","",INDEX('Prospect Tracker'!$M$5:$M$554,$K320)))</f>
        <v/>
      </c>
      <c r="E320" s="30">
        <f>IF($K320="","",IF(INDEX('Prospect Tracker'!$R$5:$R$554,$K320)="","",INDEX('Prospect Tracker'!$R$5:$R$554,$K320)))</f>
        <v/>
      </c>
      <c r="F320" s="30">
        <f>IF($K320="","",IF(INDEX('Prospect Tracker'!$J$5:$J$554,$K320)="","",INDEX('Prospect Tracker'!$J$5:$J$554,$K320)))</f>
        <v/>
      </c>
      <c r="G320" s="30">
        <f>IF($K320="","",IF(INDEX('Prospect Tracker'!$H$5:$H$554,$K320)="","",INDEX('Prospect Tracker'!$H$5:$H$554,$K320)))</f>
        <v/>
      </c>
      <c r="H320" s="31">
        <f>IF($K320="","",IF(INDEX('Prospect Tracker'!$K$5:$K$554,$K320)="","",INDEX('Prospect Tracker'!$K$5:$K$554,$K320)))</f>
        <v/>
      </c>
      <c r="I320" s="30">
        <f>IF($K320="","",IF(INDEX('Prospect Tracker'!$T$5:$T$554,$K320)="","",INDEX('Prospect Tracker'!$T$5:$T$554,$K320)))</f>
        <v/>
      </c>
      <c r="J320" s="30">
        <f>IF($K320="","",IF(INDEX('Prospect Tracker'!$L$5:$L$554,$K320)="","",INDEX('Prospect Tracker'!$L$5:$L$554,$K320)))</f>
        <v/>
      </c>
      <c r="K320" s="19">
        <f>IFERROR(MATCH(SMALL('Prospect Tracker'!$X$5:$X$554,ROW()-4),'Prospect Tracker'!$X$5:$X$554,0),"")</f>
        <v/>
      </c>
    </row>
    <row r="321" ht="15" customHeight="1" s="20">
      <c r="A321" s="25">
        <f>IF($K321="","",IF(INDEX('Prospect Tracker'!$W$5:$W$554,$K321)="","",INDEX('Prospect Tracker'!$W$5:$W$554,$K321)))</f>
        <v/>
      </c>
      <c r="B321" s="25">
        <f>IF($K321="","",IF(INDEX('Prospect Tracker'!$A$5:$A$554,$K321)="","",INDEX('Prospect Tracker'!$A$5:$A$554,$K321)))</f>
        <v/>
      </c>
      <c r="C321" s="25">
        <f>IF($K321="","",IF(INDEX('Prospect Tracker'!$B$5:$B$554,$K321)="","",INDEX('Prospect Tracker'!$B$5:$B$554,$K321)))</f>
        <v/>
      </c>
      <c r="D321" s="25">
        <f>IF($K321="","",IF(INDEX('Prospect Tracker'!$M$5:$M$554,$K321)="","",INDEX('Prospect Tracker'!$M$5:$M$554,$K321)))</f>
        <v/>
      </c>
      <c r="E321" s="25">
        <f>IF($K321="","",IF(INDEX('Prospect Tracker'!$R$5:$R$554,$K321)="","",INDEX('Prospect Tracker'!$R$5:$R$554,$K321)))</f>
        <v/>
      </c>
      <c r="F321" s="25">
        <f>IF($K321="","",IF(INDEX('Prospect Tracker'!$J$5:$J$554,$K321)="","",INDEX('Prospect Tracker'!$J$5:$J$554,$K321)))</f>
        <v/>
      </c>
      <c r="G321" s="25">
        <f>IF($K321="","",IF(INDEX('Prospect Tracker'!$H$5:$H$554,$K321)="","",INDEX('Prospect Tracker'!$H$5:$H$554,$K321)))</f>
        <v/>
      </c>
      <c r="H321" s="26">
        <f>IF($K321="","",IF(INDEX('Prospect Tracker'!$K$5:$K$554,$K321)="","",INDEX('Prospect Tracker'!$K$5:$K$554,$K321)))</f>
        <v/>
      </c>
      <c r="I321" s="25">
        <f>IF($K321="","",IF(INDEX('Prospect Tracker'!$T$5:$T$554,$K321)="","",INDEX('Prospect Tracker'!$T$5:$T$554,$K321)))</f>
        <v/>
      </c>
      <c r="J321" s="25">
        <f>IF($K321="","",IF(INDEX('Prospect Tracker'!$L$5:$L$554,$K321)="","",INDEX('Prospect Tracker'!$L$5:$L$554,$K321)))</f>
        <v/>
      </c>
      <c r="K321" s="19">
        <f>IFERROR(MATCH(SMALL('Prospect Tracker'!$X$5:$X$554,ROW()-4),'Prospect Tracker'!$X$5:$X$554,0),"")</f>
        <v/>
      </c>
    </row>
    <row r="322" ht="15" customHeight="1" s="20">
      <c r="A322" s="30">
        <f>IF($K322="","",IF(INDEX('Prospect Tracker'!$W$5:$W$554,$K322)="","",INDEX('Prospect Tracker'!$W$5:$W$554,$K322)))</f>
        <v/>
      </c>
      <c r="B322" s="30">
        <f>IF($K322="","",IF(INDEX('Prospect Tracker'!$A$5:$A$554,$K322)="","",INDEX('Prospect Tracker'!$A$5:$A$554,$K322)))</f>
        <v/>
      </c>
      <c r="C322" s="30">
        <f>IF($K322="","",IF(INDEX('Prospect Tracker'!$B$5:$B$554,$K322)="","",INDEX('Prospect Tracker'!$B$5:$B$554,$K322)))</f>
        <v/>
      </c>
      <c r="D322" s="30">
        <f>IF($K322="","",IF(INDEX('Prospect Tracker'!$M$5:$M$554,$K322)="","",INDEX('Prospect Tracker'!$M$5:$M$554,$K322)))</f>
        <v/>
      </c>
      <c r="E322" s="30">
        <f>IF($K322="","",IF(INDEX('Prospect Tracker'!$R$5:$R$554,$K322)="","",INDEX('Prospect Tracker'!$R$5:$R$554,$K322)))</f>
        <v/>
      </c>
      <c r="F322" s="30">
        <f>IF($K322="","",IF(INDEX('Prospect Tracker'!$J$5:$J$554,$K322)="","",INDEX('Prospect Tracker'!$J$5:$J$554,$K322)))</f>
        <v/>
      </c>
      <c r="G322" s="30">
        <f>IF($K322="","",IF(INDEX('Prospect Tracker'!$H$5:$H$554,$K322)="","",INDEX('Prospect Tracker'!$H$5:$H$554,$K322)))</f>
        <v/>
      </c>
      <c r="H322" s="31">
        <f>IF($K322="","",IF(INDEX('Prospect Tracker'!$K$5:$K$554,$K322)="","",INDEX('Prospect Tracker'!$K$5:$K$554,$K322)))</f>
        <v/>
      </c>
      <c r="I322" s="30">
        <f>IF($K322="","",IF(INDEX('Prospect Tracker'!$T$5:$T$554,$K322)="","",INDEX('Prospect Tracker'!$T$5:$T$554,$K322)))</f>
        <v/>
      </c>
      <c r="J322" s="30">
        <f>IF($K322="","",IF(INDEX('Prospect Tracker'!$L$5:$L$554,$K322)="","",INDEX('Prospect Tracker'!$L$5:$L$554,$K322)))</f>
        <v/>
      </c>
      <c r="K322" s="19">
        <f>IFERROR(MATCH(SMALL('Prospect Tracker'!$X$5:$X$554,ROW()-4),'Prospect Tracker'!$X$5:$X$554,0),"")</f>
        <v/>
      </c>
    </row>
    <row r="323" ht="15" customHeight="1" s="20">
      <c r="A323" s="25">
        <f>IF($K323="","",IF(INDEX('Prospect Tracker'!$W$5:$W$554,$K323)="","",INDEX('Prospect Tracker'!$W$5:$W$554,$K323)))</f>
        <v/>
      </c>
      <c r="B323" s="25">
        <f>IF($K323="","",IF(INDEX('Prospect Tracker'!$A$5:$A$554,$K323)="","",INDEX('Prospect Tracker'!$A$5:$A$554,$K323)))</f>
        <v/>
      </c>
      <c r="C323" s="25">
        <f>IF($K323="","",IF(INDEX('Prospect Tracker'!$B$5:$B$554,$K323)="","",INDEX('Prospect Tracker'!$B$5:$B$554,$K323)))</f>
        <v/>
      </c>
      <c r="D323" s="25">
        <f>IF($K323="","",IF(INDEX('Prospect Tracker'!$M$5:$M$554,$K323)="","",INDEX('Prospect Tracker'!$M$5:$M$554,$K323)))</f>
        <v/>
      </c>
      <c r="E323" s="25">
        <f>IF($K323="","",IF(INDEX('Prospect Tracker'!$R$5:$R$554,$K323)="","",INDEX('Prospect Tracker'!$R$5:$R$554,$K323)))</f>
        <v/>
      </c>
      <c r="F323" s="25">
        <f>IF($K323="","",IF(INDEX('Prospect Tracker'!$J$5:$J$554,$K323)="","",INDEX('Prospect Tracker'!$J$5:$J$554,$K323)))</f>
        <v/>
      </c>
      <c r="G323" s="25">
        <f>IF($K323="","",IF(INDEX('Prospect Tracker'!$H$5:$H$554,$K323)="","",INDEX('Prospect Tracker'!$H$5:$H$554,$K323)))</f>
        <v/>
      </c>
      <c r="H323" s="26">
        <f>IF($K323="","",IF(INDEX('Prospect Tracker'!$K$5:$K$554,$K323)="","",INDEX('Prospect Tracker'!$K$5:$K$554,$K323)))</f>
        <v/>
      </c>
      <c r="I323" s="25">
        <f>IF($K323="","",IF(INDEX('Prospect Tracker'!$T$5:$T$554,$K323)="","",INDEX('Prospect Tracker'!$T$5:$T$554,$K323)))</f>
        <v/>
      </c>
      <c r="J323" s="25">
        <f>IF($K323="","",IF(INDEX('Prospect Tracker'!$L$5:$L$554,$K323)="","",INDEX('Prospect Tracker'!$L$5:$L$554,$K323)))</f>
        <v/>
      </c>
      <c r="K323" s="19">
        <f>IFERROR(MATCH(SMALL('Prospect Tracker'!$X$5:$X$554,ROW()-4),'Prospect Tracker'!$X$5:$X$554,0),"")</f>
        <v/>
      </c>
    </row>
    <row r="324" ht="15" customHeight="1" s="20">
      <c r="A324" s="30">
        <f>IF($K324="","",IF(INDEX('Prospect Tracker'!$W$5:$W$554,$K324)="","",INDEX('Prospect Tracker'!$W$5:$W$554,$K324)))</f>
        <v/>
      </c>
      <c r="B324" s="30">
        <f>IF($K324="","",IF(INDEX('Prospect Tracker'!$A$5:$A$554,$K324)="","",INDEX('Prospect Tracker'!$A$5:$A$554,$K324)))</f>
        <v/>
      </c>
      <c r="C324" s="30">
        <f>IF($K324="","",IF(INDEX('Prospect Tracker'!$B$5:$B$554,$K324)="","",INDEX('Prospect Tracker'!$B$5:$B$554,$K324)))</f>
        <v/>
      </c>
      <c r="D324" s="30">
        <f>IF($K324="","",IF(INDEX('Prospect Tracker'!$M$5:$M$554,$K324)="","",INDEX('Prospect Tracker'!$M$5:$M$554,$K324)))</f>
        <v/>
      </c>
      <c r="E324" s="30">
        <f>IF($K324="","",IF(INDEX('Prospect Tracker'!$R$5:$R$554,$K324)="","",INDEX('Prospect Tracker'!$R$5:$R$554,$K324)))</f>
        <v/>
      </c>
      <c r="F324" s="30">
        <f>IF($K324="","",IF(INDEX('Prospect Tracker'!$J$5:$J$554,$K324)="","",INDEX('Prospect Tracker'!$J$5:$J$554,$K324)))</f>
        <v/>
      </c>
      <c r="G324" s="30">
        <f>IF($K324="","",IF(INDEX('Prospect Tracker'!$H$5:$H$554,$K324)="","",INDEX('Prospect Tracker'!$H$5:$H$554,$K324)))</f>
        <v/>
      </c>
      <c r="H324" s="31">
        <f>IF($K324="","",IF(INDEX('Prospect Tracker'!$K$5:$K$554,$K324)="","",INDEX('Prospect Tracker'!$K$5:$K$554,$K324)))</f>
        <v/>
      </c>
      <c r="I324" s="30">
        <f>IF($K324="","",IF(INDEX('Prospect Tracker'!$T$5:$T$554,$K324)="","",INDEX('Prospect Tracker'!$T$5:$T$554,$K324)))</f>
        <v/>
      </c>
      <c r="J324" s="30">
        <f>IF($K324="","",IF(INDEX('Prospect Tracker'!$L$5:$L$554,$K324)="","",INDEX('Prospect Tracker'!$L$5:$L$554,$K324)))</f>
        <v/>
      </c>
      <c r="K324" s="19">
        <f>IFERROR(MATCH(SMALL('Prospect Tracker'!$X$5:$X$554,ROW()-4),'Prospect Tracker'!$X$5:$X$554,0),"")</f>
        <v/>
      </c>
    </row>
    <row r="325" ht="15" customHeight="1" s="20">
      <c r="A325" s="25">
        <f>IF($K325="","",IF(INDEX('Prospect Tracker'!$W$5:$W$554,$K325)="","",INDEX('Prospect Tracker'!$W$5:$W$554,$K325)))</f>
        <v/>
      </c>
      <c r="B325" s="25">
        <f>IF($K325="","",IF(INDEX('Prospect Tracker'!$A$5:$A$554,$K325)="","",INDEX('Prospect Tracker'!$A$5:$A$554,$K325)))</f>
        <v/>
      </c>
      <c r="C325" s="25">
        <f>IF($K325="","",IF(INDEX('Prospect Tracker'!$B$5:$B$554,$K325)="","",INDEX('Prospect Tracker'!$B$5:$B$554,$K325)))</f>
        <v/>
      </c>
      <c r="D325" s="25">
        <f>IF($K325="","",IF(INDEX('Prospect Tracker'!$M$5:$M$554,$K325)="","",INDEX('Prospect Tracker'!$M$5:$M$554,$K325)))</f>
        <v/>
      </c>
      <c r="E325" s="25">
        <f>IF($K325="","",IF(INDEX('Prospect Tracker'!$R$5:$R$554,$K325)="","",INDEX('Prospect Tracker'!$R$5:$R$554,$K325)))</f>
        <v/>
      </c>
      <c r="F325" s="25">
        <f>IF($K325="","",IF(INDEX('Prospect Tracker'!$J$5:$J$554,$K325)="","",INDEX('Prospect Tracker'!$J$5:$J$554,$K325)))</f>
        <v/>
      </c>
      <c r="G325" s="25">
        <f>IF($K325="","",IF(INDEX('Prospect Tracker'!$H$5:$H$554,$K325)="","",INDEX('Prospect Tracker'!$H$5:$H$554,$K325)))</f>
        <v/>
      </c>
      <c r="H325" s="26">
        <f>IF($K325="","",IF(INDEX('Prospect Tracker'!$K$5:$K$554,$K325)="","",INDEX('Prospect Tracker'!$K$5:$K$554,$K325)))</f>
        <v/>
      </c>
      <c r="I325" s="25">
        <f>IF($K325="","",IF(INDEX('Prospect Tracker'!$T$5:$T$554,$K325)="","",INDEX('Prospect Tracker'!$T$5:$T$554,$K325)))</f>
        <v/>
      </c>
      <c r="J325" s="25">
        <f>IF($K325="","",IF(INDEX('Prospect Tracker'!$L$5:$L$554,$K325)="","",INDEX('Prospect Tracker'!$L$5:$L$554,$K325)))</f>
        <v/>
      </c>
      <c r="K325" s="19">
        <f>IFERROR(MATCH(SMALL('Prospect Tracker'!$X$5:$X$554,ROW()-4),'Prospect Tracker'!$X$5:$X$554,0),"")</f>
        <v/>
      </c>
    </row>
    <row r="326" ht="15" customHeight="1" s="20">
      <c r="A326" s="30">
        <f>IF($K326="","",IF(INDEX('Prospect Tracker'!$W$5:$W$554,$K326)="","",INDEX('Prospect Tracker'!$W$5:$W$554,$K326)))</f>
        <v/>
      </c>
      <c r="B326" s="30">
        <f>IF($K326="","",IF(INDEX('Prospect Tracker'!$A$5:$A$554,$K326)="","",INDEX('Prospect Tracker'!$A$5:$A$554,$K326)))</f>
        <v/>
      </c>
      <c r="C326" s="30">
        <f>IF($K326="","",IF(INDEX('Prospect Tracker'!$B$5:$B$554,$K326)="","",INDEX('Prospect Tracker'!$B$5:$B$554,$K326)))</f>
        <v/>
      </c>
      <c r="D326" s="30">
        <f>IF($K326="","",IF(INDEX('Prospect Tracker'!$M$5:$M$554,$K326)="","",INDEX('Prospect Tracker'!$M$5:$M$554,$K326)))</f>
        <v/>
      </c>
      <c r="E326" s="30">
        <f>IF($K326="","",IF(INDEX('Prospect Tracker'!$R$5:$R$554,$K326)="","",INDEX('Prospect Tracker'!$R$5:$R$554,$K326)))</f>
        <v/>
      </c>
      <c r="F326" s="30">
        <f>IF($K326="","",IF(INDEX('Prospect Tracker'!$J$5:$J$554,$K326)="","",INDEX('Prospect Tracker'!$J$5:$J$554,$K326)))</f>
        <v/>
      </c>
      <c r="G326" s="30">
        <f>IF($K326="","",IF(INDEX('Prospect Tracker'!$H$5:$H$554,$K326)="","",INDEX('Prospect Tracker'!$H$5:$H$554,$K326)))</f>
        <v/>
      </c>
      <c r="H326" s="31">
        <f>IF($K326="","",IF(INDEX('Prospect Tracker'!$K$5:$K$554,$K326)="","",INDEX('Prospect Tracker'!$K$5:$K$554,$K326)))</f>
        <v/>
      </c>
      <c r="I326" s="30">
        <f>IF($K326="","",IF(INDEX('Prospect Tracker'!$T$5:$T$554,$K326)="","",INDEX('Prospect Tracker'!$T$5:$T$554,$K326)))</f>
        <v/>
      </c>
      <c r="J326" s="30">
        <f>IF($K326="","",IF(INDEX('Prospect Tracker'!$L$5:$L$554,$K326)="","",INDEX('Prospect Tracker'!$L$5:$L$554,$K326)))</f>
        <v/>
      </c>
      <c r="K326" s="19">
        <f>IFERROR(MATCH(SMALL('Prospect Tracker'!$X$5:$X$554,ROW()-4),'Prospect Tracker'!$X$5:$X$554,0),"")</f>
        <v/>
      </c>
    </row>
    <row r="327" ht="15" customHeight="1" s="20">
      <c r="A327" s="25">
        <f>IF($K327="","",IF(INDEX('Prospect Tracker'!$W$5:$W$554,$K327)="","",INDEX('Prospect Tracker'!$W$5:$W$554,$K327)))</f>
        <v/>
      </c>
      <c r="B327" s="25">
        <f>IF($K327="","",IF(INDEX('Prospect Tracker'!$A$5:$A$554,$K327)="","",INDEX('Prospect Tracker'!$A$5:$A$554,$K327)))</f>
        <v/>
      </c>
      <c r="C327" s="25">
        <f>IF($K327="","",IF(INDEX('Prospect Tracker'!$B$5:$B$554,$K327)="","",INDEX('Prospect Tracker'!$B$5:$B$554,$K327)))</f>
        <v/>
      </c>
      <c r="D327" s="25">
        <f>IF($K327="","",IF(INDEX('Prospect Tracker'!$M$5:$M$554,$K327)="","",INDEX('Prospect Tracker'!$M$5:$M$554,$K327)))</f>
        <v/>
      </c>
      <c r="E327" s="25">
        <f>IF($K327="","",IF(INDEX('Prospect Tracker'!$R$5:$R$554,$K327)="","",INDEX('Prospect Tracker'!$R$5:$R$554,$K327)))</f>
        <v/>
      </c>
      <c r="F327" s="25">
        <f>IF($K327="","",IF(INDEX('Prospect Tracker'!$J$5:$J$554,$K327)="","",INDEX('Prospect Tracker'!$J$5:$J$554,$K327)))</f>
        <v/>
      </c>
      <c r="G327" s="25">
        <f>IF($K327="","",IF(INDEX('Prospect Tracker'!$H$5:$H$554,$K327)="","",INDEX('Prospect Tracker'!$H$5:$H$554,$K327)))</f>
        <v/>
      </c>
      <c r="H327" s="26">
        <f>IF($K327="","",IF(INDEX('Prospect Tracker'!$K$5:$K$554,$K327)="","",INDEX('Prospect Tracker'!$K$5:$K$554,$K327)))</f>
        <v/>
      </c>
      <c r="I327" s="25">
        <f>IF($K327="","",IF(INDEX('Prospect Tracker'!$T$5:$T$554,$K327)="","",INDEX('Prospect Tracker'!$T$5:$T$554,$K327)))</f>
        <v/>
      </c>
      <c r="J327" s="25">
        <f>IF($K327="","",IF(INDEX('Prospect Tracker'!$L$5:$L$554,$K327)="","",INDEX('Prospect Tracker'!$L$5:$L$554,$K327)))</f>
        <v/>
      </c>
      <c r="K327" s="19">
        <f>IFERROR(MATCH(SMALL('Prospect Tracker'!$X$5:$X$554,ROW()-4),'Prospect Tracker'!$X$5:$X$554,0),"")</f>
        <v/>
      </c>
    </row>
    <row r="328" ht="15" customHeight="1" s="20">
      <c r="A328" s="30">
        <f>IF($K328="","",IF(INDEX('Prospect Tracker'!$W$5:$W$554,$K328)="","",INDEX('Prospect Tracker'!$W$5:$W$554,$K328)))</f>
        <v/>
      </c>
      <c r="B328" s="30">
        <f>IF($K328="","",IF(INDEX('Prospect Tracker'!$A$5:$A$554,$K328)="","",INDEX('Prospect Tracker'!$A$5:$A$554,$K328)))</f>
        <v/>
      </c>
      <c r="C328" s="30">
        <f>IF($K328="","",IF(INDEX('Prospect Tracker'!$B$5:$B$554,$K328)="","",INDEX('Prospect Tracker'!$B$5:$B$554,$K328)))</f>
        <v/>
      </c>
      <c r="D328" s="30">
        <f>IF($K328="","",IF(INDEX('Prospect Tracker'!$M$5:$M$554,$K328)="","",INDEX('Prospect Tracker'!$M$5:$M$554,$K328)))</f>
        <v/>
      </c>
      <c r="E328" s="30">
        <f>IF($K328="","",IF(INDEX('Prospect Tracker'!$R$5:$R$554,$K328)="","",INDEX('Prospect Tracker'!$R$5:$R$554,$K328)))</f>
        <v/>
      </c>
      <c r="F328" s="30">
        <f>IF($K328="","",IF(INDEX('Prospect Tracker'!$J$5:$J$554,$K328)="","",INDEX('Prospect Tracker'!$J$5:$J$554,$K328)))</f>
        <v/>
      </c>
      <c r="G328" s="30">
        <f>IF($K328="","",IF(INDEX('Prospect Tracker'!$H$5:$H$554,$K328)="","",INDEX('Prospect Tracker'!$H$5:$H$554,$K328)))</f>
        <v/>
      </c>
      <c r="H328" s="31">
        <f>IF($K328="","",IF(INDEX('Prospect Tracker'!$K$5:$K$554,$K328)="","",INDEX('Prospect Tracker'!$K$5:$K$554,$K328)))</f>
        <v/>
      </c>
      <c r="I328" s="30">
        <f>IF($K328="","",IF(INDEX('Prospect Tracker'!$T$5:$T$554,$K328)="","",INDEX('Prospect Tracker'!$T$5:$T$554,$K328)))</f>
        <v/>
      </c>
      <c r="J328" s="30">
        <f>IF($K328="","",IF(INDEX('Prospect Tracker'!$L$5:$L$554,$K328)="","",INDEX('Prospect Tracker'!$L$5:$L$554,$K328)))</f>
        <v/>
      </c>
      <c r="K328" s="19">
        <f>IFERROR(MATCH(SMALL('Prospect Tracker'!$X$5:$X$554,ROW()-4),'Prospect Tracker'!$X$5:$X$554,0),"")</f>
        <v/>
      </c>
    </row>
    <row r="329" ht="15" customHeight="1" s="20">
      <c r="A329" s="25">
        <f>IF($K329="","",IF(INDEX('Prospect Tracker'!$W$5:$W$554,$K329)="","",INDEX('Prospect Tracker'!$W$5:$W$554,$K329)))</f>
        <v/>
      </c>
      <c r="B329" s="25">
        <f>IF($K329="","",IF(INDEX('Prospect Tracker'!$A$5:$A$554,$K329)="","",INDEX('Prospect Tracker'!$A$5:$A$554,$K329)))</f>
        <v/>
      </c>
      <c r="C329" s="25">
        <f>IF($K329="","",IF(INDEX('Prospect Tracker'!$B$5:$B$554,$K329)="","",INDEX('Prospect Tracker'!$B$5:$B$554,$K329)))</f>
        <v/>
      </c>
      <c r="D329" s="25">
        <f>IF($K329="","",IF(INDEX('Prospect Tracker'!$M$5:$M$554,$K329)="","",INDEX('Prospect Tracker'!$M$5:$M$554,$K329)))</f>
        <v/>
      </c>
      <c r="E329" s="25">
        <f>IF($K329="","",IF(INDEX('Prospect Tracker'!$R$5:$R$554,$K329)="","",INDEX('Prospect Tracker'!$R$5:$R$554,$K329)))</f>
        <v/>
      </c>
      <c r="F329" s="25">
        <f>IF($K329="","",IF(INDEX('Prospect Tracker'!$J$5:$J$554,$K329)="","",INDEX('Prospect Tracker'!$J$5:$J$554,$K329)))</f>
        <v/>
      </c>
      <c r="G329" s="25">
        <f>IF($K329="","",IF(INDEX('Prospect Tracker'!$H$5:$H$554,$K329)="","",INDEX('Prospect Tracker'!$H$5:$H$554,$K329)))</f>
        <v/>
      </c>
      <c r="H329" s="26">
        <f>IF($K329="","",IF(INDEX('Prospect Tracker'!$K$5:$K$554,$K329)="","",INDEX('Prospect Tracker'!$K$5:$K$554,$K329)))</f>
        <v/>
      </c>
      <c r="I329" s="25">
        <f>IF($K329="","",IF(INDEX('Prospect Tracker'!$T$5:$T$554,$K329)="","",INDEX('Prospect Tracker'!$T$5:$T$554,$K329)))</f>
        <v/>
      </c>
      <c r="J329" s="25">
        <f>IF($K329="","",IF(INDEX('Prospect Tracker'!$L$5:$L$554,$K329)="","",INDEX('Prospect Tracker'!$L$5:$L$554,$K329)))</f>
        <v/>
      </c>
      <c r="K329" s="19">
        <f>IFERROR(MATCH(SMALL('Prospect Tracker'!$X$5:$X$554,ROW()-4),'Prospect Tracker'!$X$5:$X$554,0),"")</f>
        <v/>
      </c>
    </row>
    <row r="330" ht="15" customHeight="1" s="20">
      <c r="A330" s="30">
        <f>IF($K330="","",IF(INDEX('Prospect Tracker'!$W$5:$W$554,$K330)="","",INDEX('Prospect Tracker'!$W$5:$W$554,$K330)))</f>
        <v/>
      </c>
      <c r="B330" s="30">
        <f>IF($K330="","",IF(INDEX('Prospect Tracker'!$A$5:$A$554,$K330)="","",INDEX('Prospect Tracker'!$A$5:$A$554,$K330)))</f>
        <v/>
      </c>
      <c r="C330" s="30">
        <f>IF($K330="","",IF(INDEX('Prospect Tracker'!$B$5:$B$554,$K330)="","",INDEX('Prospect Tracker'!$B$5:$B$554,$K330)))</f>
        <v/>
      </c>
      <c r="D330" s="30">
        <f>IF($K330="","",IF(INDEX('Prospect Tracker'!$M$5:$M$554,$K330)="","",INDEX('Prospect Tracker'!$M$5:$M$554,$K330)))</f>
        <v/>
      </c>
      <c r="E330" s="30">
        <f>IF($K330="","",IF(INDEX('Prospect Tracker'!$R$5:$R$554,$K330)="","",INDEX('Prospect Tracker'!$R$5:$R$554,$K330)))</f>
        <v/>
      </c>
      <c r="F330" s="30">
        <f>IF($K330="","",IF(INDEX('Prospect Tracker'!$J$5:$J$554,$K330)="","",INDEX('Prospect Tracker'!$J$5:$J$554,$K330)))</f>
        <v/>
      </c>
      <c r="G330" s="30">
        <f>IF($K330="","",IF(INDEX('Prospect Tracker'!$H$5:$H$554,$K330)="","",INDEX('Prospect Tracker'!$H$5:$H$554,$K330)))</f>
        <v/>
      </c>
      <c r="H330" s="31">
        <f>IF($K330="","",IF(INDEX('Prospect Tracker'!$K$5:$K$554,$K330)="","",INDEX('Prospect Tracker'!$K$5:$K$554,$K330)))</f>
        <v/>
      </c>
      <c r="I330" s="30">
        <f>IF($K330="","",IF(INDEX('Prospect Tracker'!$T$5:$T$554,$K330)="","",INDEX('Prospect Tracker'!$T$5:$T$554,$K330)))</f>
        <v/>
      </c>
      <c r="J330" s="30">
        <f>IF($K330="","",IF(INDEX('Prospect Tracker'!$L$5:$L$554,$K330)="","",INDEX('Prospect Tracker'!$L$5:$L$554,$K330)))</f>
        <v/>
      </c>
      <c r="K330" s="19">
        <f>IFERROR(MATCH(SMALL('Prospect Tracker'!$X$5:$X$554,ROW()-4),'Prospect Tracker'!$X$5:$X$554,0),"")</f>
        <v/>
      </c>
    </row>
    <row r="331" ht="15" customHeight="1" s="20">
      <c r="A331" s="25">
        <f>IF($K331="","",IF(INDEX('Prospect Tracker'!$W$5:$W$554,$K331)="","",INDEX('Prospect Tracker'!$W$5:$W$554,$K331)))</f>
        <v/>
      </c>
      <c r="B331" s="25">
        <f>IF($K331="","",IF(INDEX('Prospect Tracker'!$A$5:$A$554,$K331)="","",INDEX('Prospect Tracker'!$A$5:$A$554,$K331)))</f>
        <v/>
      </c>
      <c r="C331" s="25">
        <f>IF($K331="","",IF(INDEX('Prospect Tracker'!$B$5:$B$554,$K331)="","",INDEX('Prospect Tracker'!$B$5:$B$554,$K331)))</f>
        <v/>
      </c>
      <c r="D331" s="25">
        <f>IF($K331="","",IF(INDEX('Prospect Tracker'!$M$5:$M$554,$K331)="","",INDEX('Prospect Tracker'!$M$5:$M$554,$K331)))</f>
        <v/>
      </c>
      <c r="E331" s="25">
        <f>IF($K331="","",IF(INDEX('Prospect Tracker'!$R$5:$R$554,$K331)="","",INDEX('Prospect Tracker'!$R$5:$R$554,$K331)))</f>
        <v/>
      </c>
      <c r="F331" s="25">
        <f>IF($K331="","",IF(INDEX('Prospect Tracker'!$J$5:$J$554,$K331)="","",INDEX('Prospect Tracker'!$J$5:$J$554,$K331)))</f>
        <v/>
      </c>
      <c r="G331" s="25">
        <f>IF($K331="","",IF(INDEX('Prospect Tracker'!$H$5:$H$554,$K331)="","",INDEX('Prospect Tracker'!$H$5:$H$554,$K331)))</f>
        <v/>
      </c>
      <c r="H331" s="26">
        <f>IF($K331="","",IF(INDEX('Prospect Tracker'!$K$5:$K$554,$K331)="","",INDEX('Prospect Tracker'!$K$5:$K$554,$K331)))</f>
        <v/>
      </c>
      <c r="I331" s="25">
        <f>IF($K331="","",IF(INDEX('Prospect Tracker'!$T$5:$T$554,$K331)="","",INDEX('Prospect Tracker'!$T$5:$T$554,$K331)))</f>
        <v/>
      </c>
      <c r="J331" s="25">
        <f>IF($K331="","",IF(INDEX('Prospect Tracker'!$L$5:$L$554,$K331)="","",INDEX('Prospect Tracker'!$L$5:$L$554,$K331)))</f>
        <v/>
      </c>
      <c r="K331" s="19">
        <f>IFERROR(MATCH(SMALL('Prospect Tracker'!$X$5:$X$554,ROW()-4),'Prospect Tracker'!$X$5:$X$554,0),"")</f>
        <v/>
      </c>
    </row>
    <row r="332" ht="15" customHeight="1" s="20">
      <c r="A332" s="30">
        <f>IF($K332="","",IF(INDEX('Prospect Tracker'!$W$5:$W$554,$K332)="","",INDEX('Prospect Tracker'!$W$5:$W$554,$K332)))</f>
        <v/>
      </c>
      <c r="B332" s="30">
        <f>IF($K332="","",IF(INDEX('Prospect Tracker'!$A$5:$A$554,$K332)="","",INDEX('Prospect Tracker'!$A$5:$A$554,$K332)))</f>
        <v/>
      </c>
      <c r="C332" s="30">
        <f>IF($K332="","",IF(INDEX('Prospect Tracker'!$B$5:$B$554,$K332)="","",INDEX('Prospect Tracker'!$B$5:$B$554,$K332)))</f>
        <v/>
      </c>
      <c r="D332" s="30">
        <f>IF($K332="","",IF(INDEX('Prospect Tracker'!$M$5:$M$554,$K332)="","",INDEX('Prospect Tracker'!$M$5:$M$554,$K332)))</f>
        <v/>
      </c>
      <c r="E332" s="30">
        <f>IF($K332="","",IF(INDEX('Prospect Tracker'!$R$5:$R$554,$K332)="","",INDEX('Prospect Tracker'!$R$5:$R$554,$K332)))</f>
        <v/>
      </c>
      <c r="F332" s="30">
        <f>IF($K332="","",IF(INDEX('Prospect Tracker'!$J$5:$J$554,$K332)="","",INDEX('Prospect Tracker'!$J$5:$J$554,$K332)))</f>
        <v/>
      </c>
      <c r="G332" s="30">
        <f>IF($K332="","",IF(INDEX('Prospect Tracker'!$H$5:$H$554,$K332)="","",INDEX('Prospect Tracker'!$H$5:$H$554,$K332)))</f>
        <v/>
      </c>
      <c r="H332" s="31">
        <f>IF($K332="","",IF(INDEX('Prospect Tracker'!$K$5:$K$554,$K332)="","",INDEX('Prospect Tracker'!$K$5:$K$554,$K332)))</f>
        <v/>
      </c>
      <c r="I332" s="30">
        <f>IF($K332="","",IF(INDEX('Prospect Tracker'!$T$5:$T$554,$K332)="","",INDEX('Prospect Tracker'!$T$5:$T$554,$K332)))</f>
        <v/>
      </c>
      <c r="J332" s="30">
        <f>IF($K332="","",IF(INDEX('Prospect Tracker'!$L$5:$L$554,$K332)="","",INDEX('Prospect Tracker'!$L$5:$L$554,$K332)))</f>
        <v/>
      </c>
      <c r="K332" s="19">
        <f>IFERROR(MATCH(SMALL('Prospect Tracker'!$X$5:$X$554,ROW()-4),'Prospect Tracker'!$X$5:$X$554,0),"")</f>
        <v/>
      </c>
    </row>
    <row r="333" ht="15" customHeight="1" s="20">
      <c r="A333" s="25">
        <f>IF($K333="","",IF(INDEX('Prospect Tracker'!$W$5:$W$554,$K333)="","",INDEX('Prospect Tracker'!$W$5:$W$554,$K333)))</f>
        <v/>
      </c>
      <c r="B333" s="25">
        <f>IF($K333="","",IF(INDEX('Prospect Tracker'!$A$5:$A$554,$K333)="","",INDEX('Prospect Tracker'!$A$5:$A$554,$K333)))</f>
        <v/>
      </c>
      <c r="C333" s="25">
        <f>IF($K333="","",IF(INDEX('Prospect Tracker'!$B$5:$B$554,$K333)="","",INDEX('Prospect Tracker'!$B$5:$B$554,$K333)))</f>
        <v/>
      </c>
      <c r="D333" s="25">
        <f>IF($K333="","",IF(INDEX('Prospect Tracker'!$M$5:$M$554,$K333)="","",INDEX('Prospect Tracker'!$M$5:$M$554,$K333)))</f>
        <v/>
      </c>
      <c r="E333" s="25">
        <f>IF($K333="","",IF(INDEX('Prospect Tracker'!$R$5:$R$554,$K333)="","",INDEX('Prospect Tracker'!$R$5:$R$554,$K333)))</f>
        <v/>
      </c>
      <c r="F333" s="25">
        <f>IF($K333="","",IF(INDEX('Prospect Tracker'!$J$5:$J$554,$K333)="","",INDEX('Prospect Tracker'!$J$5:$J$554,$K333)))</f>
        <v/>
      </c>
      <c r="G333" s="25">
        <f>IF($K333="","",IF(INDEX('Prospect Tracker'!$H$5:$H$554,$K333)="","",INDEX('Prospect Tracker'!$H$5:$H$554,$K333)))</f>
        <v/>
      </c>
      <c r="H333" s="26">
        <f>IF($K333="","",IF(INDEX('Prospect Tracker'!$K$5:$K$554,$K333)="","",INDEX('Prospect Tracker'!$K$5:$K$554,$K333)))</f>
        <v/>
      </c>
      <c r="I333" s="25">
        <f>IF($K333="","",IF(INDEX('Prospect Tracker'!$T$5:$T$554,$K333)="","",INDEX('Prospect Tracker'!$T$5:$T$554,$K333)))</f>
        <v/>
      </c>
      <c r="J333" s="25">
        <f>IF($K333="","",IF(INDEX('Prospect Tracker'!$L$5:$L$554,$K333)="","",INDEX('Prospect Tracker'!$L$5:$L$554,$K333)))</f>
        <v/>
      </c>
      <c r="K333" s="19">
        <f>IFERROR(MATCH(SMALL('Prospect Tracker'!$X$5:$X$554,ROW()-4),'Prospect Tracker'!$X$5:$X$554,0),"")</f>
        <v/>
      </c>
    </row>
    <row r="334" ht="15" customHeight="1" s="20">
      <c r="A334" s="30">
        <f>IF($K334="","",IF(INDEX('Prospect Tracker'!$W$5:$W$554,$K334)="","",INDEX('Prospect Tracker'!$W$5:$W$554,$K334)))</f>
        <v/>
      </c>
      <c r="B334" s="30">
        <f>IF($K334="","",IF(INDEX('Prospect Tracker'!$A$5:$A$554,$K334)="","",INDEX('Prospect Tracker'!$A$5:$A$554,$K334)))</f>
        <v/>
      </c>
      <c r="C334" s="30">
        <f>IF($K334="","",IF(INDEX('Prospect Tracker'!$B$5:$B$554,$K334)="","",INDEX('Prospect Tracker'!$B$5:$B$554,$K334)))</f>
        <v/>
      </c>
      <c r="D334" s="30">
        <f>IF($K334="","",IF(INDEX('Prospect Tracker'!$M$5:$M$554,$K334)="","",INDEX('Prospect Tracker'!$M$5:$M$554,$K334)))</f>
        <v/>
      </c>
      <c r="E334" s="30">
        <f>IF($K334="","",IF(INDEX('Prospect Tracker'!$R$5:$R$554,$K334)="","",INDEX('Prospect Tracker'!$R$5:$R$554,$K334)))</f>
        <v/>
      </c>
      <c r="F334" s="30">
        <f>IF($K334="","",IF(INDEX('Prospect Tracker'!$J$5:$J$554,$K334)="","",INDEX('Prospect Tracker'!$J$5:$J$554,$K334)))</f>
        <v/>
      </c>
      <c r="G334" s="30">
        <f>IF($K334="","",IF(INDEX('Prospect Tracker'!$H$5:$H$554,$K334)="","",INDEX('Prospect Tracker'!$H$5:$H$554,$K334)))</f>
        <v/>
      </c>
      <c r="H334" s="31">
        <f>IF($K334="","",IF(INDEX('Prospect Tracker'!$K$5:$K$554,$K334)="","",INDEX('Prospect Tracker'!$K$5:$K$554,$K334)))</f>
        <v/>
      </c>
      <c r="I334" s="30">
        <f>IF($K334="","",IF(INDEX('Prospect Tracker'!$T$5:$T$554,$K334)="","",INDEX('Prospect Tracker'!$T$5:$T$554,$K334)))</f>
        <v/>
      </c>
      <c r="J334" s="30">
        <f>IF($K334="","",IF(INDEX('Prospect Tracker'!$L$5:$L$554,$K334)="","",INDEX('Prospect Tracker'!$L$5:$L$554,$K334)))</f>
        <v/>
      </c>
      <c r="K334" s="19">
        <f>IFERROR(MATCH(SMALL('Prospect Tracker'!$X$5:$X$554,ROW()-4),'Prospect Tracker'!$X$5:$X$554,0),"")</f>
        <v/>
      </c>
    </row>
    <row r="335" ht="15" customHeight="1" s="20">
      <c r="A335" s="25">
        <f>IF($K335="","",IF(INDEX('Prospect Tracker'!$W$5:$W$554,$K335)="","",INDEX('Prospect Tracker'!$W$5:$W$554,$K335)))</f>
        <v/>
      </c>
      <c r="B335" s="25">
        <f>IF($K335="","",IF(INDEX('Prospect Tracker'!$A$5:$A$554,$K335)="","",INDEX('Prospect Tracker'!$A$5:$A$554,$K335)))</f>
        <v/>
      </c>
      <c r="C335" s="25">
        <f>IF($K335="","",IF(INDEX('Prospect Tracker'!$B$5:$B$554,$K335)="","",INDEX('Prospect Tracker'!$B$5:$B$554,$K335)))</f>
        <v/>
      </c>
      <c r="D335" s="25">
        <f>IF($K335="","",IF(INDEX('Prospect Tracker'!$M$5:$M$554,$K335)="","",INDEX('Prospect Tracker'!$M$5:$M$554,$K335)))</f>
        <v/>
      </c>
      <c r="E335" s="25">
        <f>IF($K335="","",IF(INDEX('Prospect Tracker'!$R$5:$R$554,$K335)="","",INDEX('Prospect Tracker'!$R$5:$R$554,$K335)))</f>
        <v/>
      </c>
      <c r="F335" s="25">
        <f>IF($K335="","",IF(INDEX('Prospect Tracker'!$J$5:$J$554,$K335)="","",INDEX('Prospect Tracker'!$J$5:$J$554,$K335)))</f>
        <v/>
      </c>
      <c r="G335" s="25">
        <f>IF($K335="","",IF(INDEX('Prospect Tracker'!$H$5:$H$554,$K335)="","",INDEX('Prospect Tracker'!$H$5:$H$554,$K335)))</f>
        <v/>
      </c>
      <c r="H335" s="26">
        <f>IF($K335="","",IF(INDEX('Prospect Tracker'!$K$5:$K$554,$K335)="","",INDEX('Prospect Tracker'!$K$5:$K$554,$K335)))</f>
        <v/>
      </c>
      <c r="I335" s="25">
        <f>IF($K335="","",IF(INDEX('Prospect Tracker'!$T$5:$T$554,$K335)="","",INDEX('Prospect Tracker'!$T$5:$T$554,$K335)))</f>
        <v/>
      </c>
      <c r="J335" s="25">
        <f>IF($K335="","",IF(INDEX('Prospect Tracker'!$L$5:$L$554,$K335)="","",INDEX('Prospect Tracker'!$L$5:$L$554,$K335)))</f>
        <v/>
      </c>
      <c r="K335" s="19">
        <f>IFERROR(MATCH(SMALL('Prospect Tracker'!$X$5:$X$554,ROW()-4),'Prospect Tracker'!$X$5:$X$554,0),"")</f>
        <v/>
      </c>
    </row>
    <row r="336" ht="15" customHeight="1" s="20">
      <c r="A336" s="30">
        <f>IF($K336="","",IF(INDEX('Prospect Tracker'!$W$5:$W$554,$K336)="","",INDEX('Prospect Tracker'!$W$5:$W$554,$K336)))</f>
        <v/>
      </c>
      <c r="B336" s="30">
        <f>IF($K336="","",IF(INDEX('Prospect Tracker'!$A$5:$A$554,$K336)="","",INDEX('Prospect Tracker'!$A$5:$A$554,$K336)))</f>
        <v/>
      </c>
      <c r="C336" s="30">
        <f>IF($K336="","",IF(INDEX('Prospect Tracker'!$B$5:$B$554,$K336)="","",INDEX('Prospect Tracker'!$B$5:$B$554,$K336)))</f>
        <v/>
      </c>
      <c r="D336" s="30">
        <f>IF($K336="","",IF(INDEX('Prospect Tracker'!$M$5:$M$554,$K336)="","",INDEX('Prospect Tracker'!$M$5:$M$554,$K336)))</f>
        <v/>
      </c>
      <c r="E336" s="30">
        <f>IF($K336="","",IF(INDEX('Prospect Tracker'!$R$5:$R$554,$K336)="","",INDEX('Prospect Tracker'!$R$5:$R$554,$K336)))</f>
        <v/>
      </c>
      <c r="F336" s="30">
        <f>IF($K336="","",IF(INDEX('Prospect Tracker'!$J$5:$J$554,$K336)="","",INDEX('Prospect Tracker'!$J$5:$J$554,$K336)))</f>
        <v/>
      </c>
      <c r="G336" s="30">
        <f>IF($K336="","",IF(INDEX('Prospect Tracker'!$H$5:$H$554,$K336)="","",INDEX('Prospect Tracker'!$H$5:$H$554,$K336)))</f>
        <v/>
      </c>
      <c r="H336" s="31">
        <f>IF($K336="","",IF(INDEX('Prospect Tracker'!$K$5:$K$554,$K336)="","",INDEX('Prospect Tracker'!$K$5:$K$554,$K336)))</f>
        <v/>
      </c>
      <c r="I336" s="30">
        <f>IF($K336="","",IF(INDEX('Prospect Tracker'!$T$5:$T$554,$K336)="","",INDEX('Prospect Tracker'!$T$5:$T$554,$K336)))</f>
        <v/>
      </c>
      <c r="J336" s="30">
        <f>IF($K336="","",IF(INDEX('Prospect Tracker'!$L$5:$L$554,$K336)="","",INDEX('Prospect Tracker'!$L$5:$L$554,$K336)))</f>
        <v/>
      </c>
      <c r="K336" s="19">
        <f>IFERROR(MATCH(SMALL('Prospect Tracker'!$X$5:$X$554,ROW()-4),'Prospect Tracker'!$X$5:$X$554,0),"")</f>
        <v/>
      </c>
    </row>
    <row r="337" ht="15" customHeight="1" s="20">
      <c r="A337" s="25">
        <f>IF($K337="","",IF(INDEX('Prospect Tracker'!$W$5:$W$554,$K337)="","",INDEX('Prospect Tracker'!$W$5:$W$554,$K337)))</f>
        <v/>
      </c>
      <c r="B337" s="25">
        <f>IF($K337="","",IF(INDEX('Prospect Tracker'!$A$5:$A$554,$K337)="","",INDEX('Prospect Tracker'!$A$5:$A$554,$K337)))</f>
        <v/>
      </c>
      <c r="C337" s="25">
        <f>IF($K337="","",IF(INDEX('Prospect Tracker'!$B$5:$B$554,$K337)="","",INDEX('Prospect Tracker'!$B$5:$B$554,$K337)))</f>
        <v/>
      </c>
      <c r="D337" s="25">
        <f>IF($K337="","",IF(INDEX('Prospect Tracker'!$M$5:$M$554,$K337)="","",INDEX('Prospect Tracker'!$M$5:$M$554,$K337)))</f>
        <v/>
      </c>
      <c r="E337" s="25">
        <f>IF($K337="","",IF(INDEX('Prospect Tracker'!$R$5:$R$554,$K337)="","",INDEX('Prospect Tracker'!$R$5:$R$554,$K337)))</f>
        <v/>
      </c>
      <c r="F337" s="25">
        <f>IF($K337="","",IF(INDEX('Prospect Tracker'!$J$5:$J$554,$K337)="","",INDEX('Prospect Tracker'!$J$5:$J$554,$K337)))</f>
        <v/>
      </c>
      <c r="G337" s="25">
        <f>IF($K337="","",IF(INDEX('Prospect Tracker'!$H$5:$H$554,$K337)="","",INDEX('Prospect Tracker'!$H$5:$H$554,$K337)))</f>
        <v/>
      </c>
      <c r="H337" s="26">
        <f>IF($K337="","",IF(INDEX('Prospect Tracker'!$K$5:$K$554,$K337)="","",INDEX('Prospect Tracker'!$K$5:$K$554,$K337)))</f>
        <v/>
      </c>
      <c r="I337" s="25">
        <f>IF($K337="","",IF(INDEX('Prospect Tracker'!$T$5:$T$554,$K337)="","",INDEX('Prospect Tracker'!$T$5:$T$554,$K337)))</f>
        <v/>
      </c>
      <c r="J337" s="25">
        <f>IF($K337="","",IF(INDEX('Prospect Tracker'!$L$5:$L$554,$K337)="","",INDEX('Prospect Tracker'!$L$5:$L$554,$K337)))</f>
        <v/>
      </c>
      <c r="K337" s="19">
        <f>IFERROR(MATCH(SMALL('Prospect Tracker'!$X$5:$X$554,ROW()-4),'Prospect Tracker'!$X$5:$X$554,0),"")</f>
        <v/>
      </c>
    </row>
    <row r="338" ht="15" customHeight="1" s="20">
      <c r="A338" s="30">
        <f>IF($K338="","",IF(INDEX('Prospect Tracker'!$W$5:$W$554,$K338)="","",INDEX('Prospect Tracker'!$W$5:$W$554,$K338)))</f>
        <v/>
      </c>
      <c r="B338" s="30">
        <f>IF($K338="","",IF(INDEX('Prospect Tracker'!$A$5:$A$554,$K338)="","",INDEX('Prospect Tracker'!$A$5:$A$554,$K338)))</f>
        <v/>
      </c>
      <c r="C338" s="30">
        <f>IF($K338="","",IF(INDEX('Prospect Tracker'!$B$5:$B$554,$K338)="","",INDEX('Prospect Tracker'!$B$5:$B$554,$K338)))</f>
        <v/>
      </c>
      <c r="D338" s="30">
        <f>IF($K338="","",IF(INDEX('Prospect Tracker'!$M$5:$M$554,$K338)="","",INDEX('Prospect Tracker'!$M$5:$M$554,$K338)))</f>
        <v/>
      </c>
      <c r="E338" s="30">
        <f>IF($K338="","",IF(INDEX('Prospect Tracker'!$R$5:$R$554,$K338)="","",INDEX('Prospect Tracker'!$R$5:$R$554,$K338)))</f>
        <v/>
      </c>
      <c r="F338" s="30">
        <f>IF($K338="","",IF(INDEX('Prospect Tracker'!$J$5:$J$554,$K338)="","",INDEX('Prospect Tracker'!$J$5:$J$554,$K338)))</f>
        <v/>
      </c>
      <c r="G338" s="30">
        <f>IF($K338="","",IF(INDEX('Prospect Tracker'!$H$5:$H$554,$K338)="","",INDEX('Prospect Tracker'!$H$5:$H$554,$K338)))</f>
        <v/>
      </c>
      <c r="H338" s="31">
        <f>IF($K338="","",IF(INDEX('Prospect Tracker'!$K$5:$K$554,$K338)="","",INDEX('Prospect Tracker'!$K$5:$K$554,$K338)))</f>
        <v/>
      </c>
      <c r="I338" s="30">
        <f>IF($K338="","",IF(INDEX('Prospect Tracker'!$T$5:$T$554,$K338)="","",INDEX('Prospect Tracker'!$T$5:$T$554,$K338)))</f>
        <v/>
      </c>
      <c r="J338" s="30">
        <f>IF($K338="","",IF(INDEX('Prospect Tracker'!$L$5:$L$554,$K338)="","",INDEX('Prospect Tracker'!$L$5:$L$554,$K338)))</f>
        <v/>
      </c>
      <c r="K338" s="19">
        <f>IFERROR(MATCH(SMALL('Prospect Tracker'!$X$5:$X$554,ROW()-4),'Prospect Tracker'!$X$5:$X$554,0),"")</f>
        <v/>
      </c>
    </row>
    <row r="339" ht="15" customHeight="1" s="20">
      <c r="A339" s="25">
        <f>IF($K339="","",IF(INDEX('Prospect Tracker'!$W$5:$W$554,$K339)="","",INDEX('Prospect Tracker'!$W$5:$W$554,$K339)))</f>
        <v/>
      </c>
      <c r="B339" s="25">
        <f>IF($K339="","",IF(INDEX('Prospect Tracker'!$A$5:$A$554,$K339)="","",INDEX('Prospect Tracker'!$A$5:$A$554,$K339)))</f>
        <v/>
      </c>
      <c r="C339" s="25">
        <f>IF($K339="","",IF(INDEX('Prospect Tracker'!$B$5:$B$554,$K339)="","",INDEX('Prospect Tracker'!$B$5:$B$554,$K339)))</f>
        <v/>
      </c>
      <c r="D339" s="25">
        <f>IF($K339="","",IF(INDEX('Prospect Tracker'!$M$5:$M$554,$K339)="","",INDEX('Prospect Tracker'!$M$5:$M$554,$K339)))</f>
        <v/>
      </c>
      <c r="E339" s="25">
        <f>IF($K339="","",IF(INDEX('Prospect Tracker'!$R$5:$R$554,$K339)="","",INDEX('Prospect Tracker'!$R$5:$R$554,$K339)))</f>
        <v/>
      </c>
      <c r="F339" s="25">
        <f>IF($K339="","",IF(INDEX('Prospect Tracker'!$J$5:$J$554,$K339)="","",INDEX('Prospect Tracker'!$J$5:$J$554,$K339)))</f>
        <v/>
      </c>
      <c r="G339" s="25">
        <f>IF($K339="","",IF(INDEX('Prospect Tracker'!$H$5:$H$554,$K339)="","",INDEX('Prospect Tracker'!$H$5:$H$554,$K339)))</f>
        <v/>
      </c>
      <c r="H339" s="26">
        <f>IF($K339="","",IF(INDEX('Prospect Tracker'!$K$5:$K$554,$K339)="","",INDEX('Prospect Tracker'!$K$5:$K$554,$K339)))</f>
        <v/>
      </c>
      <c r="I339" s="25">
        <f>IF($K339="","",IF(INDEX('Prospect Tracker'!$T$5:$T$554,$K339)="","",INDEX('Prospect Tracker'!$T$5:$T$554,$K339)))</f>
        <v/>
      </c>
      <c r="J339" s="25">
        <f>IF($K339="","",IF(INDEX('Prospect Tracker'!$L$5:$L$554,$K339)="","",INDEX('Prospect Tracker'!$L$5:$L$554,$K339)))</f>
        <v/>
      </c>
      <c r="K339" s="19">
        <f>IFERROR(MATCH(SMALL('Prospect Tracker'!$X$5:$X$554,ROW()-4),'Prospect Tracker'!$X$5:$X$554,0),"")</f>
        <v/>
      </c>
    </row>
    <row r="340" ht="15" customHeight="1" s="20">
      <c r="A340" s="30">
        <f>IF($K340="","",IF(INDEX('Prospect Tracker'!$W$5:$W$554,$K340)="","",INDEX('Prospect Tracker'!$W$5:$W$554,$K340)))</f>
        <v/>
      </c>
      <c r="B340" s="30">
        <f>IF($K340="","",IF(INDEX('Prospect Tracker'!$A$5:$A$554,$K340)="","",INDEX('Prospect Tracker'!$A$5:$A$554,$K340)))</f>
        <v/>
      </c>
      <c r="C340" s="30">
        <f>IF($K340="","",IF(INDEX('Prospect Tracker'!$B$5:$B$554,$K340)="","",INDEX('Prospect Tracker'!$B$5:$B$554,$K340)))</f>
        <v/>
      </c>
      <c r="D340" s="30">
        <f>IF($K340="","",IF(INDEX('Prospect Tracker'!$M$5:$M$554,$K340)="","",INDEX('Prospect Tracker'!$M$5:$M$554,$K340)))</f>
        <v/>
      </c>
      <c r="E340" s="30">
        <f>IF($K340="","",IF(INDEX('Prospect Tracker'!$R$5:$R$554,$K340)="","",INDEX('Prospect Tracker'!$R$5:$R$554,$K340)))</f>
        <v/>
      </c>
      <c r="F340" s="30">
        <f>IF($K340="","",IF(INDEX('Prospect Tracker'!$J$5:$J$554,$K340)="","",INDEX('Prospect Tracker'!$J$5:$J$554,$K340)))</f>
        <v/>
      </c>
      <c r="G340" s="30">
        <f>IF($K340="","",IF(INDEX('Prospect Tracker'!$H$5:$H$554,$K340)="","",INDEX('Prospect Tracker'!$H$5:$H$554,$K340)))</f>
        <v/>
      </c>
      <c r="H340" s="31">
        <f>IF($K340="","",IF(INDEX('Prospect Tracker'!$K$5:$K$554,$K340)="","",INDEX('Prospect Tracker'!$K$5:$K$554,$K340)))</f>
        <v/>
      </c>
      <c r="I340" s="30">
        <f>IF($K340="","",IF(INDEX('Prospect Tracker'!$T$5:$T$554,$K340)="","",INDEX('Prospect Tracker'!$T$5:$T$554,$K340)))</f>
        <v/>
      </c>
      <c r="J340" s="30">
        <f>IF($K340="","",IF(INDEX('Prospect Tracker'!$L$5:$L$554,$K340)="","",INDEX('Prospect Tracker'!$L$5:$L$554,$K340)))</f>
        <v/>
      </c>
      <c r="K340" s="19">
        <f>IFERROR(MATCH(SMALL('Prospect Tracker'!$X$5:$X$554,ROW()-4),'Prospect Tracker'!$X$5:$X$554,0),"")</f>
        <v/>
      </c>
    </row>
    <row r="341" ht="15" customHeight="1" s="20">
      <c r="A341" s="25">
        <f>IF($K341="","",IF(INDEX('Prospect Tracker'!$W$5:$W$554,$K341)="","",INDEX('Prospect Tracker'!$W$5:$W$554,$K341)))</f>
        <v/>
      </c>
      <c r="B341" s="25">
        <f>IF($K341="","",IF(INDEX('Prospect Tracker'!$A$5:$A$554,$K341)="","",INDEX('Prospect Tracker'!$A$5:$A$554,$K341)))</f>
        <v/>
      </c>
      <c r="C341" s="25">
        <f>IF($K341="","",IF(INDEX('Prospect Tracker'!$B$5:$B$554,$K341)="","",INDEX('Prospect Tracker'!$B$5:$B$554,$K341)))</f>
        <v/>
      </c>
      <c r="D341" s="25">
        <f>IF($K341="","",IF(INDEX('Prospect Tracker'!$M$5:$M$554,$K341)="","",INDEX('Prospect Tracker'!$M$5:$M$554,$K341)))</f>
        <v/>
      </c>
      <c r="E341" s="25">
        <f>IF($K341="","",IF(INDEX('Prospect Tracker'!$R$5:$R$554,$K341)="","",INDEX('Prospect Tracker'!$R$5:$R$554,$K341)))</f>
        <v/>
      </c>
      <c r="F341" s="25">
        <f>IF($K341="","",IF(INDEX('Prospect Tracker'!$J$5:$J$554,$K341)="","",INDEX('Prospect Tracker'!$J$5:$J$554,$K341)))</f>
        <v/>
      </c>
      <c r="G341" s="25">
        <f>IF($K341="","",IF(INDEX('Prospect Tracker'!$H$5:$H$554,$K341)="","",INDEX('Prospect Tracker'!$H$5:$H$554,$K341)))</f>
        <v/>
      </c>
      <c r="H341" s="26">
        <f>IF($K341="","",IF(INDEX('Prospect Tracker'!$K$5:$K$554,$K341)="","",INDEX('Prospect Tracker'!$K$5:$K$554,$K341)))</f>
        <v/>
      </c>
      <c r="I341" s="25">
        <f>IF($K341="","",IF(INDEX('Prospect Tracker'!$T$5:$T$554,$K341)="","",INDEX('Prospect Tracker'!$T$5:$T$554,$K341)))</f>
        <v/>
      </c>
      <c r="J341" s="25">
        <f>IF($K341="","",IF(INDEX('Prospect Tracker'!$L$5:$L$554,$K341)="","",INDEX('Prospect Tracker'!$L$5:$L$554,$K341)))</f>
        <v/>
      </c>
      <c r="K341" s="19">
        <f>IFERROR(MATCH(SMALL('Prospect Tracker'!$X$5:$X$554,ROW()-4),'Prospect Tracker'!$X$5:$X$554,0),"")</f>
        <v/>
      </c>
    </row>
    <row r="342" ht="15" customHeight="1" s="20">
      <c r="A342" s="30">
        <f>IF($K342="","",IF(INDEX('Prospect Tracker'!$W$5:$W$554,$K342)="","",INDEX('Prospect Tracker'!$W$5:$W$554,$K342)))</f>
        <v/>
      </c>
      <c r="B342" s="30">
        <f>IF($K342="","",IF(INDEX('Prospect Tracker'!$A$5:$A$554,$K342)="","",INDEX('Prospect Tracker'!$A$5:$A$554,$K342)))</f>
        <v/>
      </c>
      <c r="C342" s="30">
        <f>IF($K342="","",IF(INDEX('Prospect Tracker'!$B$5:$B$554,$K342)="","",INDEX('Prospect Tracker'!$B$5:$B$554,$K342)))</f>
        <v/>
      </c>
      <c r="D342" s="30">
        <f>IF($K342="","",IF(INDEX('Prospect Tracker'!$M$5:$M$554,$K342)="","",INDEX('Prospect Tracker'!$M$5:$M$554,$K342)))</f>
        <v/>
      </c>
      <c r="E342" s="30">
        <f>IF($K342="","",IF(INDEX('Prospect Tracker'!$R$5:$R$554,$K342)="","",INDEX('Prospect Tracker'!$R$5:$R$554,$K342)))</f>
        <v/>
      </c>
      <c r="F342" s="30">
        <f>IF($K342="","",IF(INDEX('Prospect Tracker'!$J$5:$J$554,$K342)="","",INDEX('Prospect Tracker'!$J$5:$J$554,$K342)))</f>
        <v/>
      </c>
      <c r="G342" s="30">
        <f>IF($K342="","",IF(INDEX('Prospect Tracker'!$H$5:$H$554,$K342)="","",INDEX('Prospect Tracker'!$H$5:$H$554,$K342)))</f>
        <v/>
      </c>
      <c r="H342" s="31">
        <f>IF($K342="","",IF(INDEX('Prospect Tracker'!$K$5:$K$554,$K342)="","",INDEX('Prospect Tracker'!$K$5:$K$554,$K342)))</f>
        <v/>
      </c>
      <c r="I342" s="30">
        <f>IF($K342="","",IF(INDEX('Prospect Tracker'!$T$5:$T$554,$K342)="","",INDEX('Prospect Tracker'!$T$5:$T$554,$K342)))</f>
        <v/>
      </c>
      <c r="J342" s="30">
        <f>IF($K342="","",IF(INDEX('Prospect Tracker'!$L$5:$L$554,$K342)="","",INDEX('Prospect Tracker'!$L$5:$L$554,$K342)))</f>
        <v/>
      </c>
      <c r="K342" s="19">
        <f>IFERROR(MATCH(SMALL('Prospect Tracker'!$X$5:$X$554,ROW()-4),'Prospect Tracker'!$X$5:$X$554,0),"")</f>
        <v/>
      </c>
    </row>
    <row r="343" ht="15" customHeight="1" s="20">
      <c r="A343" s="25">
        <f>IF($K343="","",IF(INDEX('Prospect Tracker'!$W$5:$W$554,$K343)="","",INDEX('Prospect Tracker'!$W$5:$W$554,$K343)))</f>
        <v/>
      </c>
      <c r="B343" s="25">
        <f>IF($K343="","",IF(INDEX('Prospect Tracker'!$A$5:$A$554,$K343)="","",INDEX('Prospect Tracker'!$A$5:$A$554,$K343)))</f>
        <v/>
      </c>
      <c r="C343" s="25">
        <f>IF($K343="","",IF(INDEX('Prospect Tracker'!$B$5:$B$554,$K343)="","",INDEX('Prospect Tracker'!$B$5:$B$554,$K343)))</f>
        <v/>
      </c>
      <c r="D343" s="25">
        <f>IF($K343="","",IF(INDEX('Prospect Tracker'!$M$5:$M$554,$K343)="","",INDEX('Prospect Tracker'!$M$5:$M$554,$K343)))</f>
        <v/>
      </c>
      <c r="E343" s="25">
        <f>IF($K343="","",IF(INDEX('Prospect Tracker'!$R$5:$R$554,$K343)="","",INDEX('Prospect Tracker'!$R$5:$R$554,$K343)))</f>
        <v/>
      </c>
      <c r="F343" s="25">
        <f>IF($K343="","",IF(INDEX('Prospect Tracker'!$J$5:$J$554,$K343)="","",INDEX('Prospect Tracker'!$J$5:$J$554,$K343)))</f>
        <v/>
      </c>
      <c r="G343" s="25">
        <f>IF($K343="","",IF(INDEX('Prospect Tracker'!$H$5:$H$554,$K343)="","",INDEX('Prospect Tracker'!$H$5:$H$554,$K343)))</f>
        <v/>
      </c>
      <c r="H343" s="26">
        <f>IF($K343="","",IF(INDEX('Prospect Tracker'!$K$5:$K$554,$K343)="","",INDEX('Prospect Tracker'!$K$5:$K$554,$K343)))</f>
        <v/>
      </c>
      <c r="I343" s="25">
        <f>IF($K343="","",IF(INDEX('Prospect Tracker'!$T$5:$T$554,$K343)="","",INDEX('Prospect Tracker'!$T$5:$T$554,$K343)))</f>
        <v/>
      </c>
      <c r="J343" s="25">
        <f>IF($K343="","",IF(INDEX('Prospect Tracker'!$L$5:$L$554,$K343)="","",INDEX('Prospect Tracker'!$L$5:$L$554,$K343)))</f>
        <v/>
      </c>
      <c r="K343" s="19">
        <f>IFERROR(MATCH(SMALL('Prospect Tracker'!$X$5:$X$554,ROW()-4),'Prospect Tracker'!$X$5:$X$554,0),"")</f>
        <v/>
      </c>
    </row>
    <row r="344" ht="15" customHeight="1" s="20">
      <c r="A344" s="30">
        <f>IF($K344="","",IF(INDEX('Prospect Tracker'!$W$5:$W$554,$K344)="","",INDEX('Prospect Tracker'!$W$5:$W$554,$K344)))</f>
        <v/>
      </c>
      <c r="B344" s="30">
        <f>IF($K344="","",IF(INDEX('Prospect Tracker'!$A$5:$A$554,$K344)="","",INDEX('Prospect Tracker'!$A$5:$A$554,$K344)))</f>
        <v/>
      </c>
      <c r="C344" s="30">
        <f>IF($K344="","",IF(INDEX('Prospect Tracker'!$B$5:$B$554,$K344)="","",INDEX('Prospect Tracker'!$B$5:$B$554,$K344)))</f>
        <v/>
      </c>
      <c r="D344" s="30">
        <f>IF($K344="","",IF(INDEX('Prospect Tracker'!$M$5:$M$554,$K344)="","",INDEX('Prospect Tracker'!$M$5:$M$554,$K344)))</f>
        <v/>
      </c>
      <c r="E344" s="30">
        <f>IF($K344="","",IF(INDEX('Prospect Tracker'!$R$5:$R$554,$K344)="","",INDEX('Prospect Tracker'!$R$5:$R$554,$K344)))</f>
        <v/>
      </c>
      <c r="F344" s="30">
        <f>IF($K344="","",IF(INDEX('Prospect Tracker'!$J$5:$J$554,$K344)="","",INDEX('Prospect Tracker'!$J$5:$J$554,$K344)))</f>
        <v/>
      </c>
      <c r="G344" s="30">
        <f>IF($K344="","",IF(INDEX('Prospect Tracker'!$H$5:$H$554,$K344)="","",INDEX('Prospect Tracker'!$H$5:$H$554,$K344)))</f>
        <v/>
      </c>
      <c r="H344" s="31">
        <f>IF($K344="","",IF(INDEX('Prospect Tracker'!$K$5:$K$554,$K344)="","",INDEX('Prospect Tracker'!$K$5:$K$554,$K344)))</f>
        <v/>
      </c>
      <c r="I344" s="30">
        <f>IF($K344="","",IF(INDEX('Prospect Tracker'!$T$5:$T$554,$K344)="","",INDEX('Prospect Tracker'!$T$5:$T$554,$K344)))</f>
        <v/>
      </c>
      <c r="J344" s="30">
        <f>IF($K344="","",IF(INDEX('Prospect Tracker'!$L$5:$L$554,$K344)="","",INDEX('Prospect Tracker'!$L$5:$L$554,$K344)))</f>
        <v/>
      </c>
      <c r="K344" s="19">
        <f>IFERROR(MATCH(SMALL('Prospect Tracker'!$X$5:$X$554,ROW()-4),'Prospect Tracker'!$X$5:$X$554,0),"")</f>
        <v/>
      </c>
    </row>
    <row r="345" ht="15" customHeight="1" s="20">
      <c r="A345" s="25">
        <f>IF($K345="","",IF(INDEX('Prospect Tracker'!$W$5:$W$554,$K345)="","",INDEX('Prospect Tracker'!$W$5:$W$554,$K345)))</f>
        <v/>
      </c>
      <c r="B345" s="25">
        <f>IF($K345="","",IF(INDEX('Prospect Tracker'!$A$5:$A$554,$K345)="","",INDEX('Prospect Tracker'!$A$5:$A$554,$K345)))</f>
        <v/>
      </c>
      <c r="C345" s="25">
        <f>IF($K345="","",IF(INDEX('Prospect Tracker'!$B$5:$B$554,$K345)="","",INDEX('Prospect Tracker'!$B$5:$B$554,$K345)))</f>
        <v/>
      </c>
      <c r="D345" s="25">
        <f>IF($K345="","",IF(INDEX('Prospect Tracker'!$M$5:$M$554,$K345)="","",INDEX('Prospect Tracker'!$M$5:$M$554,$K345)))</f>
        <v/>
      </c>
      <c r="E345" s="25">
        <f>IF($K345="","",IF(INDEX('Prospect Tracker'!$R$5:$R$554,$K345)="","",INDEX('Prospect Tracker'!$R$5:$R$554,$K345)))</f>
        <v/>
      </c>
      <c r="F345" s="25">
        <f>IF($K345="","",IF(INDEX('Prospect Tracker'!$J$5:$J$554,$K345)="","",INDEX('Prospect Tracker'!$J$5:$J$554,$K345)))</f>
        <v/>
      </c>
      <c r="G345" s="25">
        <f>IF($K345="","",IF(INDEX('Prospect Tracker'!$H$5:$H$554,$K345)="","",INDEX('Prospect Tracker'!$H$5:$H$554,$K345)))</f>
        <v/>
      </c>
      <c r="H345" s="26">
        <f>IF($K345="","",IF(INDEX('Prospect Tracker'!$K$5:$K$554,$K345)="","",INDEX('Prospect Tracker'!$K$5:$K$554,$K345)))</f>
        <v/>
      </c>
      <c r="I345" s="25">
        <f>IF($K345="","",IF(INDEX('Prospect Tracker'!$T$5:$T$554,$K345)="","",INDEX('Prospect Tracker'!$T$5:$T$554,$K345)))</f>
        <v/>
      </c>
      <c r="J345" s="25">
        <f>IF($K345="","",IF(INDEX('Prospect Tracker'!$L$5:$L$554,$K345)="","",INDEX('Prospect Tracker'!$L$5:$L$554,$K345)))</f>
        <v/>
      </c>
      <c r="K345" s="19">
        <f>IFERROR(MATCH(SMALL('Prospect Tracker'!$X$5:$X$554,ROW()-4),'Prospect Tracker'!$X$5:$X$554,0),"")</f>
        <v/>
      </c>
    </row>
    <row r="346" ht="15" customHeight="1" s="20">
      <c r="A346" s="30">
        <f>IF($K346="","",IF(INDEX('Prospect Tracker'!$W$5:$W$554,$K346)="","",INDEX('Prospect Tracker'!$W$5:$W$554,$K346)))</f>
        <v/>
      </c>
      <c r="B346" s="30">
        <f>IF($K346="","",IF(INDEX('Prospect Tracker'!$A$5:$A$554,$K346)="","",INDEX('Prospect Tracker'!$A$5:$A$554,$K346)))</f>
        <v/>
      </c>
      <c r="C346" s="30">
        <f>IF($K346="","",IF(INDEX('Prospect Tracker'!$B$5:$B$554,$K346)="","",INDEX('Prospect Tracker'!$B$5:$B$554,$K346)))</f>
        <v/>
      </c>
      <c r="D346" s="30">
        <f>IF($K346="","",IF(INDEX('Prospect Tracker'!$M$5:$M$554,$K346)="","",INDEX('Prospect Tracker'!$M$5:$M$554,$K346)))</f>
        <v/>
      </c>
      <c r="E346" s="30">
        <f>IF($K346="","",IF(INDEX('Prospect Tracker'!$R$5:$R$554,$K346)="","",INDEX('Prospect Tracker'!$R$5:$R$554,$K346)))</f>
        <v/>
      </c>
      <c r="F346" s="30">
        <f>IF($K346="","",IF(INDEX('Prospect Tracker'!$J$5:$J$554,$K346)="","",INDEX('Prospect Tracker'!$J$5:$J$554,$K346)))</f>
        <v/>
      </c>
      <c r="G346" s="30">
        <f>IF($K346="","",IF(INDEX('Prospect Tracker'!$H$5:$H$554,$K346)="","",INDEX('Prospect Tracker'!$H$5:$H$554,$K346)))</f>
        <v/>
      </c>
      <c r="H346" s="31">
        <f>IF($K346="","",IF(INDEX('Prospect Tracker'!$K$5:$K$554,$K346)="","",INDEX('Prospect Tracker'!$K$5:$K$554,$K346)))</f>
        <v/>
      </c>
      <c r="I346" s="30">
        <f>IF($K346="","",IF(INDEX('Prospect Tracker'!$T$5:$T$554,$K346)="","",INDEX('Prospect Tracker'!$T$5:$T$554,$K346)))</f>
        <v/>
      </c>
      <c r="J346" s="30">
        <f>IF($K346="","",IF(INDEX('Prospect Tracker'!$L$5:$L$554,$K346)="","",INDEX('Prospect Tracker'!$L$5:$L$554,$K346)))</f>
        <v/>
      </c>
      <c r="K346" s="19">
        <f>IFERROR(MATCH(SMALL('Prospect Tracker'!$X$5:$X$554,ROW()-4),'Prospect Tracker'!$X$5:$X$554,0),"")</f>
        <v/>
      </c>
    </row>
    <row r="347" ht="15" customHeight="1" s="20">
      <c r="A347" s="25">
        <f>IF($K347="","",IF(INDEX('Prospect Tracker'!$W$5:$W$554,$K347)="","",INDEX('Prospect Tracker'!$W$5:$W$554,$K347)))</f>
        <v/>
      </c>
      <c r="B347" s="25">
        <f>IF($K347="","",IF(INDEX('Prospect Tracker'!$A$5:$A$554,$K347)="","",INDEX('Prospect Tracker'!$A$5:$A$554,$K347)))</f>
        <v/>
      </c>
      <c r="C347" s="25">
        <f>IF($K347="","",IF(INDEX('Prospect Tracker'!$B$5:$B$554,$K347)="","",INDEX('Prospect Tracker'!$B$5:$B$554,$K347)))</f>
        <v/>
      </c>
      <c r="D347" s="25">
        <f>IF($K347="","",IF(INDEX('Prospect Tracker'!$M$5:$M$554,$K347)="","",INDEX('Prospect Tracker'!$M$5:$M$554,$K347)))</f>
        <v/>
      </c>
      <c r="E347" s="25">
        <f>IF($K347="","",IF(INDEX('Prospect Tracker'!$R$5:$R$554,$K347)="","",INDEX('Prospect Tracker'!$R$5:$R$554,$K347)))</f>
        <v/>
      </c>
      <c r="F347" s="25">
        <f>IF($K347="","",IF(INDEX('Prospect Tracker'!$J$5:$J$554,$K347)="","",INDEX('Prospect Tracker'!$J$5:$J$554,$K347)))</f>
        <v/>
      </c>
      <c r="G347" s="25">
        <f>IF($K347="","",IF(INDEX('Prospect Tracker'!$H$5:$H$554,$K347)="","",INDEX('Prospect Tracker'!$H$5:$H$554,$K347)))</f>
        <v/>
      </c>
      <c r="H347" s="26">
        <f>IF($K347="","",IF(INDEX('Prospect Tracker'!$K$5:$K$554,$K347)="","",INDEX('Prospect Tracker'!$K$5:$K$554,$K347)))</f>
        <v/>
      </c>
      <c r="I347" s="25">
        <f>IF($K347="","",IF(INDEX('Prospect Tracker'!$T$5:$T$554,$K347)="","",INDEX('Prospect Tracker'!$T$5:$T$554,$K347)))</f>
        <v/>
      </c>
      <c r="J347" s="25">
        <f>IF($K347="","",IF(INDEX('Prospect Tracker'!$L$5:$L$554,$K347)="","",INDEX('Prospect Tracker'!$L$5:$L$554,$K347)))</f>
        <v/>
      </c>
      <c r="K347" s="19">
        <f>IFERROR(MATCH(SMALL('Prospect Tracker'!$X$5:$X$554,ROW()-4),'Prospect Tracker'!$X$5:$X$554,0),"")</f>
        <v/>
      </c>
    </row>
    <row r="348" ht="15" customHeight="1" s="20">
      <c r="A348" s="30">
        <f>IF($K348="","",IF(INDEX('Prospect Tracker'!$W$5:$W$554,$K348)="","",INDEX('Prospect Tracker'!$W$5:$W$554,$K348)))</f>
        <v/>
      </c>
      <c r="B348" s="30">
        <f>IF($K348="","",IF(INDEX('Prospect Tracker'!$A$5:$A$554,$K348)="","",INDEX('Prospect Tracker'!$A$5:$A$554,$K348)))</f>
        <v/>
      </c>
      <c r="C348" s="30">
        <f>IF($K348="","",IF(INDEX('Prospect Tracker'!$B$5:$B$554,$K348)="","",INDEX('Prospect Tracker'!$B$5:$B$554,$K348)))</f>
        <v/>
      </c>
      <c r="D348" s="30">
        <f>IF($K348="","",IF(INDEX('Prospect Tracker'!$M$5:$M$554,$K348)="","",INDEX('Prospect Tracker'!$M$5:$M$554,$K348)))</f>
        <v/>
      </c>
      <c r="E348" s="30">
        <f>IF($K348="","",IF(INDEX('Prospect Tracker'!$R$5:$R$554,$K348)="","",INDEX('Prospect Tracker'!$R$5:$R$554,$K348)))</f>
        <v/>
      </c>
      <c r="F348" s="30">
        <f>IF($K348="","",IF(INDEX('Prospect Tracker'!$J$5:$J$554,$K348)="","",INDEX('Prospect Tracker'!$J$5:$J$554,$K348)))</f>
        <v/>
      </c>
      <c r="G348" s="30">
        <f>IF($K348="","",IF(INDEX('Prospect Tracker'!$H$5:$H$554,$K348)="","",INDEX('Prospect Tracker'!$H$5:$H$554,$K348)))</f>
        <v/>
      </c>
      <c r="H348" s="31">
        <f>IF($K348="","",IF(INDEX('Prospect Tracker'!$K$5:$K$554,$K348)="","",INDEX('Prospect Tracker'!$K$5:$K$554,$K348)))</f>
        <v/>
      </c>
      <c r="I348" s="30">
        <f>IF($K348="","",IF(INDEX('Prospect Tracker'!$T$5:$T$554,$K348)="","",INDEX('Prospect Tracker'!$T$5:$T$554,$K348)))</f>
        <v/>
      </c>
      <c r="J348" s="30">
        <f>IF($K348="","",IF(INDEX('Prospect Tracker'!$L$5:$L$554,$K348)="","",INDEX('Prospect Tracker'!$L$5:$L$554,$K348)))</f>
        <v/>
      </c>
      <c r="K348" s="19">
        <f>IFERROR(MATCH(SMALL('Prospect Tracker'!$X$5:$X$554,ROW()-4),'Prospect Tracker'!$X$5:$X$554,0),"")</f>
        <v/>
      </c>
    </row>
    <row r="349" ht="15" customHeight="1" s="20">
      <c r="A349" s="25">
        <f>IF($K349="","",IF(INDEX('Prospect Tracker'!$W$5:$W$554,$K349)="","",INDEX('Prospect Tracker'!$W$5:$W$554,$K349)))</f>
        <v/>
      </c>
      <c r="B349" s="25">
        <f>IF($K349="","",IF(INDEX('Prospect Tracker'!$A$5:$A$554,$K349)="","",INDEX('Prospect Tracker'!$A$5:$A$554,$K349)))</f>
        <v/>
      </c>
      <c r="C349" s="25">
        <f>IF($K349="","",IF(INDEX('Prospect Tracker'!$B$5:$B$554,$K349)="","",INDEX('Prospect Tracker'!$B$5:$B$554,$K349)))</f>
        <v/>
      </c>
      <c r="D349" s="25">
        <f>IF($K349="","",IF(INDEX('Prospect Tracker'!$M$5:$M$554,$K349)="","",INDEX('Prospect Tracker'!$M$5:$M$554,$K349)))</f>
        <v/>
      </c>
      <c r="E349" s="25">
        <f>IF($K349="","",IF(INDEX('Prospect Tracker'!$R$5:$R$554,$K349)="","",INDEX('Prospect Tracker'!$R$5:$R$554,$K349)))</f>
        <v/>
      </c>
      <c r="F349" s="25">
        <f>IF($K349="","",IF(INDEX('Prospect Tracker'!$J$5:$J$554,$K349)="","",INDEX('Prospect Tracker'!$J$5:$J$554,$K349)))</f>
        <v/>
      </c>
      <c r="G349" s="25">
        <f>IF($K349="","",IF(INDEX('Prospect Tracker'!$H$5:$H$554,$K349)="","",INDEX('Prospect Tracker'!$H$5:$H$554,$K349)))</f>
        <v/>
      </c>
      <c r="H349" s="26">
        <f>IF($K349="","",IF(INDEX('Prospect Tracker'!$K$5:$K$554,$K349)="","",INDEX('Prospect Tracker'!$K$5:$K$554,$K349)))</f>
        <v/>
      </c>
      <c r="I349" s="25">
        <f>IF($K349="","",IF(INDEX('Prospect Tracker'!$T$5:$T$554,$K349)="","",INDEX('Prospect Tracker'!$T$5:$T$554,$K349)))</f>
        <v/>
      </c>
      <c r="J349" s="25">
        <f>IF($K349="","",IF(INDEX('Prospect Tracker'!$L$5:$L$554,$K349)="","",INDEX('Prospect Tracker'!$L$5:$L$554,$K349)))</f>
        <v/>
      </c>
      <c r="K349" s="19">
        <f>IFERROR(MATCH(SMALL('Prospect Tracker'!$X$5:$X$554,ROW()-4),'Prospect Tracker'!$X$5:$X$554,0),"")</f>
        <v/>
      </c>
    </row>
    <row r="350" ht="15" customHeight="1" s="20">
      <c r="A350" s="30">
        <f>IF($K350="","",IF(INDEX('Prospect Tracker'!$W$5:$W$554,$K350)="","",INDEX('Prospect Tracker'!$W$5:$W$554,$K350)))</f>
        <v/>
      </c>
      <c r="B350" s="30">
        <f>IF($K350="","",IF(INDEX('Prospect Tracker'!$A$5:$A$554,$K350)="","",INDEX('Prospect Tracker'!$A$5:$A$554,$K350)))</f>
        <v/>
      </c>
      <c r="C350" s="30">
        <f>IF($K350="","",IF(INDEX('Prospect Tracker'!$B$5:$B$554,$K350)="","",INDEX('Prospect Tracker'!$B$5:$B$554,$K350)))</f>
        <v/>
      </c>
      <c r="D350" s="30">
        <f>IF($K350="","",IF(INDEX('Prospect Tracker'!$M$5:$M$554,$K350)="","",INDEX('Prospect Tracker'!$M$5:$M$554,$K350)))</f>
        <v/>
      </c>
      <c r="E350" s="30">
        <f>IF($K350="","",IF(INDEX('Prospect Tracker'!$R$5:$R$554,$K350)="","",INDEX('Prospect Tracker'!$R$5:$R$554,$K350)))</f>
        <v/>
      </c>
      <c r="F350" s="30">
        <f>IF($K350="","",IF(INDEX('Prospect Tracker'!$J$5:$J$554,$K350)="","",INDEX('Prospect Tracker'!$J$5:$J$554,$K350)))</f>
        <v/>
      </c>
      <c r="G350" s="30">
        <f>IF($K350="","",IF(INDEX('Prospect Tracker'!$H$5:$H$554,$K350)="","",INDEX('Prospect Tracker'!$H$5:$H$554,$K350)))</f>
        <v/>
      </c>
      <c r="H350" s="31">
        <f>IF($K350="","",IF(INDEX('Prospect Tracker'!$K$5:$K$554,$K350)="","",INDEX('Prospect Tracker'!$K$5:$K$554,$K350)))</f>
        <v/>
      </c>
      <c r="I350" s="30">
        <f>IF($K350="","",IF(INDEX('Prospect Tracker'!$T$5:$T$554,$K350)="","",INDEX('Prospect Tracker'!$T$5:$T$554,$K350)))</f>
        <v/>
      </c>
      <c r="J350" s="30">
        <f>IF($K350="","",IF(INDEX('Prospect Tracker'!$L$5:$L$554,$K350)="","",INDEX('Prospect Tracker'!$L$5:$L$554,$K350)))</f>
        <v/>
      </c>
      <c r="K350" s="19">
        <f>IFERROR(MATCH(SMALL('Prospect Tracker'!$X$5:$X$554,ROW()-4),'Prospect Tracker'!$X$5:$X$554,0),"")</f>
        <v/>
      </c>
    </row>
    <row r="351" ht="15" customHeight="1" s="20">
      <c r="A351" s="25">
        <f>IF($K351="","",IF(INDEX('Prospect Tracker'!$W$5:$W$554,$K351)="","",INDEX('Prospect Tracker'!$W$5:$W$554,$K351)))</f>
        <v/>
      </c>
      <c r="B351" s="25">
        <f>IF($K351="","",IF(INDEX('Prospect Tracker'!$A$5:$A$554,$K351)="","",INDEX('Prospect Tracker'!$A$5:$A$554,$K351)))</f>
        <v/>
      </c>
      <c r="C351" s="25">
        <f>IF($K351="","",IF(INDEX('Prospect Tracker'!$B$5:$B$554,$K351)="","",INDEX('Prospect Tracker'!$B$5:$B$554,$K351)))</f>
        <v/>
      </c>
      <c r="D351" s="25">
        <f>IF($K351="","",IF(INDEX('Prospect Tracker'!$M$5:$M$554,$K351)="","",INDEX('Prospect Tracker'!$M$5:$M$554,$K351)))</f>
        <v/>
      </c>
      <c r="E351" s="25">
        <f>IF($K351="","",IF(INDEX('Prospect Tracker'!$R$5:$R$554,$K351)="","",INDEX('Prospect Tracker'!$R$5:$R$554,$K351)))</f>
        <v/>
      </c>
      <c r="F351" s="25">
        <f>IF($K351="","",IF(INDEX('Prospect Tracker'!$J$5:$J$554,$K351)="","",INDEX('Prospect Tracker'!$J$5:$J$554,$K351)))</f>
        <v/>
      </c>
      <c r="G351" s="25">
        <f>IF($K351="","",IF(INDEX('Prospect Tracker'!$H$5:$H$554,$K351)="","",INDEX('Prospect Tracker'!$H$5:$H$554,$K351)))</f>
        <v/>
      </c>
      <c r="H351" s="26">
        <f>IF($K351="","",IF(INDEX('Prospect Tracker'!$K$5:$K$554,$K351)="","",INDEX('Prospect Tracker'!$K$5:$K$554,$K351)))</f>
        <v/>
      </c>
      <c r="I351" s="25">
        <f>IF($K351="","",IF(INDEX('Prospect Tracker'!$T$5:$T$554,$K351)="","",INDEX('Prospect Tracker'!$T$5:$T$554,$K351)))</f>
        <v/>
      </c>
      <c r="J351" s="25">
        <f>IF($K351="","",IF(INDEX('Prospect Tracker'!$L$5:$L$554,$K351)="","",INDEX('Prospect Tracker'!$L$5:$L$554,$K351)))</f>
        <v/>
      </c>
      <c r="K351" s="19">
        <f>IFERROR(MATCH(SMALL('Prospect Tracker'!$X$5:$X$554,ROW()-4),'Prospect Tracker'!$X$5:$X$554,0),"")</f>
        <v/>
      </c>
    </row>
    <row r="352" ht="15" customHeight="1" s="20">
      <c r="A352" s="30">
        <f>IF($K352="","",IF(INDEX('Prospect Tracker'!$W$5:$W$554,$K352)="","",INDEX('Prospect Tracker'!$W$5:$W$554,$K352)))</f>
        <v/>
      </c>
      <c r="B352" s="30">
        <f>IF($K352="","",IF(INDEX('Prospect Tracker'!$A$5:$A$554,$K352)="","",INDEX('Prospect Tracker'!$A$5:$A$554,$K352)))</f>
        <v/>
      </c>
      <c r="C352" s="30">
        <f>IF($K352="","",IF(INDEX('Prospect Tracker'!$B$5:$B$554,$K352)="","",INDEX('Prospect Tracker'!$B$5:$B$554,$K352)))</f>
        <v/>
      </c>
      <c r="D352" s="30">
        <f>IF($K352="","",IF(INDEX('Prospect Tracker'!$M$5:$M$554,$K352)="","",INDEX('Prospect Tracker'!$M$5:$M$554,$K352)))</f>
        <v/>
      </c>
      <c r="E352" s="30">
        <f>IF($K352="","",IF(INDEX('Prospect Tracker'!$R$5:$R$554,$K352)="","",INDEX('Prospect Tracker'!$R$5:$R$554,$K352)))</f>
        <v/>
      </c>
      <c r="F352" s="30">
        <f>IF($K352="","",IF(INDEX('Prospect Tracker'!$J$5:$J$554,$K352)="","",INDEX('Prospect Tracker'!$J$5:$J$554,$K352)))</f>
        <v/>
      </c>
      <c r="G352" s="30">
        <f>IF($K352="","",IF(INDEX('Prospect Tracker'!$H$5:$H$554,$K352)="","",INDEX('Prospect Tracker'!$H$5:$H$554,$K352)))</f>
        <v/>
      </c>
      <c r="H352" s="31">
        <f>IF($K352="","",IF(INDEX('Prospect Tracker'!$K$5:$K$554,$K352)="","",INDEX('Prospect Tracker'!$K$5:$K$554,$K352)))</f>
        <v/>
      </c>
      <c r="I352" s="30">
        <f>IF($K352="","",IF(INDEX('Prospect Tracker'!$T$5:$T$554,$K352)="","",INDEX('Prospect Tracker'!$T$5:$T$554,$K352)))</f>
        <v/>
      </c>
      <c r="J352" s="30">
        <f>IF($K352="","",IF(INDEX('Prospect Tracker'!$L$5:$L$554,$K352)="","",INDEX('Prospect Tracker'!$L$5:$L$554,$K352)))</f>
        <v/>
      </c>
      <c r="K352" s="19">
        <f>IFERROR(MATCH(SMALL('Prospect Tracker'!$X$5:$X$554,ROW()-4),'Prospect Tracker'!$X$5:$X$554,0),"")</f>
        <v/>
      </c>
    </row>
    <row r="353" ht="15" customHeight="1" s="20">
      <c r="A353" s="25">
        <f>IF($K353="","",IF(INDEX('Prospect Tracker'!$W$5:$W$554,$K353)="","",INDEX('Prospect Tracker'!$W$5:$W$554,$K353)))</f>
        <v/>
      </c>
      <c r="B353" s="25">
        <f>IF($K353="","",IF(INDEX('Prospect Tracker'!$A$5:$A$554,$K353)="","",INDEX('Prospect Tracker'!$A$5:$A$554,$K353)))</f>
        <v/>
      </c>
      <c r="C353" s="25">
        <f>IF($K353="","",IF(INDEX('Prospect Tracker'!$B$5:$B$554,$K353)="","",INDEX('Prospect Tracker'!$B$5:$B$554,$K353)))</f>
        <v/>
      </c>
      <c r="D353" s="25">
        <f>IF($K353="","",IF(INDEX('Prospect Tracker'!$M$5:$M$554,$K353)="","",INDEX('Prospect Tracker'!$M$5:$M$554,$K353)))</f>
        <v/>
      </c>
      <c r="E353" s="25">
        <f>IF($K353="","",IF(INDEX('Prospect Tracker'!$R$5:$R$554,$K353)="","",INDEX('Prospect Tracker'!$R$5:$R$554,$K353)))</f>
        <v/>
      </c>
      <c r="F353" s="25">
        <f>IF($K353="","",IF(INDEX('Prospect Tracker'!$J$5:$J$554,$K353)="","",INDEX('Prospect Tracker'!$J$5:$J$554,$K353)))</f>
        <v/>
      </c>
      <c r="G353" s="25">
        <f>IF($K353="","",IF(INDEX('Prospect Tracker'!$H$5:$H$554,$K353)="","",INDEX('Prospect Tracker'!$H$5:$H$554,$K353)))</f>
        <v/>
      </c>
      <c r="H353" s="26">
        <f>IF($K353="","",IF(INDEX('Prospect Tracker'!$K$5:$K$554,$K353)="","",INDEX('Prospect Tracker'!$K$5:$K$554,$K353)))</f>
        <v/>
      </c>
      <c r="I353" s="25">
        <f>IF($K353="","",IF(INDEX('Prospect Tracker'!$T$5:$T$554,$K353)="","",INDEX('Prospect Tracker'!$T$5:$T$554,$K353)))</f>
        <v/>
      </c>
      <c r="J353" s="25">
        <f>IF($K353="","",IF(INDEX('Prospect Tracker'!$L$5:$L$554,$K353)="","",INDEX('Prospect Tracker'!$L$5:$L$554,$K353)))</f>
        <v/>
      </c>
      <c r="K353" s="19">
        <f>IFERROR(MATCH(SMALL('Prospect Tracker'!$X$5:$X$554,ROW()-4),'Prospect Tracker'!$X$5:$X$554,0),"")</f>
        <v/>
      </c>
    </row>
    <row r="354" ht="15" customHeight="1" s="20">
      <c r="A354" s="30">
        <f>IF($K354="","",IF(INDEX('Prospect Tracker'!$W$5:$W$554,$K354)="","",INDEX('Prospect Tracker'!$W$5:$W$554,$K354)))</f>
        <v/>
      </c>
      <c r="B354" s="30">
        <f>IF($K354="","",IF(INDEX('Prospect Tracker'!$A$5:$A$554,$K354)="","",INDEX('Prospect Tracker'!$A$5:$A$554,$K354)))</f>
        <v/>
      </c>
      <c r="C354" s="30">
        <f>IF($K354="","",IF(INDEX('Prospect Tracker'!$B$5:$B$554,$K354)="","",INDEX('Prospect Tracker'!$B$5:$B$554,$K354)))</f>
        <v/>
      </c>
      <c r="D354" s="30">
        <f>IF($K354="","",IF(INDEX('Prospect Tracker'!$M$5:$M$554,$K354)="","",INDEX('Prospect Tracker'!$M$5:$M$554,$K354)))</f>
        <v/>
      </c>
      <c r="E354" s="30">
        <f>IF($K354="","",IF(INDEX('Prospect Tracker'!$R$5:$R$554,$K354)="","",INDEX('Prospect Tracker'!$R$5:$R$554,$K354)))</f>
        <v/>
      </c>
      <c r="F354" s="30">
        <f>IF($K354="","",IF(INDEX('Prospect Tracker'!$J$5:$J$554,$K354)="","",INDEX('Prospect Tracker'!$J$5:$J$554,$K354)))</f>
        <v/>
      </c>
      <c r="G354" s="30">
        <f>IF($K354="","",IF(INDEX('Prospect Tracker'!$H$5:$H$554,$K354)="","",INDEX('Prospect Tracker'!$H$5:$H$554,$K354)))</f>
        <v/>
      </c>
      <c r="H354" s="31">
        <f>IF($K354="","",IF(INDEX('Prospect Tracker'!$K$5:$K$554,$K354)="","",INDEX('Prospect Tracker'!$K$5:$K$554,$K354)))</f>
        <v/>
      </c>
      <c r="I354" s="30">
        <f>IF($K354="","",IF(INDEX('Prospect Tracker'!$T$5:$T$554,$K354)="","",INDEX('Prospect Tracker'!$T$5:$T$554,$K354)))</f>
        <v/>
      </c>
      <c r="J354" s="30">
        <f>IF($K354="","",IF(INDEX('Prospect Tracker'!$L$5:$L$554,$K354)="","",INDEX('Prospect Tracker'!$L$5:$L$554,$K354)))</f>
        <v/>
      </c>
      <c r="K354" s="19">
        <f>IFERROR(MATCH(SMALL('Prospect Tracker'!$X$5:$X$554,ROW()-4),'Prospect Tracker'!$X$5:$X$554,0),"")</f>
        <v/>
      </c>
    </row>
    <row r="355" ht="15" customHeight="1" s="20">
      <c r="A355" s="25">
        <f>IF($K355="","",IF(INDEX('Prospect Tracker'!$W$5:$W$554,$K355)="","",INDEX('Prospect Tracker'!$W$5:$W$554,$K355)))</f>
        <v/>
      </c>
      <c r="B355" s="25">
        <f>IF($K355="","",IF(INDEX('Prospect Tracker'!$A$5:$A$554,$K355)="","",INDEX('Prospect Tracker'!$A$5:$A$554,$K355)))</f>
        <v/>
      </c>
      <c r="C355" s="25">
        <f>IF($K355="","",IF(INDEX('Prospect Tracker'!$B$5:$B$554,$K355)="","",INDEX('Prospect Tracker'!$B$5:$B$554,$K355)))</f>
        <v/>
      </c>
      <c r="D355" s="25">
        <f>IF($K355="","",IF(INDEX('Prospect Tracker'!$M$5:$M$554,$K355)="","",INDEX('Prospect Tracker'!$M$5:$M$554,$K355)))</f>
        <v/>
      </c>
      <c r="E355" s="25">
        <f>IF($K355="","",IF(INDEX('Prospect Tracker'!$R$5:$R$554,$K355)="","",INDEX('Prospect Tracker'!$R$5:$R$554,$K355)))</f>
        <v/>
      </c>
      <c r="F355" s="25">
        <f>IF($K355="","",IF(INDEX('Prospect Tracker'!$J$5:$J$554,$K355)="","",INDEX('Prospect Tracker'!$J$5:$J$554,$K355)))</f>
        <v/>
      </c>
      <c r="G355" s="25">
        <f>IF($K355="","",IF(INDEX('Prospect Tracker'!$H$5:$H$554,$K355)="","",INDEX('Prospect Tracker'!$H$5:$H$554,$K355)))</f>
        <v/>
      </c>
      <c r="H355" s="26">
        <f>IF($K355="","",IF(INDEX('Prospect Tracker'!$K$5:$K$554,$K355)="","",INDEX('Prospect Tracker'!$K$5:$K$554,$K355)))</f>
        <v/>
      </c>
      <c r="I355" s="25">
        <f>IF($K355="","",IF(INDEX('Prospect Tracker'!$T$5:$T$554,$K355)="","",INDEX('Prospect Tracker'!$T$5:$T$554,$K355)))</f>
        <v/>
      </c>
      <c r="J355" s="25">
        <f>IF($K355="","",IF(INDEX('Prospect Tracker'!$L$5:$L$554,$K355)="","",INDEX('Prospect Tracker'!$L$5:$L$554,$K355)))</f>
        <v/>
      </c>
      <c r="K355" s="19">
        <f>IFERROR(MATCH(SMALL('Prospect Tracker'!$X$5:$X$554,ROW()-4),'Prospect Tracker'!$X$5:$X$554,0),"")</f>
        <v/>
      </c>
    </row>
    <row r="356" ht="15" customHeight="1" s="20">
      <c r="A356" s="30">
        <f>IF($K356="","",IF(INDEX('Prospect Tracker'!$W$5:$W$554,$K356)="","",INDEX('Prospect Tracker'!$W$5:$W$554,$K356)))</f>
        <v/>
      </c>
      <c r="B356" s="30">
        <f>IF($K356="","",IF(INDEX('Prospect Tracker'!$A$5:$A$554,$K356)="","",INDEX('Prospect Tracker'!$A$5:$A$554,$K356)))</f>
        <v/>
      </c>
      <c r="C356" s="30">
        <f>IF($K356="","",IF(INDEX('Prospect Tracker'!$B$5:$B$554,$K356)="","",INDEX('Prospect Tracker'!$B$5:$B$554,$K356)))</f>
        <v/>
      </c>
      <c r="D356" s="30">
        <f>IF($K356="","",IF(INDEX('Prospect Tracker'!$M$5:$M$554,$K356)="","",INDEX('Prospect Tracker'!$M$5:$M$554,$K356)))</f>
        <v/>
      </c>
      <c r="E356" s="30">
        <f>IF($K356="","",IF(INDEX('Prospect Tracker'!$R$5:$R$554,$K356)="","",INDEX('Prospect Tracker'!$R$5:$R$554,$K356)))</f>
        <v/>
      </c>
      <c r="F356" s="30">
        <f>IF($K356="","",IF(INDEX('Prospect Tracker'!$J$5:$J$554,$K356)="","",INDEX('Prospect Tracker'!$J$5:$J$554,$K356)))</f>
        <v/>
      </c>
      <c r="G356" s="30">
        <f>IF($K356="","",IF(INDEX('Prospect Tracker'!$H$5:$H$554,$K356)="","",INDEX('Prospect Tracker'!$H$5:$H$554,$K356)))</f>
        <v/>
      </c>
      <c r="H356" s="31">
        <f>IF($K356="","",IF(INDEX('Prospect Tracker'!$K$5:$K$554,$K356)="","",INDEX('Prospect Tracker'!$K$5:$K$554,$K356)))</f>
        <v/>
      </c>
      <c r="I356" s="30">
        <f>IF($K356="","",IF(INDEX('Prospect Tracker'!$T$5:$T$554,$K356)="","",INDEX('Prospect Tracker'!$T$5:$T$554,$K356)))</f>
        <v/>
      </c>
      <c r="J356" s="30">
        <f>IF($K356="","",IF(INDEX('Prospect Tracker'!$L$5:$L$554,$K356)="","",INDEX('Prospect Tracker'!$L$5:$L$554,$K356)))</f>
        <v/>
      </c>
      <c r="K356" s="19">
        <f>IFERROR(MATCH(SMALL('Prospect Tracker'!$X$5:$X$554,ROW()-4),'Prospect Tracker'!$X$5:$X$554,0),"")</f>
        <v/>
      </c>
    </row>
    <row r="357" ht="15" customHeight="1" s="20">
      <c r="A357" s="25">
        <f>IF($K357="","",IF(INDEX('Prospect Tracker'!$W$5:$W$554,$K357)="","",INDEX('Prospect Tracker'!$W$5:$W$554,$K357)))</f>
        <v/>
      </c>
      <c r="B357" s="25">
        <f>IF($K357="","",IF(INDEX('Prospect Tracker'!$A$5:$A$554,$K357)="","",INDEX('Prospect Tracker'!$A$5:$A$554,$K357)))</f>
        <v/>
      </c>
      <c r="C357" s="25">
        <f>IF($K357="","",IF(INDEX('Prospect Tracker'!$B$5:$B$554,$K357)="","",INDEX('Prospect Tracker'!$B$5:$B$554,$K357)))</f>
        <v/>
      </c>
      <c r="D357" s="25">
        <f>IF($K357="","",IF(INDEX('Prospect Tracker'!$M$5:$M$554,$K357)="","",INDEX('Prospect Tracker'!$M$5:$M$554,$K357)))</f>
        <v/>
      </c>
      <c r="E357" s="25">
        <f>IF($K357="","",IF(INDEX('Prospect Tracker'!$R$5:$R$554,$K357)="","",INDEX('Prospect Tracker'!$R$5:$R$554,$K357)))</f>
        <v/>
      </c>
      <c r="F357" s="25">
        <f>IF($K357="","",IF(INDEX('Prospect Tracker'!$J$5:$J$554,$K357)="","",INDEX('Prospect Tracker'!$J$5:$J$554,$K357)))</f>
        <v/>
      </c>
      <c r="G357" s="25">
        <f>IF($K357="","",IF(INDEX('Prospect Tracker'!$H$5:$H$554,$K357)="","",INDEX('Prospect Tracker'!$H$5:$H$554,$K357)))</f>
        <v/>
      </c>
      <c r="H357" s="26">
        <f>IF($K357="","",IF(INDEX('Prospect Tracker'!$K$5:$K$554,$K357)="","",INDEX('Prospect Tracker'!$K$5:$K$554,$K357)))</f>
        <v/>
      </c>
      <c r="I357" s="25">
        <f>IF($K357="","",IF(INDEX('Prospect Tracker'!$T$5:$T$554,$K357)="","",INDEX('Prospect Tracker'!$T$5:$T$554,$K357)))</f>
        <v/>
      </c>
      <c r="J357" s="25">
        <f>IF($K357="","",IF(INDEX('Prospect Tracker'!$L$5:$L$554,$K357)="","",INDEX('Prospect Tracker'!$L$5:$L$554,$K357)))</f>
        <v/>
      </c>
      <c r="K357" s="19">
        <f>IFERROR(MATCH(SMALL('Prospect Tracker'!$X$5:$X$554,ROW()-4),'Prospect Tracker'!$X$5:$X$554,0),"")</f>
        <v/>
      </c>
    </row>
    <row r="358" ht="15" customHeight="1" s="20">
      <c r="A358" s="30">
        <f>IF($K358="","",IF(INDEX('Prospect Tracker'!$W$5:$W$554,$K358)="","",INDEX('Prospect Tracker'!$W$5:$W$554,$K358)))</f>
        <v/>
      </c>
      <c r="B358" s="30">
        <f>IF($K358="","",IF(INDEX('Prospect Tracker'!$A$5:$A$554,$K358)="","",INDEX('Prospect Tracker'!$A$5:$A$554,$K358)))</f>
        <v/>
      </c>
      <c r="C358" s="30">
        <f>IF($K358="","",IF(INDEX('Prospect Tracker'!$B$5:$B$554,$K358)="","",INDEX('Prospect Tracker'!$B$5:$B$554,$K358)))</f>
        <v/>
      </c>
      <c r="D358" s="30">
        <f>IF($K358="","",IF(INDEX('Prospect Tracker'!$M$5:$M$554,$K358)="","",INDEX('Prospect Tracker'!$M$5:$M$554,$K358)))</f>
        <v/>
      </c>
      <c r="E358" s="30">
        <f>IF($K358="","",IF(INDEX('Prospect Tracker'!$R$5:$R$554,$K358)="","",INDEX('Prospect Tracker'!$R$5:$R$554,$K358)))</f>
        <v/>
      </c>
      <c r="F358" s="30">
        <f>IF($K358="","",IF(INDEX('Prospect Tracker'!$J$5:$J$554,$K358)="","",INDEX('Prospect Tracker'!$J$5:$J$554,$K358)))</f>
        <v/>
      </c>
      <c r="G358" s="30">
        <f>IF($K358="","",IF(INDEX('Prospect Tracker'!$H$5:$H$554,$K358)="","",INDEX('Prospect Tracker'!$H$5:$H$554,$K358)))</f>
        <v/>
      </c>
      <c r="H358" s="31">
        <f>IF($K358="","",IF(INDEX('Prospect Tracker'!$K$5:$K$554,$K358)="","",INDEX('Prospect Tracker'!$K$5:$K$554,$K358)))</f>
        <v/>
      </c>
      <c r="I358" s="30">
        <f>IF($K358="","",IF(INDEX('Prospect Tracker'!$T$5:$T$554,$K358)="","",INDEX('Prospect Tracker'!$T$5:$T$554,$K358)))</f>
        <v/>
      </c>
      <c r="J358" s="30">
        <f>IF($K358="","",IF(INDEX('Prospect Tracker'!$L$5:$L$554,$K358)="","",INDEX('Prospect Tracker'!$L$5:$L$554,$K358)))</f>
        <v/>
      </c>
      <c r="K358" s="19">
        <f>IFERROR(MATCH(SMALL('Prospect Tracker'!$X$5:$X$554,ROW()-4),'Prospect Tracker'!$X$5:$X$554,0),"")</f>
        <v/>
      </c>
    </row>
    <row r="359" ht="15" customHeight="1" s="20">
      <c r="A359" s="25">
        <f>IF($K359="","",IF(INDEX('Prospect Tracker'!$W$5:$W$554,$K359)="","",INDEX('Prospect Tracker'!$W$5:$W$554,$K359)))</f>
        <v/>
      </c>
      <c r="B359" s="25">
        <f>IF($K359="","",IF(INDEX('Prospect Tracker'!$A$5:$A$554,$K359)="","",INDEX('Prospect Tracker'!$A$5:$A$554,$K359)))</f>
        <v/>
      </c>
      <c r="C359" s="25">
        <f>IF($K359="","",IF(INDEX('Prospect Tracker'!$B$5:$B$554,$K359)="","",INDEX('Prospect Tracker'!$B$5:$B$554,$K359)))</f>
        <v/>
      </c>
      <c r="D359" s="25">
        <f>IF($K359="","",IF(INDEX('Prospect Tracker'!$M$5:$M$554,$K359)="","",INDEX('Prospect Tracker'!$M$5:$M$554,$K359)))</f>
        <v/>
      </c>
      <c r="E359" s="25">
        <f>IF($K359="","",IF(INDEX('Prospect Tracker'!$R$5:$R$554,$K359)="","",INDEX('Prospect Tracker'!$R$5:$R$554,$K359)))</f>
        <v/>
      </c>
      <c r="F359" s="25">
        <f>IF($K359="","",IF(INDEX('Prospect Tracker'!$J$5:$J$554,$K359)="","",INDEX('Prospect Tracker'!$J$5:$J$554,$K359)))</f>
        <v/>
      </c>
      <c r="G359" s="25">
        <f>IF($K359="","",IF(INDEX('Prospect Tracker'!$H$5:$H$554,$K359)="","",INDEX('Prospect Tracker'!$H$5:$H$554,$K359)))</f>
        <v/>
      </c>
      <c r="H359" s="26">
        <f>IF($K359="","",IF(INDEX('Prospect Tracker'!$K$5:$K$554,$K359)="","",INDEX('Prospect Tracker'!$K$5:$K$554,$K359)))</f>
        <v/>
      </c>
      <c r="I359" s="25">
        <f>IF($K359="","",IF(INDEX('Prospect Tracker'!$T$5:$T$554,$K359)="","",INDEX('Prospect Tracker'!$T$5:$T$554,$K359)))</f>
        <v/>
      </c>
      <c r="J359" s="25">
        <f>IF($K359="","",IF(INDEX('Prospect Tracker'!$L$5:$L$554,$K359)="","",INDEX('Prospect Tracker'!$L$5:$L$554,$K359)))</f>
        <v/>
      </c>
      <c r="K359" s="19">
        <f>IFERROR(MATCH(SMALL('Prospect Tracker'!$X$5:$X$554,ROW()-4),'Prospect Tracker'!$X$5:$X$554,0),"")</f>
        <v/>
      </c>
    </row>
    <row r="360" ht="15" customHeight="1" s="20">
      <c r="A360" s="30">
        <f>IF($K360="","",IF(INDEX('Prospect Tracker'!$W$5:$W$554,$K360)="","",INDEX('Prospect Tracker'!$W$5:$W$554,$K360)))</f>
        <v/>
      </c>
      <c r="B360" s="30">
        <f>IF($K360="","",IF(INDEX('Prospect Tracker'!$A$5:$A$554,$K360)="","",INDEX('Prospect Tracker'!$A$5:$A$554,$K360)))</f>
        <v/>
      </c>
      <c r="C360" s="30">
        <f>IF($K360="","",IF(INDEX('Prospect Tracker'!$B$5:$B$554,$K360)="","",INDEX('Prospect Tracker'!$B$5:$B$554,$K360)))</f>
        <v/>
      </c>
      <c r="D360" s="30">
        <f>IF($K360="","",IF(INDEX('Prospect Tracker'!$M$5:$M$554,$K360)="","",INDEX('Prospect Tracker'!$M$5:$M$554,$K360)))</f>
        <v/>
      </c>
      <c r="E360" s="30">
        <f>IF($K360="","",IF(INDEX('Prospect Tracker'!$R$5:$R$554,$K360)="","",INDEX('Prospect Tracker'!$R$5:$R$554,$K360)))</f>
        <v/>
      </c>
      <c r="F360" s="30">
        <f>IF($K360="","",IF(INDEX('Prospect Tracker'!$J$5:$J$554,$K360)="","",INDEX('Prospect Tracker'!$J$5:$J$554,$K360)))</f>
        <v/>
      </c>
      <c r="G360" s="30">
        <f>IF($K360="","",IF(INDEX('Prospect Tracker'!$H$5:$H$554,$K360)="","",INDEX('Prospect Tracker'!$H$5:$H$554,$K360)))</f>
        <v/>
      </c>
      <c r="H360" s="31">
        <f>IF($K360="","",IF(INDEX('Prospect Tracker'!$K$5:$K$554,$K360)="","",INDEX('Prospect Tracker'!$K$5:$K$554,$K360)))</f>
        <v/>
      </c>
      <c r="I360" s="30">
        <f>IF($K360="","",IF(INDEX('Prospect Tracker'!$T$5:$T$554,$K360)="","",INDEX('Prospect Tracker'!$T$5:$T$554,$K360)))</f>
        <v/>
      </c>
      <c r="J360" s="30">
        <f>IF($K360="","",IF(INDEX('Prospect Tracker'!$L$5:$L$554,$K360)="","",INDEX('Prospect Tracker'!$L$5:$L$554,$K360)))</f>
        <v/>
      </c>
      <c r="K360" s="19">
        <f>IFERROR(MATCH(SMALL('Prospect Tracker'!$X$5:$X$554,ROW()-4),'Prospect Tracker'!$X$5:$X$554,0),"")</f>
        <v/>
      </c>
    </row>
    <row r="361" ht="15" customHeight="1" s="20">
      <c r="A361" s="25">
        <f>IF($K361="","",IF(INDEX('Prospect Tracker'!$W$5:$W$554,$K361)="","",INDEX('Prospect Tracker'!$W$5:$W$554,$K361)))</f>
        <v/>
      </c>
      <c r="B361" s="25">
        <f>IF($K361="","",IF(INDEX('Prospect Tracker'!$A$5:$A$554,$K361)="","",INDEX('Prospect Tracker'!$A$5:$A$554,$K361)))</f>
        <v/>
      </c>
      <c r="C361" s="25">
        <f>IF($K361="","",IF(INDEX('Prospect Tracker'!$B$5:$B$554,$K361)="","",INDEX('Prospect Tracker'!$B$5:$B$554,$K361)))</f>
        <v/>
      </c>
      <c r="D361" s="25">
        <f>IF($K361="","",IF(INDEX('Prospect Tracker'!$M$5:$M$554,$K361)="","",INDEX('Prospect Tracker'!$M$5:$M$554,$K361)))</f>
        <v/>
      </c>
      <c r="E361" s="25">
        <f>IF($K361="","",IF(INDEX('Prospect Tracker'!$R$5:$R$554,$K361)="","",INDEX('Prospect Tracker'!$R$5:$R$554,$K361)))</f>
        <v/>
      </c>
      <c r="F361" s="25">
        <f>IF($K361="","",IF(INDEX('Prospect Tracker'!$J$5:$J$554,$K361)="","",INDEX('Prospect Tracker'!$J$5:$J$554,$K361)))</f>
        <v/>
      </c>
      <c r="G361" s="25">
        <f>IF($K361="","",IF(INDEX('Prospect Tracker'!$H$5:$H$554,$K361)="","",INDEX('Prospect Tracker'!$H$5:$H$554,$K361)))</f>
        <v/>
      </c>
      <c r="H361" s="26">
        <f>IF($K361="","",IF(INDEX('Prospect Tracker'!$K$5:$K$554,$K361)="","",INDEX('Prospect Tracker'!$K$5:$K$554,$K361)))</f>
        <v/>
      </c>
      <c r="I361" s="25">
        <f>IF($K361="","",IF(INDEX('Prospect Tracker'!$T$5:$T$554,$K361)="","",INDEX('Prospect Tracker'!$T$5:$T$554,$K361)))</f>
        <v/>
      </c>
      <c r="J361" s="25">
        <f>IF($K361="","",IF(INDEX('Prospect Tracker'!$L$5:$L$554,$K361)="","",INDEX('Prospect Tracker'!$L$5:$L$554,$K361)))</f>
        <v/>
      </c>
      <c r="K361" s="19">
        <f>IFERROR(MATCH(SMALL('Prospect Tracker'!$X$5:$X$554,ROW()-4),'Prospect Tracker'!$X$5:$X$554,0),"")</f>
        <v/>
      </c>
    </row>
    <row r="362" ht="15" customHeight="1" s="20">
      <c r="A362" s="30">
        <f>IF($K362="","",IF(INDEX('Prospect Tracker'!$W$5:$W$554,$K362)="","",INDEX('Prospect Tracker'!$W$5:$W$554,$K362)))</f>
        <v/>
      </c>
      <c r="B362" s="30">
        <f>IF($K362="","",IF(INDEX('Prospect Tracker'!$A$5:$A$554,$K362)="","",INDEX('Prospect Tracker'!$A$5:$A$554,$K362)))</f>
        <v/>
      </c>
      <c r="C362" s="30">
        <f>IF($K362="","",IF(INDEX('Prospect Tracker'!$B$5:$B$554,$K362)="","",INDEX('Prospect Tracker'!$B$5:$B$554,$K362)))</f>
        <v/>
      </c>
      <c r="D362" s="30">
        <f>IF($K362="","",IF(INDEX('Prospect Tracker'!$M$5:$M$554,$K362)="","",INDEX('Prospect Tracker'!$M$5:$M$554,$K362)))</f>
        <v/>
      </c>
      <c r="E362" s="30">
        <f>IF($K362="","",IF(INDEX('Prospect Tracker'!$R$5:$R$554,$K362)="","",INDEX('Prospect Tracker'!$R$5:$R$554,$K362)))</f>
        <v/>
      </c>
      <c r="F362" s="30">
        <f>IF($K362="","",IF(INDEX('Prospect Tracker'!$J$5:$J$554,$K362)="","",INDEX('Prospect Tracker'!$J$5:$J$554,$K362)))</f>
        <v/>
      </c>
      <c r="G362" s="30">
        <f>IF($K362="","",IF(INDEX('Prospect Tracker'!$H$5:$H$554,$K362)="","",INDEX('Prospect Tracker'!$H$5:$H$554,$K362)))</f>
        <v/>
      </c>
      <c r="H362" s="31">
        <f>IF($K362="","",IF(INDEX('Prospect Tracker'!$K$5:$K$554,$K362)="","",INDEX('Prospect Tracker'!$K$5:$K$554,$K362)))</f>
        <v/>
      </c>
      <c r="I362" s="30">
        <f>IF($K362="","",IF(INDEX('Prospect Tracker'!$T$5:$T$554,$K362)="","",INDEX('Prospect Tracker'!$T$5:$T$554,$K362)))</f>
        <v/>
      </c>
      <c r="J362" s="30">
        <f>IF($K362="","",IF(INDEX('Prospect Tracker'!$L$5:$L$554,$K362)="","",INDEX('Prospect Tracker'!$L$5:$L$554,$K362)))</f>
        <v/>
      </c>
      <c r="K362" s="19">
        <f>IFERROR(MATCH(SMALL('Prospect Tracker'!$X$5:$X$554,ROW()-4),'Prospect Tracker'!$X$5:$X$554,0),"")</f>
        <v/>
      </c>
    </row>
    <row r="363" ht="15" customHeight="1" s="20">
      <c r="A363" s="25">
        <f>IF($K363="","",IF(INDEX('Prospect Tracker'!$W$5:$W$554,$K363)="","",INDEX('Prospect Tracker'!$W$5:$W$554,$K363)))</f>
        <v/>
      </c>
      <c r="B363" s="25">
        <f>IF($K363="","",IF(INDEX('Prospect Tracker'!$A$5:$A$554,$K363)="","",INDEX('Prospect Tracker'!$A$5:$A$554,$K363)))</f>
        <v/>
      </c>
      <c r="C363" s="25">
        <f>IF($K363="","",IF(INDEX('Prospect Tracker'!$B$5:$B$554,$K363)="","",INDEX('Prospect Tracker'!$B$5:$B$554,$K363)))</f>
        <v/>
      </c>
      <c r="D363" s="25">
        <f>IF($K363="","",IF(INDEX('Prospect Tracker'!$M$5:$M$554,$K363)="","",INDEX('Prospect Tracker'!$M$5:$M$554,$K363)))</f>
        <v/>
      </c>
      <c r="E363" s="25">
        <f>IF($K363="","",IF(INDEX('Prospect Tracker'!$R$5:$R$554,$K363)="","",INDEX('Prospect Tracker'!$R$5:$R$554,$K363)))</f>
        <v/>
      </c>
      <c r="F363" s="25">
        <f>IF($K363="","",IF(INDEX('Prospect Tracker'!$J$5:$J$554,$K363)="","",INDEX('Prospect Tracker'!$J$5:$J$554,$K363)))</f>
        <v/>
      </c>
      <c r="G363" s="25">
        <f>IF($K363="","",IF(INDEX('Prospect Tracker'!$H$5:$H$554,$K363)="","",INDEX('Prospect Tracker'!$H$5:$H$554,$K363)))</f>
        <v/>
      </c>
      <c r="H363" s="26">
        <f>IF($K363="","",IF(INDEX('Prospect Tracker'!$K$5:$K$554,$K363)="","",INDEX('Prospect Tracker'!$K$5:$K$554,$K363)))</f>
        <v/>
      </c>
      <c r="I363" s="25">
        <f>IF($K363="","",IF(INDEX('Prospect Tracker'!$T$5:$T$554,$K363)="","",INDEX('Prospect Tracker'!$T$5:$T$554,$K363)))</f>
        <v/>
      </c>
      <c r="J363" s="25">
        <f>IF($K363="","",IF(INDEX('Prospect Tracker'!$L$5:$L$554,$K363)="","",INDEX('Prospect Tracker'!$L$5:$L$554,$K363)))</f>
        <v/>
      </c>
      <c r="K363" s="19">
        <f>IFERROR(MATCH(SMALL('Prospect Tracker'!$X$5:$X$554,ROW()-4),'Prospect Tracker'!$X$5:$X$554,0),"")</f>
        <v/>
      </c>
    </row>
    <row r="364" ht="15" customHeight="1" s="20">
      <c r="A364" s="30">
        <f>IF($K364="","",IF(INDEX('Prospect Tracker'!$W$5:$W$554,$K364)="","",INDEX('Prospect Tracker'!$W$5:$W$554,$K364)))</f>
        <v/>
      </c>
      <c r="B364" s="30">
        <f>IF($K364="","",IF(INDEX('Prospect Tracker'!$A$5:$A$554,$K364)="","",INDEX('Prospect Tracker'!$A$5:$A$554,$K364)))</f>
        <v/>
      </c>
      <c r="C364" s="30">
        <f>IF($K364="","",IF(INDEX('Prospect Tracker'!$B$5:$B$554,$K364)="","",INDEX('Prospect Tracker'!$B$5:$B$554,$K364)))</f>
        <v/>
      </c>
      <c r="D364" s="30">
        <f>IF($K364="","",IF(INDEX('Prospect Tracker'!$M$5:$M$554,$K364)="","",INDEX('Prospect Tracker'!$M$5:$M$554,$K364)))</f>
        <v/>
      </c>
      <c r="E364" s="30">
        <f>IF($K364="","",IF(INDEX('Prospect Tracker'!$R$5:$R$554,$K364)="","",INDEX('Prospect Tracker'!$R$5:$R$554,$K364)))</f>
        <v/>
      </c>
      <c r="F364" s="30">
        <f>IF($K364="","",IF(INDEX('Prospect Tracker'!$J$5:$J$554,$K364)="","",INDEX('Prospect Tracker'!$J$5:$J$554,$K364)))</f>
        <v/>
      </c>
      <c r="G364" s="30">
        <f>IF($K364="","",IF(INDEX('Prospect Tracker'!$H$5:$H$554,$K364)="","",INDEX('Prospect Tracker'!$H$5:$H$554,$K364)))</f>
        <v/>
      </c>
      <c r="H364" s="31">
        <f>IF($K364="","",IF(INDEX('Prospect Tracker'!$K$5:$K$554,$K364)="","",INDEX('Prospect Tracker'!$K$5:$K$554,$K364)))</f>
        <v/>
      </c>
      <c r="I364" s="30">
        <f>IF($K364="","",IF(INDEX('Prospect Tracker'!$T$5:$T$554,$K364)="","",INDEX('Prospect Tracker'!$T$5:$T$554,$K364)))</f>
        <v/>
      </c>
      <c r="J364" s="30">
        <f>IF($K364="","",IF(INDEX('Prospect Tracker'!$L$5:$L$554,$K364)="","",INDEX('Prospect Tracker'!$L$5:$L$554,$K364)))</f>
        <v/>
      </c>
      <c r="K364" s="19">
        <f>IFERROR(MATCH(SMALL('Prospect Tracker'!$X$5:$X$554,ROW()-4),'Prospect Tracker'!$X$5:$X$554,0),"")</f>
        <v/>
      </c>
    </row>
    <row r="365" ht="15" customHeight="1" s="20">
      <c r="A365" s="25">
        <f>IF($K365="","",IF(INDEX('Prospect Tracker'!$W$5:$W$554,$K365)="","",INDEX('Prospect Tracker'!$W$5:$W$554,$K365)))</f>
        <v/>
      </c>
      <c r="B365" s="25">
        <f>IF($K365="","",IF(INDEX('Prospect Tracker'!$A$5:$A$554,$K365)="","",INDEX('Prospect Tracker'!$A$5:$A$554,$K365)))</f>
        <v/>
      </c>
      <c r="C365" s="25">
        <f>IF($K365="","",IF(INDEX('Prospect Tracker'!$B$5:$B$554,$K365)="","",INDEX('Prospect Tracker'!$B$5:$B$554,$K365)))</f>
        <v/>
      </c>
      <c r="D365" s="25">
        <f>IF($K365="","",IF(INDEX('Prospect Tracker'!$M$5:$M$554,$K365)="","",INDEX('Prospect Tracker'!$M$5:$M$554,$K365)))</f>
        <v/>
      </c>
      <c r="E365" s="25">
        <f>IF($K365="","",IF(INDEX('Prospect Tracker'!$R$5:$R$554,$K365)="","",INDEX('Prospect Tracker'!$R$5:$R$554,$K365)))</f>
        <v/>
      </c>
      <c r="F365" s="25">
        <f>IF($K365="","",IF(INDEX('Prospect Tracker'!$J$5:$J$554,$K365)="","",INDEX('Prospect Tracker'!$J$5:$J$554,$K365)))</f>
        <v/>
      </c>
      <c r="G365" s="25">
        <f>IF($K365="","",IF(INDEX('Prospect Tracker'!$H$5:$H$554,$K365)="","",INDEX('Prospect Tracker'!$H$5:$H$554,$K365)))</f>
        <v/>
      </c>
      <c r="H365" s="26">
        <f>IF($K365="","",IF(INDEX('Prospect Tracker'!$K$5:$K$554,$K365)="","",INDEX('Prospect Tracker'!$K$5:$K$554,$K365)))</f>
        <v/>
      </c>
      <c r="I365" s="25">
        <f>IF($K365="","",IF(INDEX('Prospect Tracker'!$T$5:$T$554,$K365)="","",INDEX('Prospect Tracker'!$T$5:$T$554,$K365)))</f>
        <v/>
      </c>
      <c r="J365" s="25">
        <f>IF($K365="","",IF(INDEX('Prospect Tracker'!$L$5:$L$554,$K365)="","",INDEX('Prospect Tracker'!$L$5:$L$554,$K365)))</f>
        <v/>
      </c>
      <c r="K365" s="19">
        <f>IFERROR(MATCH(SMALL('Prospect Tracker'!$X$5:$X$554,ROW()-4),'Prospect Tracker'!$X$5:$X$554,0),"")</f>
        <v/>
      </c>
    </row>
    <row r="366" ht="15" customHeight="1" s="20">
      <c r="A366" s="30">
        <f>IF($K366="","",IF(INDEX('Prospect Tracker'!$W$5:$W$554,$K366)="","",INDEX('Prospect Tracker'!$W$5:$W$554,$K366)))</f>
        <v/>
      </c>
      <c r="B366" s="30">
        <f>IF($K366="","",IF(INDEX('Prospect Tracker'!$A$5:$A$554,$K366)="","",INDEX('Prospect Tracker'!$A$5:$A$554,$K366)))</f>
        <v/>
      </c>
      <c r="C366" s="30">
        <f>IF($K366="","",IF(INDEX('Prospect Tracker'!$B$5:$B$554,$K366)="","",INDEX('Prospect Tracker'!$B$5:$B$554,$K366)))</f>
        <v/>
      </c>
      <c r="D366" s="30">
        <f>IF($K366="","",IF(INDEX('Prospect Tracker'!$M$5:$M$554,$K366)="","",INDEX('Prospect Tracker'!$M$5:$M$554,$K366)))</f>
        <v/>
      </c>
      <c r="E366" s="30">
        <f>IF($K366="","",IF(INDEX('Prospect Tracker'!$R$5:$R$554,$K366)="","",INDEX('Prospect Tracker'!$R$5:$R$554,$K366)))</f>
        <v/>
      </c>
      <c r="F366" s="30">
        <f>IF($K366="","",IF(INDEX('Prospect Tracker'!$J$5:$J$554,$K366)="","",INDEX('Prospect Tracker'!$J$5:$J$554,$K366)))</f>
        <v/>
      </c>
      <c r="G366" s="30">
        <f>IF($K366="","",IF(INDEX('Prospect Tracker'!$H$5:$H$554,$K366)="","",INDEX('Prospect Tracker'!$H$5:$H$554,$K366)))</f>
        <v/>
      </c>
      <c r="H366" s="31">
        <f>IF($K366="","",IF(INDEX('Prospect Tracker'!$K$5:$K$554,$K366)="","",INDEX('Prospect Tracker'!$K$5:$K$554,$K366)))</f>
        <v/>
      </c>
      <c r="I366" s="30">
        <f>IF($K366="","",IF(INDEX('Prospect Tracker'!$T$5:$T$554,$K366)="","",INDEX('Prospect Tracker'!$T$5:$T$554,$K366)))</f>
        <v/>
      </c>
      <c r="J366" s="30">
        <f>IF($K366="","",IF(INDEX('Prospect Tracker'!$L$5:$L$554,$K366)="","",INDEX('Prospect Tracker'!$L$5:$L$554,$K366)))</f>
        <v/>
      </c>
      <c r="K366" s="19">
        <f>IFERROR(MATCH(SMALL('Prospect Tracker'!$X$5:$X$554,ROW()-4),'Prospect Tracker'!$X$5:$X$554,0),"")</f>
        <v/>
      </c>
    </row>
    <row r="367" ht="15" customHeight="1" s="20">
      <c r="A367" s="25">
        <f>IF($K367="","",IF(INDEX('Prospect Tracker'!$W$5:$W$554,$K367)="","",INDEX('Prospect Tracker'!$W$5:$W$554,$K367)))</f>
        <v/>
      </c>
      <c r="B367" s="25">
        <f>IF($K367="","",IF(INDEX('Prospect Tracker'!$A$5:$A$554,$K367)="","",INDEX('Prospect Tracker'!$A$5:$A$554,$K367)))</f>
        <v/>
      </c>
      <c r="C367" s="25">
        <f>IF($K367="","",IF(INDEX('Prospect Tracker'!$B$5:$B$554,$K367)="","",INDEX('Prospect Tracker'!$B$5:$B$554,$K367)))</f>
        <v/>
      </c>
      <c r="D367" s="25">
        <f>IF($K367="","",IF(INDEX('Prospect Tracker'!$M$5:$M$554,$K367)="","",INDEX('Prospect Tracker'!$M$5:$M$554,$K367)))</f>
        <v/>
      </c>
      <c r="E367" s="25">
        <f>IF($K367="","",IF(INDEX('Prospect Tracker'!$R$5:$R$554,$K367)="","",INDEX('Prospect Tracker'!$R$5:$R$554,$K367)))</f>
        <v/>
      </c>
      <c r="F367" s="25">
        <f>IF($K367="","",IF(INDEX('Prospect Tracker'!$J$5:$J$554,$K367)="","",INDEX('Prospect Tracker'!$J$5:$J$554,$K367)))</f>
        <v/>
      </c>
      <c r="G367" s="25">
        <f>IF($K367="","",IF(INDEX('Prospect Tracker'!$H$5:$H$554,$K367)="","",INDEX('Prospect Tracker'!$H$5:$H$554,$K367)))</f>
        <v/>
      </c>
      <c r="H367" s="26">
        <f>IF($K367="","",IF(INDEX('Prospect Tracker'!$K$5:$K$554,$K367)="","",INDEX('Prospect Tracker'!$K$5:$K$554,$K367)))</f>
        <v/>
      </c>
      <c r="I367" s="25">
        <f>IF($K367="","",IF(INDEX('Prospect Tracker'!$T$5:$T$554,$K367)="","",INDEX('Prospect Tracker'!$T$5:$T$554,$K367)))</f>
        <v/>
      </c>
      <c r="J367" s="25">
        <f>IF($K367="","",IF(INDEX('Prospect Tracker'!$L$5:$L$554,$K367)="","",INDEX('Prospect Tracker'!$L$5:$L$554,$K367)))</f>
        <v/>
      </c>
      <c r="K367" s="19">
        <f>IFERROR(MATCH(SMALL('Prospect Tracker'!$X$5:$X$554,ROW()-4),'Prospect Tracker'!$X$5:$X$554,0),"")</f>
        <v/>
      </c>
    </row>
    <row r="368" ht="15" customHeight="1" s="20">
      <c r="A368" s="30">
        <f>IF($K368="","",IF(INDEX('Prospect Tracker'!$W$5:$W$554,$K368)="","",INDEX('Prospect Tracker'!$W$5:$W$554,$K368)))</f>
        <v/>
      </c>
      <c r="B368" s="30">
        <f>IF($K368="","",IF(INDEX('Prospect Tracker'!$A$5:$A$554,$K368)="","",INDEX('Prospect Tracker'!$A$5:$A$554,$K368)))</f>
        <v/>
      </c>
      <c r="C368" s="30">
        <f>IF($K368="","",IF(INDEX('Prospect Tracker'!$B$5:$B$554,$K368)="","",INDEX('Prospect Tracker'!$B$5:$B$554,$K368)))</f>
        <v/>
      </c>
      <c r="D368" s="30">
        <f>IF($K368="","",IF(INDEX('Prospect Tracker'!$M$5:$M$554,$K368)="","",INDEX('Prospect Tracker'!$M$5:$M$554,$K368)))</f>
        <v/>
      </c>
      <c r="E368" s="30">
        <f>IF($K368="","",IF(INDEX('Prospect Tracker'!$R$5:$R$554,$K368)="","",INDEX('Prospect Tracker'!$R$5:$R$554,$K368)))</f>
        <v/>
      </c>
      <c r="F368" s="30">
        <f>IF($K368="","",IF(INDEX('Prospect Tracker'!$J$5:$J$554,$K368)="","",INDEX('Prospect Tracker'!$J$5:$J$554,$K368)))</f>
        <v/>
      </c>
      <c r="G368" s="30">
        <f>IF($K368="","",IF(INDEX('Prospect Tracker'!$H$5:$H$554,$K368)="","",INDEX('Prospect Tracker'!$H$5:$H$554,$K368)))</f>
        <v/>
      </c>
      <c r="H368" s="31">
        <f>IF($K368="","",IF(INDEX('Prospect Tracker'!$K$5:$K$554,$K368)="","",INDEX('Prospect Tracker'!$K$5:$K$554,$K368)))</f>
        <v/>
      </c>
      <c r="I368" s="30">
        <f>IF($K368="","",IF(INDEX('Prospect Tracker'!$T$5:$T$554,$K368)="","",INDEX('Prospect Tracker'!$T$5:$T$554,$K368)))</f>
        <v/>
      </c>
      <c r="J368" s="30">
        <f>IF($K368="","",IF(INDEX('Prospect Tracker'!$L$5:$L$554,$K368)="","",INDEX('Prospect Tracker'!$L$5:$L$554,$K368)))</f>
        <v/>
      </c>
      <c r="K368" s="19">
        <f>IFERROR(MATCH(SMALL('Prospect Tracker'!$X$5:$X$554,ROW()-4),'Prospect Tracker'!$X$5:$X$554,0),"")</f>
        <v/>
      </c>
    </row>
    <row r="369" ht="15" customHeight="1" s="20">
      <c r="A369" s="25">
        <f>IF($K369="","",IF(INDEX('Prospect Tracker'!$W$5:$W$554,$K369)="","",INDEX('Prospect Tracker'!$W$5:$W$554,$K369)))</f>
        <v/>
      </c>
      <c r="B369" s="25">
        <f>IF($K369="","",IF(INDEX('Prospect Tracker'!$A$5:$A$554,$K369)="","",INDEX('Prospect Tracker'!$A$5:$A$554,$K369)))</f>
        <v/>
      </c>
      <c r="C369" s="25">
        <f>IF($K369="","",IF(INDEX('Prospect Tracker'!$B$5:$B$554,$K369)="","",INDEX('Prospect Tracker'!$B$5:$B$554,$K369)))</f>
        <v/>
      </c>
      <c r="D369" s="25">
        <f>IF($K369="","",IF(INDEX('Prospect Tracker'!$M$5:$M$554,$K369)="","",INDEX('Prospect Tracker'!$M$5:$M$554,$K369)))</f>
        <v/>
      </c>
      <c r="E369" s="25">
        <f>IF($K369="","",IF(INDEX('Prospect Tracker'!$R$5:$R$554,$K369)="","",INDEX('Prospect Tracker'!$R$5:$R$554,$K369)))</f>
        <v/>
      </c>
      <c r="F369" s="25">
        <f>IF($K369="","",IF(INDEX('Prospect Tracker'!$J$5:$J$554,$K369)="","",INDEX('Prospect Tracker'!$J$5:$J$554,$K369)))</f>
        <v/>
      </c>
      <c r="G369" s="25">
        <f>IF($K369="","",IF(INDEX('Prospect Tracker'!$H$5:$H$554,$K369)="","",INDEX('Prospect Tracker'!$H$5:$H$554,$K369)))</f>
        <v/>
      </c>
      <c r="H369" s="26">
        <f>IF($K369="","",IF(INDEX('Prospect Tracker'!$K$5:$K$554,$K369)="","",INDEX('Prospect Tracker'!$K$5:$K$554,$K369)))</f>
        <v/>
      </c>
      <c r="I369" s="25">
        <f>IF($K369="","",IF(INDEX('Prospect Tracker'!$T$5:$T$554,$K369)="","",INDEX('Prospect Tracker'!$T$5:$T$554,$K369)))</f>
        <v/>
      </c>
      <c r="J369" s="25">
        <f>IF($K369="","",IF(INDEX('Prospect Tracker'!$L$5:$L$554,$K369)="","",INDEX('Prospect Tracker'!$L$5:$L$554,$K369)))</f>
        <v/>
      </c>
      <c r="K369" s="19">
        <f>IFERROR(MATCH(SMALL('Prospect Tracker'!$X$5:$X$554,ROW()-4),'Prospect Tracker'!$X$5:$X$554,0),"")</f>
        <v/>
      </c>
    </row>
    <row r="370" ht="15" customHeight="1" s="20">
      <c r="A370" s="30">
        <f>IF($K370="","",IF(INDEX('Prospect Tracker'!$W$5:$W$554,$K370)="","",INDEX('Prospect Tracker'!$W$5:$W$554,$K370)))</f>
        <v/>
      </c>
      <c r="B370" s="30">
        <f>IF($K370="","",IF(INDEX('Prospect Tracker'!$A$5:$A$554,$K370)="","",INDEX('Prospect Tracker'!$A$5:$A$554,$K370)))</f>
        <v/>
      </c>
      <c r="C370" s="30">
        <f>IF($K370="","",IF(INDEX('Prospect Tracker'!$B$5:$B$554,$K370)="","",INDEX('Prospect Tracker'!$B$5:$B$554,$K370)))</f>
        <v/>
      </c>
      <c r="D370" s="30">
        <f>IF($K370="","",IF(INDEX('Prospect Tracker'!$M$5:$M$554,$K370)="","",INDEX('Prospect Tracker'!$M$5:$M$554,$K370)))</f>
        <v/>
      </c>
      <c r="E370" s="30">
        <f>IF($K370="","",IF(INDEX('Prospect Tracker'!$R$5:$R$554,$K370)="","",INDEX('Prospect Tracker'!$R$5:$R$554,$K370)))</f>
        <v/>
      </c>
      <c r="F370" s="30">
        <f>IF($K370="","",IF(INDEX('Prospect Tracker'!$J$5:$J$554,$K370)="","",INDEX('Prospect Tracker'!$J$5:$J$554,$K370)))</f>
        <v/>
      </c>
      <c r="G370" s="30">
        <f>IF($K370="","",IF(INDEX('Prospect Tracker'!$H$5:$H$554,$K370)="","",INDEX('Prospect Tracker'!$H$5:$H$554,$K370)))</f>
        <v/>
      </c>
      <c r="H370" s="31">
        <f>IF($K370="","",IF(INDEX('Prospect Tracker'!$K$5:$K$554,$K370)="","",INDEX('Prospect Tracker'!$K$5:$K$554,$K370)))</f>
        <v/>
      </c>
      <c r="I370" s="30">
        <f>IF($K370="","",IF(INDEX('Prospect Tracker'!$T$5:$T$554,$K370)="","",INDEX('Prospect Tracker'!$T$5:$T$554,$K370)))</f>
        <v/>
      </c>
      <c r="J370" s="30">
        <f>IF($K370="","",IF(INDEX('Prospect Tracker'!$L$5:$L$554,$K370)="","",INDEX('Prospect Tracker'!$L$5:$L$554,$K370)))</f>
        <v/>
      </c>
      <c r="K370" s="19">
        <f>IFERROR(MATCH(SMALL('Prospect Tracker'!$X$5:$X$554,ROW()-4),'Prospect Tracker'!$X$5:$X$554,0),"")</f>
        <v/>
      </c>
    </row>
    <row r="371" ht="15" customHeight="1" s="20">
      <c r="A371" s="25">
        <f>IF($K371="","",IF(INDEX('Prospect Tracker'!$W$5:$W$554,$K371)="","",INDEX('Prospect Tracker'!$W$5:$W$554,$K371)))</f>
        <v/>
      </c>
      <c r="B371" s="25">
        <f>IF($K371="","",IF(INDEX('Prospect Tracker'!$A$5:$A$554,$K371)="","",INDEX('Prospect Tracker'!$A$5:$A$554,$K371)))</f>
        <v/>
      </c>
      <c r="C371" s="25">
        <f>IF($K371="","",IF(INDEX('Prospect Tracker'!$B$5:$B$554,$K371)="","",INDEX('Prospect Tracker'!$B$5:$B$554,$K371)))</f>
        <v/>
      </c>
      <c r="D371" s="25">
        <f>IF($K371="","",IF(INDEX('Prospect Tracker'!$M$5:$M$554,$K371)="","",INDEX('Prospect Tracker'!$M$5:$M$554,$K371)))</f>
        <v/>
      </c>
      <c r="E371" s="25">
        <f>IF($K371="","",IF(INDEX('Prospect Tracker'!$R$5:$R$554,$K371)="","",INDEX('Prospect Tracker'!$R$5:$R$554,$K371)))</f>
        <v/>
      </c>
      <c r="F371" s="25">
        <f>IF($K371="","",IF(INDEX('Prospect Tracker'!$J$5:$J$554,$K371)="","",INDEX('Prospect Tracker'!$J$5:$J$554,$K371)))</f>
        <v/>
      </c>
      <c r="G371" s="25">
        <f>IF($K371="","",IF(INDEX('Prospect Tracker'!$H$5:$H$554,$K371)="","",INDEX('Prospect Tracker'!$H$5:$H$554,$K371)))</f>
        <v/>
      </c>
      <c r="H371" s="26">
        <f>IF($K371="","",IF(INDEX('Prospect Tracker'!$K$5:$K$554,$K371)="","",INDEX('Prospect Tracker'!$K$5:$K$554,$K371)))</f>
        <v/>
      </c>
      <c r="I371" s="25">
        <f>IF($K371="","",IF(INDEX('Prospect Tracker'!$T$5:$T$554,$K371)="","",INDEX('Prospect Tracker'!$T$5:$T$554,$K371)))</f>
        <v/>
      </c>
      <c r="J371" s="25">
        <f>IF($K371="","",IF(INDEX('Prospect Tracker'!$L$5:$L$554,$K371)="","",INDEX('Prospect Tracker'!$L$5:$L$554,$K371)))</f>
        <v/>
      </c>
      <c r="K371" s="19">
        <f>IFERROR(MATCH(SMALL('Prospect Tracker'!$X$5:$X$554,ROW()-4),'Prospect Tracker'!$X$5:$X$554,0),"")</f>
        <v/>
      </c>
    </row>
    <row r="372" ht="15" customHeight="1" s="20">
      <c r="A372" s="30">
        <f>IF($K372="","",IF(INDEX('Prospect Tracker'!$W$5:$W$554,$K372)="","",INDEX('Prospect Tracker'!$W$5:$W$554,$K372)))</f>
        <v/>
      </c>
      <c r="B372" s="30">
        <f>IF($K372="","",IF(INDEX('Prospect Tracker'!$A$5:$A$554,$K372)="","",INDEX('Prospect Tracker'!$A$5:$A$554,$K372)))</f>
        <v/>
      </c>
      <c r="C372" s="30">
        <f>IF($K372="","",IF(INDEX('Prospect Tracker'!$B$5:$B$554,$K372)="","",INDEX('Prospect Tracker'!$B$5:$B$554,$K372)))</f>
        <v/>
      </c>
      <c r="D372" s="30">
        <f>IF($K372="","",IF(INDEX('Prospect Tracker'!$M$5:$M$554,$K372)="","",INDEX('Prospect Tracker'!$M$5:$M$554,$K372)))</f>
        <v/>
      </c>
      <c r="E372" s="30">
        <f>IF($K372="","",IF(INDEX('Prospect Tracker'!$R$5:$R$554,$K372)="","",INDEX('Prospect Tracker'!$R$5:$R$554,$K372)))</f>
        <v/>
      </c>
      <c r="F372" s="30">
        <f>IF($K372="","",IF(INDEX('Prospect Tracker'!$J$5:$J$554,$K372)="","",INDEX('Prospect Tracker'!$J$5:$J$554,$K372)))</f>
        <v/>
      </c>
      <c r="G372" s="30">
        <f>IF($K372="","",IF(INDEX('Prospect Tracker'!$H$5:$H$554,$K372)="","",INDEX('Prospect Tracker'!$H$5:$H$554,$K372)))</f>
        <v/>
      </c>
      <c r="H372" s="31">
        <f>IF($K372="","",IF(INDEX('Prospect Tracker'!$K$5:$K$554,$K372)="","",INDEX('Prospect Tracker'!$K$5:$K$554,$K372)))</f>
        <v/>
      </c>
      <c r="I372" s="30">
        <f>IF($K372="","",IF(INDEX('Prospect Tracker'!$T$5:$T$554,$K372)="","",INDEX('Prospect Tracker'!$T$5:$T$554,$K372)))</f>
        <v/>
      </c>
      <c r="J372" s="30">
        <f>IF($K372="","",IF(INDEX('Prospect Tracker'!$L$5:$L$554,$K372)="","",INDEX('Prospect Tracker'!$L$5:$L$554,$K372)))</f>
        <v/>
      </c>
      <c r="K372" s="19">
        <f>IFERROR(MATCH(SMALL('Prospect Tracker'!$X$5:$X$554,ROW()-4),'Prospect Tracker'!$X$5:$X$554,0),"")</f>
        <v/>
      </c>
    </row>
    <row r="373" ht="15" customHeight="1" s="20">
      <c r="A373" s="25">
        <f>IF($K373="","",IF(INDEX('Prospect Tracker'!$W$5:$W$554,$K373)="","",INDEX('Prospect Tracker'!$W$5:$W$554,$K373)))</f>
        <v/>
      </c>
      <c r="B373" s="25">
        <f>IF($K373="","",IF(INDEX('Prospect Tracker'!$A$5:$A$554,$K373)="","",INDEX('Prospect Tracker'!$A$5:$A$554,$K373)))</f>
        <v/>
      </c>
      <c r="C373" s="25">
        <f>IF($K373="","",IF(INDEX('Prospect Tracker'!$B$5:$B$554,$K373)="","",INDEX('Prospect Tracker'!$B$5:$B$554,$K373)))</f>
        <v/>
      </c>
      <c r="D373" s="25">
        <f>IF($K373="","",IF(INDEX('Prospect Tracker'!$M$5:$M$554,$K373)="","",INDEX('Prospect Tracker'!$M$5:$M$554,$K373)))</f>
        <v/>
      </c>
      <c r="E373" s="25">
        <f>IF($K373="","",IF(INDEX('Prospect Tracker'!$R$5:$R$554,$K373)="","",INDEX('Prospect Tracker'!$R$5:$R$554,$K373)))</f>
        <v/>
      </c>
      <c r="F373" s="25">
        <f>IF($K373="","",IF(INDEX('Prospect Tracker'!$J$5:$J$554,$K373)="","",INDEX('Prospect Tracker'!$J$5:$J$554,$K373)))</f>
        <v/>
      </c>
      <c r="G373" s="25">
        <f>IF($K373="","",IF(INDEX('Prospect Tracker'!$H$5:$H$554,$K373)="","",INDEX('Prospect Tracker'!$H$5:$H$554,$K373)))</f>
        <v/>
      </c>
      <c r="H373" s="26">
        <f>IF($K373="","",IF(INDEX('Prospect Tracker'!$K$5:$K$554,$K373)="","",INDEX('Prospect Tracker'!$K$5:$K$554,$K373)))</f>
        <v/>
      </c>
      <c r="I373" s="25">
        <f>IF($K373="","",IF(INDEX('Prospect Tracker'!$T$5:$T$554,$K373)="","",INDEX('Prospect Tracker'!$T$5:$T$554,$K373)))</f>
        <v/>
      </c>
      <c r="J373" s="25">
        <f>IF($K373="","",IF(INDEX('Prospect Tracker'!$L$5:$L$554,$K373)="","",INDEX('Prospect Tracker'!$L$5:$L$554,$K373)))</f>
        <v/>
      </c>
      <c r="K373" s="19">
        <f>IFERROR(MATCH(SMALL('Prospect Tracker'!$X$5:$X$554,ROW()-4),'Prospect Tracker'!$X$5:$X$554,0),"")</f>
        <v/>
      </c>
    </row>
    <row r="374" ht="15" customHeight="1" s="20">
      <c r="A374" s="30">
        <f>IF($K374="","",IF(INDEX('Prospect Tracker'!$W$5:$W$554,$K374)="","",INDEX('Prospect Tracker'!$W$5:$W$554,$K374)))</f>
        <v/>
      </c>
      <c r="B374" s="30">
        <f>IF($K374="","",IF(INDEX('Prospect Tracker'!$A$5:$A$554,$K374)="","",INDEX('Prospect Tracker'!$A$5:$A$554,$K374)))</f>
        <v/>
      </c>
      <c r="C374" s="30">
        <f>IF($K374="","",IF(INDEX('Prospect Tracker'!$B$5:$B$554,$K374)="","",INDEX('Prospect Tracker'!$B$5:$B$554,$K374)))</f>
        <v/>
      </c>
      <c r="D374" s="30">
        <f>IF($K374="","",IF(INDEX('Prospect Tracker'!$M$5:$M$554,$K374)="","",INDEX('Prospect Tracker'!$M$5:$M$554,$K374)))</f>
        <v/>
      </c>
      <c r="E374" s="30">
        <f>IF($K374="","",IF(INDEX('Prospect Tracker'!$R$5:$R$554,$K374)="","",INDEX('Prospect Tracker'!$R$5:$R$554,$K374)))</f>
        <v/>
      </c>
      <c r="F374" s="30">
        <f>IF($K374="","",IF(INDEX('Prospect Tracker'!$J$5:$J$554,$K374)="","",INDEX('Prospect Tracker'!$J$5:$J$554,$K374)))</f>
        <v/>
      </c>
      <c r="G374" s="30">
        <f>IF($K374="","",IF(INDEX('Prospect Tracker'!$H$5:$H$554,$K374)="","",INDEX('Prospect Tracker'!$H$5:$H$554,$K374)))</f>
        <v/>
      </c>
      <c r="H374" s="31">
        <f>IF($K374="","",IF(INDEX('Prospect Tracker'!$K$5:$K$554,$K374)="","",INDEX('Prospect Tracker'!$K$5:$K$554,$K374)))</f>
        <v/>
      </c>
      <c r="I374" s="30">
        <f>IF($K374="","",IF(INDEX('Prospect Tracker'!$T$5:$T$554,$K374)="","",INDEX('Prospect Tracker'!$T$5:$T$554,$K374)))</f>
        <v/>
      </c>
      <c r="J374" s="30">
        <f>IF($K374="","",IF(INDEX('Prospect Tracker'!$L$5:$L$554,$K374)="","",INDEX('Prospect Tracker'!$L$5:$L$554,$K374)))</f>
        <v/>
      </c>
      <c r="K374" s="19">
        <f>IFERROR(MATCH(SMALL('Prospect Tracker'!$X$5:$X$554,ROW()-4),'Prospect Tracker'!$X$5:$X$554,0),"")</f>
        <v/>
      </c>
    </row>
    <row r="375" ht="15" customHeight="1" s="20">
      <c r="A375" s="25">
        <f>IF($K375="","",IF(INDEX('Prospect Tracker'!$W$5:$W$554,$K375)="","",INDEX('Prospect Tracker'!$W$5:$W$554,$K375)))</f>
        <v/>
      </c>
      <c r="B375" s="25">
        <f>IF($K375="","",IF(INDEX('Prospect Tracker'!$A$5:$A$554,$K375)="","",INDEX('Prospect Tracker'!$A$5:$A$554,$K375)))</f>
        <v/>
      </c>
      <c r="C375" s="25">
        <f>IF($K375="","",IF(INDEX('Prospect Tracker'!$B$5:$B$554,$K375)="","",INDEX('Prospect Tracker'!$B$5:$B$554,$K375)))</f>
        <v/>
      </c>
      <c r="D375" s="25">
        <f>IF($K375="","",IF(INDEX('Prospect Tracker'!$M$5:$M$554,$K375)="","",INDEX('Prospect Tracker'!$M$5:$M$554,$K375)))</f>
        <v/>
      </c>
      <c r="E375" s="25">
        <f>IF($K375="","",IF(INDEX('Prospect Tracker'!$R$5:$R$554,$K375)="","",INDEX('Prospect Tracker'!$R$5:$R$554,$K375)))</f>
        <v/>
      </c>
      <c r="F375" s="25">
        <f>IF($K375="","",IF(INDEX('Prospect Tracker'!$J$5:$J$554,$K375)="","",INDEX('Prospect Tracker'!$J$5:$J$554,$K375)))</f>
        <v/>
      </c>
      <c r="G375" s="25">
        <f>IF($K375="","",IF(INDEX('Prospect Tracker'!$H$5:$H$554,$K375)="","",INDEX('Prospect Tracker'!$H$5:$H$554,$K375)))</f>
        <v/>
      </c>
      <c r="H375" s="26">
        <f>IF($K375="","",IF(INDEX('Prospect Tracker'!$K$5:$K$554,$K375)="","",INDEX('Prospect Tracker'!$K$5:$K$554,$K375)))</f>
        <v/>
      </c>
      <c r="I375" s="25">
        <f>IF($K375="","",IF(INDEX('Prospect Tracker'!$T$5:$T$554,$K375)="","",INDEX('Prospect Tracker'!$T$5:$T$554,$K375)))</f>
        <v/>
      </c>
      <c r="J375" s="25">
        <f>IF($K375="","",IF(INDEX('Prospect Tracker'!$L$5:$L$554,$K375)="","",INDEX('Prospect Tracker'!$L$5:$L$554,$K375)))</f>
        <v/>
      </c>
      <c r="K375" s="19">
        <f>IFERROR(MATCH(SMALL('Prospect Tracker'!$X$5:$X$554,ROW()-4),'Prospect Tracker'!$X$5:$X$554,0),"")</f>
        <v/>
      </c>
    </row>
    <row r="376" ht="15" customHeight="1" s="20">
      <c r="A376" s="30">
        <f>IF($K376="","",IF(INDEX('Prospect Tracker'!$W$5:$W$554,$K376)="","",INDEX('Prospect Tracker'!$W$5:$W$554,$K376)))</f>
        <v/>
      </c>
      <c r="B376" s="30">
        <f>IF($K376="","",IF(INDEX('Prospect Tracker'!$A$5:$A$554,$K376)="","",INDEX('Prospect Tracker'!$A$5:$A$554,$K376)))</f>
        <v/>
      </c>
      <c r="C376" s="30">
        <f>IF($K376="","",IF(INDEX('Prospect Tracker'!$B$5:$B$554,$K376)="","",INDEX('Prospect Tracker'!$B$5:$B$554,$K376)))</f>
        <v/>
      </c>
      <c r="D376" s="30">
        <f>IF($K376="","",IF(INDEX('Prospect Tracker'!$M$5:$M$554,$K376)="","",INDEX('Prospect Tracker'!$M$5:$M$554,$K376)))</f>
        <v/>
      </c>
      <c r="E376" s="30">
        <f>IF($K376="","",IF(INDEX('Prospect Tracker'!$R$5:$R$554,$K376)="","",INDEX('Prospect Tracker'!$R$5:$R$554,$K376)))</f>
        <v/>
      </c>
      <c r="F376" s="30">
        <f>IF($K376="","",IF(INDEX('Prospect Tracker'!$J$5:$J$554,$K376)="","",INDEX('Prospect Tracker'!$J$5:$J$554,$K376)))</f>
        <v/>
      </c>
      <c r="G376" s="30">
        <f>IF($K376="","",IF(INDEX('Prospect Tracker'!$H$5:$H$554,$K376)="","",INDEX('Prospect Tracker'!$H$5:$H$554,$K376)))</f>
        <v/>
      </c>
      <c r="H376" s="31">
        <f>IF($K376="","",IF(INDEX('Prospect Tracker'!$K$5:$K$554,$K376)="","",INDEX('Prospect Tracker'!$K$5:$K$554,$K376)))</f>
        <v/>
      </c>
      <c r="I376" s="30">
        <f>IF($K376="","",IF(INDEX('Prospect Tracker'!$T$5:$T$554,$K376)="","",INDEX('Prospect Tracker'!$T$5:$T$554,$K376)))</f>
        <v/>
      </c>
      <c r="J376" s="30">
        <f>IF($K376="","",IF(INDEX('Prospect Tracker'!$L$5:$L$554,$K376)="","",INDEX('Prospect Tracker'!$L$5:$L$554,$K376)))</f>
        <v/>
      </c>
      <c r="K376" s="19">
        <f>IFERROR(MATCH(SMALL('Prospect Tracker'!$X$5:$X$554,ROW()-4),'Prospect Tracker'!$X$5:$X$554,0),"")</f>
        <v/>
      </c>
    </row>
    <row r="377" ht="15" customHeight="1" s="20">
      <c r="A377" s="25">
        <f>IF($K377="","",IF(INDEX('Prospect Tracker'!$W$5:$W$554,$K377)="","",INDEX('Prospect Tracker'!$W$5:$W$554,$K377)))</f>
        <v/>
      </c>
      <c r="B377" s="25">
        <f>IF($K377="","",IF(INDEX('Prospect Tracker'!$A$5:$A$554,$K377)="","",INDEX('Prospect Tracker'!$A$5:$A$554,$K377)))</f>
        <v/>
      </c>
      <c r="C377" s="25">
        <f>IF($K377="","",IF(INDEX('Prospect Tracker'!$B$5:$B$554,$K377)="","",INDEX('Prospect Tracker'!$B$5:$B$554,$K377)))</f>
        <v/>
      </c>
      <c r="D377" s="25">
        <f>IF($K377="","",IF(INDEX('Prospect Tracker'!$M$5:$M$554,$K377)="","",INDEX('Prospect Tracker'!$M$5:$M$554,$K377)))</f>
        <v/>
      </c>
      <c r="E377" s="25">
        <f>IF($K377="","",IF(INDEX('Prospect Tracker'!$R$5:$R$554,$K377)="","",INDEX('Prospect Tracker'!$R$5:$R$554,$K377)))</f>
        <v/>
      </c>
      <c r="F377" s="25">
        <f>IF($K377="","",IF(INDEX('Prospect Tracker'!$J$5:$J$554,$K377)="","",INDEX('Prospect Tracker'!$J$5:$J$554,$K377)))</f>
        <v/>
      </c>
      <c r="G377" s="25">
        <f>IF($K377="","",IF(INDEX('Prospect Tracker'!$H$5:$H$554,$K377)="","",INDEX('Prospect Tracker'!$H$5:$H$554,$K377)))</f>
        <v/>
      </c>
      <c r="H377" s="26">
        <f>IF($K377="","",IF(INDEX('Prospect Tracker'!$K$5:$K$554,$K377)="","",INDEX('Prospect Tracker'!$K$5:$K$554,$K377)))</f>
        <v/>
      </c>
      <c r="I377" s="25">
        <f>IF($K377="","",IF(INDEX('Prospect Tracker'!$T$5:$T$554,$K377)="","",INDEX('Prospect Tracker'!$T$5:$T$554,$K377)))</f>
        <v/>
      </c>
      <c r="J377" s="25">
        <f>IF($K377="","",IF(INDEX('Prospect Tracker'!$L$5:$L$554,$K377)="","",INDEX('Prospect Tracker'!$L$5:$L$554,$K377)))</f>
        <v/>
      </c>
      <c r="K377" s="19">
        <f>IFERROR(MATCH(SMALL('Prospect Tracker'!$X$5:$X$554,ROW()-4),'Prospect Tracker'!$X$5:$X$554,0),"")</f>
        <v/>
      </c>
    </row>
    <row r="378" ht="15" customHeight="1" s="20">
      <c r="A378" s="30">
        <f>IF($K378="","",IF(INDEX('Prospect Tracker'!$W$5:$W$554,$K378)="","",INDEX('Prospect Tracker'!$W$5:$W$554,$K378)))</f>
        <v/>
      </c>
      <c r="B378" s="30">
        <f>IF($K378="","",IF(INDEX('Prospect Tracker'!$A$5:$A$554,$K378)="","",INDEX('Prospect Tracker'!$A$5:$A$554,$K378)))</f>
        <v/>
      </c>
      <c r="C378" s="30">
        <f>IF($K378="","",IF(INDEX('Prospect Tracker'!$B$5:$B$554,$K378)="","",INDEX('Prospect Tracker'!$B$5:$B$554,$K378)))</f>
        <v/>
      </c>
      <c r="D378" s="30">
        <f>IF($K378="","",IF(INDEX('Prospect Tracker'!$M$5:$M$554,$K378)="","",INDEX('Prospect Tracker'!$M$5:$M$554,$K378)))</f>
        <v/>
      </c>
      <c r="E378" s="30">
        <f>IF($K378="","",IF(INDEX('Prospect Tracker'!$R$5:$R$554,$K378)="","",INDEX('Prospect Tracker'!$R$5:$R$554,$K378)))</f>
        <v/>
      </c>
      <c r="F378" s="30">
        <f>IF($K378="","",IF(INDEX('Prospect Tracker'!$J$5:$J$554,$K378)="","",INDEX('Prospect Tracker'!$J$5:$J$554,$K378)))</f>
        <v/>
      </c>
      <c r="G378" s="30">
        <f>IF($K378="","",IF(INDEX('Prospect Tracker'!$H$5:$H$554,$K378)="","",INDEX('Prospect Tracker'!$H$5:$H$554,$K378)))</f>
        <v/>
      </c>
      <c r="H378" s="31">
        <f>IF($K378="","",IF(INDEX('Prospect Tracker'!$K$5:$K$554,$K378)="","",INDEX('Prospect Tracker'!$K$5:$K$554,$K378)))</f>
        <v/>
      </c>
      <c r="I378" s="30">
        <f>IF($K378="","",IF(INDEX('Prospect Tracker'!$T$5:$T$554,$K378)="","",INDEX('Prospect Tracker'!$T$5:$T$554,$K378)))</f>
        <v/>
      </c>
      <c r="J378" s="30">
        <f>IF($K378="","",IF(INDEX('Prospect Tracker'!$L$5:$L$554,$K378)="","",INDEX('Prospect Tracker'!$L$5:$L$554,$K378)))</f>
        <v/>
      </c>
      <c r="K378" s="19">
        <f>IFERROR(MATCH(SMALL('Prospect Tracker'!$X$5:$X$554,ROW()-4),'Prospect Tracker'!$X$5:$X$554,0),"")</f>
        <v/>
      </c>
    </row>
    <row r="379" ht="15" customHeight="1" s="20">
      <c r="A379" s="25">
        <f>IF($K379="","",IF(INDEX('Prospect Tracker'!$W$5:$W$554,$K379)="","",INDEX('Prospect Tracker'!$W$5:$W$554,$K379)))</f>
        <v/>
      </c>
      <c r="B379" s="25">
        <f>IF($K379="","",IF(INDEX('Prospect Tracker'!$A$5:$A$554,$K379)="","",INDEX('Prospect Tracker'!$A$5:$A$554,$K379)))</f>
        <v/>
      </c>
      <c r="C379" s="25">
        <f>IF($K379="","",IF(INDEX('Prospect Tracker'!$B$5:$B$554,$K379)="","",INDEX('Prospect Tracker'!$B$5:$B$554,$K379)))</f>
        <v/>
      </c>
      <c r="D379" s="25">
        <f>IF($K379="","",IF(INDEX('Prospect Tracker'!$M$5:$M$554,$K379)="","",INDEX('Prospect Tracker'!$M$5:$M$554,$K379)))</f>
        <v/>
      </c>
      <c r="E379" s="25">
        <f>IF($K379="","",IF(INDEX('Prospect Tracker'!$R$5:$R$554,$K379)="","",INDEX('Prospect Tracker'!$R$5:$R$554,$K379)))</f>
        <v/>
      </c>
      <c r="F379" s="25">
        <f>IF($K379="","",IF(INDEX('Prospect Tracker'!$J$5:$J$554,$K379)="","",INDEX('Prospect Tracker'!$J$5:$J$554,$K379)))</f>
        <v/>
      </c>
      <c r="G379" s="25">
        <f>IF($K379="","",IF(INDEX('Prospect Tracker'!$H$5:$H$554,$K379)="","",INDEX('Prospect Tracker'!$H$5:$H$554,$K379)))</f>
        <v/>
      </c>
      <c r="H379" s="26">
        <f>IF($K379="","",IF(INDEX('Prospect Tracker'!$K$5:$K$554,$K379)="","",INDEX('Prospect Tracker'!$K$5:$K$554,$K379)))</f>
        <v/>
      </c>
      <c r="I379" s="25">
        <f>IF($K379="","",IF(INDEX('Prospect Tracker'!$T$5:$T$554,$K379)="","",INDEX('Prospect Tracker'!$T$5:$T$554,$K379)))</f>
        <v/>
      </c>
      <c r="J379" s="25">
        <f>IF($K379="","",IF(INDEX('Prospect Tracker'!$L$5:$L$554,$K379)="","",INDEX('Prospect Tracker'!$L$5:$L$554,$K379)))</f>
        <v/>
      </c>
      <c r="K379" s="19">
        <f>IFERROR(MATCH(SMALL('Prospect Tracker'!$X$5:$X$554,ROW()-4),'Prospect Tracker'!$X$5:$X$554,0),"")</f>
        <v/>
      </c>
    </row>
    <row r="380" ht="15" customHeight="1" s="20">
      <c r="A380" s="30">
        <f>IF($K380="","",IF(INDEX('Prospect Tracker'!$W$5:$W$554,$K380)="","",INDEX('Prospect Tracker'!$W$5:$W$554,$K380)))</f>
        <v/>
      </c>
      <c r="B380" s="30">
        <f>IF($K380="","",IF(INDEX('Prospect Tracker'!$A$5:$A$554,$K380)="","",INDEX('Prospect Tracker'!$A$5:$A$554,$K380)))</f>
        <v/>
      </c>
      <c r="C380" s="30">
        <f>IF($K380="","",IF(INDEX('Prospect Tracker'!$B$5:$B$554,$K380)="","",INDEX('Prospect Tracker'!$B$5:$B$554,$K380)))</f>
        <v/>
      </c>
      <c r="D380" s="30">
        <f>IF($K380="","",IF(INDEX('Prospect Tracker'!$M$5:$M$554,$K380)="","",INDEX('Prospect Tracker'!$M$5:$M$554,$K380)))</f>
        <v/>
      </c>
      <c r="E380" s="30">
        <f>IF($K380="","",IF(INDEX('Prospect Tracker'!$R$5:$R$554,$K380)="","",INDEX('Prospect Tracker'!$R$5:$R$554,$K380)))</f>
        <v/>
      </c>
      <c r="F380" s="30">
        <f>IF($K380="","",IF(INDEX('Prospect Tracker'!$J$5:$J$554,$K380)="","",INDEX('Prospect Tracker'!$J$5:$J$554,$K380)))</f>
        <v/>
      </c>
      <c r="G380" s="30">
        <f>IF($K380="","",IF(INDEX('Prospect Tracker'!$H$5:$H$554,$K380)="","",INDEX('Prospect Tracker'!$H$5:$H$554,$K380)))</f>
        <v/>
      </c>
      <c r="H380" s="31">
        <f>IF($K380="","",IF(INDEX('Prospect Tracker'!$K$5:$K$554,$K380)="","",INDEX('Prospect Tracker'!$K$5:$K$554,$K380)))</f>
        <v/>
      </c>
      <c r="I380" s="30">
        <f>IF($K380="","",IF(INDEX('Prospect Tracker'!$T$5:$T$554,$K380)="","",INDEX('Prospect Tracker'!$T$5:$T$554,$K380)))</f>
        <v/>
      </c>
      <c r="J380" s="30">
        <f>IF($K380="","",IF(INDEX('Prospect Tracker'!$L$5:$L$554,$K380)="","",INDEX('Prospect Tracker'!$L$5:$L$554,$K380)))</f>
        <v/>
      </c>
      <c r="K380" s="19">
        <f>IFERROR(MATCH(SMALL('Prospect Tracker'!$X$5:$X$554,ROW()-4),'Prospect Tracker'!$X$5:$X$554,0),"")</f>
        <v/>
      </c>
    </row>
    <row r="381" ht="15" customHeight="1" s="20">
      <c r="A381" s="25">
        <f>IF($K381="","",IF(INDEX('Prospect Tracker'!$W$5:$W$554,$K381)="","",INDEX('Prospect Tracker'!$W$5:$W$554,$K381)))</f>
        <v/>
      </c>
      <c r="B381" s="25">
        <f>IF($K381="","",IF(INDEX('Prospect Tracker'!$A$5:$A$554,$K381)="","",INDEX('Prospect Tracker'!$A$5:$A$554,$K381)))</f>
        <v/>
      </c>
      <c r="C381" s="25">
        <f>IF($K381="","",IF(INDEX('Prospect Tracker'!$B$5:$B$554,$K381)="","",INDEX('Prospect Tracker'!$B$5:$B$554,$K381)))</f>
        <v/>
      </c>
      <c r="D381" s="25">
        <f>IF($K381="","",IF(INDEX('Prospect Tracker'!$M$5:$M$554,$K381)="","",INDEX('Prospect Tracker'!$M$5:$M$554,$K381)))</f>
        <v/>
      </c>
      <c r="E381" s="25">
        <f>IF($K381="","",IF(INDEX('Prospect Tracker'!$R$5:$R$554,$K381)="","",INDEX('Prospect Tracker'!$R$5:$R$554,$K381)))</f>
        <v/>
      </c>
      <c r="F381" s="25">
        <f>IF($K381="","",IF(INDEX('Prospect Tracker'!$J$5:$J$554,$K381)="","",INDEX('Prospect Tracker'!$J$5:$J$554,$K381)))</f>
        <v/>
      </c>
      <c r="G381" s="25">
        <f>IF($K381="","",IF(INDEX('Prospect Tracker'!$H$5:$H$554,$K381)="","",INDEX('Prospect Tracker'!$H$5:$H$554,$K381)))</f>
        <v/>
      </c>
      <c r="H381" s="26">
        <f>IF($K381="","",IF(INDEX('Prospect Tracker'!$K$5:$K$554,$K381)="","",INDEX('Prospect Tracker'!$K$5:$K$554,$K381)))</f>
        <v/>
      </c>
      <c r="I381" s="25">
        <f>IF($K381="","",IF(INDEX('Prospect Tracker'!$T$5:$T$554,$K381)="","",INDEX('Prospect Tracker'!$T$5:$T$554,$K381)))</f>
        <v/>
      </c>
      <c r="J381" s="25">
        <f>IF($K381="","",IF(INDEX('Prospect Tracker'!$L$5:$L$554,$K381)="","",INDEX('Prospect Tracker'!$L$5:$L$554,$K381)))</f>
        <v/>
      </c>
      <c r="K381" s="19">
        <f>IFERROR(MATCH(SMALL('Prospect Tracker'!$X$5:$X$554,ROW()-4),'Prospect Tracker'!$X$5:$X$554,0),"")</f>
        <v/>
      </c>
    </row>
    <row r="382" ht="15" customHeight="1" s="20">
      <c r="A382" s="30">
        <f>IF($K382="","",IF(INDEX('Prospect Tracker'!$W$5:$W$554,$K382)="","",INDEX('Prospect Tracker'!$W$5:$W$554,$K382)))</f>
        <v/>
      </c>
      <c r="B382" s="30">
        <f>IF($K382="","",IF(INDEX('Prospect Tracker'!$A$5:$A$554,$K382)="","",INDEX('Prospect Tracker'!$A$5:$A$554,$K382)))</f>
        <v/>
      </c>
      <c r="C382" s="30">
        <f>IF($K382="","",IF(INDEX('Prospect Tracker'!$B$5:$B$554,$K382)="","",INDEX('Prospect Tracker'!$B$5:$B$554,$K382)))</f>
        <v/>
      </c>
      <c r="D382" s="30">
        <f>IF($K382="","",IF(INDEX('Prospect Tracker'!$M$5:$M$554,$K382)="","",INDEX('Prospect Tracker'!$M$5:$M$554,$K382)))</f>
        <v/>
      </c>
      <c r="E382" s="30">
        <f>IF($K382="","",IF(INDEX('Prospect Tracker'!$R$5:$R$554,$K382)="","",INDEX('Prospect Tracker'!$R$5:$R$554,$K382)))</f>
        <v/>
      </c>
      <c r="F382" s="30">
        <f>IF($K382="","",IF(INDEX('Prospect Tracker'!$J$5:$J$554,$K382)="","",INDEX('Prospect Tracker'!$J$5:$J$554,$K382)))</f>
        <v/>
      </c>
      <c r="G382" s="30">
        <f>IF($K382="","",IF(INDEX('Prospect Tracker'!$H$5:$H$554,$K382)="","",INDEX('Prospect Tracker'!$H$5:$H$554,$K382)))</f>
        <v/>
      </c>
      <c r="H382" s="31">
        <f>IF($K382="","",IF(INDEX('Prospect Tracker'!$K$5:$K$554,$K382)="","",INDEX('Prospect Tracker'!$K$5:$K$554,$K382)))</f>
        <v/>
      </c>
      <c r="I382" s="30">
        <f>IF($K382="","",IF(INDEX('Prospect Tracker'!$T$5:$T$554,$K382)="","",INDEX('Prospect Tracker'!$T$5:$T$554,$K382)))</f>
        <v/>
      </c>
      <c r="J382" s="30">
        <f>IF($K382="","",IF(INDEX('Prospect Tracker'!$L$5:$L$554,$K382)="","",INDEX('Prospect Tracker'!$L$5:$L$554,$K382)))</f>
        <v/>
      </c>
      <c r="K382" s="19">
        <f>IFERROR(MATCH(SMALL('Prospect Tracker'!$X$5:$X$554,ROW()-4),'Prospect Tracker'!$X$5:$X$554,0),"")</f>
        <v/>
      </c>
    </row>
    <row r="383" ht="15" customHeight="1" s="20">
      <c r="A383" s="25">
        <f>IF($K383="","",IF(INDEX('Prospect Tracker'!$W$5:$W$554,$K383)="","",INDEX('Prospect Tracker'!$W$5:$W$554,$K383)))</f>
        <v/>
      </c>
      <c r="B383" s="25">
        <f>IF($K383="","",IF(INDEX('Prospect Tracker'!$A$5:$A$554,$K383)="","",INDEX('Prospect Tracker'!$A$5:$A$554,$K383)))</f>
        <v/>
      </c>
      <c r="C383" s="25">
        <f>IF($K383="","",IF(INDEX('Prospect Tracker'!$B$5:$B$554,$K383)="","",INDEX('Prospect Tracker'!$B$5:$B$554,$K383)))</f>
        <v/>
      </c>
      <c r="D383" s="25">
        <f>IF($K383="","",IF(INDEX('Prospect Tracker'!$M$5:$M$554,$K383)="","",INDEX('Prospect Tracker'!$M$5:$M$554,$K383)))</f>
        <v/>
      </c>
      <c r="E383" s="25">
        <f>IF($K383="","",IF(INDEX('Prospect Tracker'!$R$5:$R$554,$K383)="","",INDEX('Prospect Tracker'!$R$5:$R$554,$K383)))</f>
        <v/>
      </c>
      <c r="F383" s="25">
        <f>IF($K383="","",IF(INDEX('Prospect Tracker'!$J$5:$J$554,$K383)="","",INDEX('Prospect Tracker'!$J$5:$J$554,$K383)))</f>
        <v/>
      </c>
      <c r="G383" s="25">
        <f>IF($K383="","",IF(INDEX('Prospect Tracker'!$H$5:$H$554,$K383)="","",INDEX('Prospect Tracker'!$H$5:$H$554,$K383)))</f>
        <v/>
      </c>
      <c r="H383" s="26">
        <f>IF($K383="","",IF(INDEX('Prospect Tracker'!$K$5:$K$554,$K383)="","",INDEX('Prospect Tracker'!$K$5:$K$554,$K383)))</f>
        <v/>
      </c>
      <c r="I383" s="25">
        <f>IF($K383="","",IF(INDEX('Prospect Tracker'!$T$5:$T$554,$K383)="","",INDEX('Prospect Tracker'!$T$5:$T$554,$K383)))</f>
        <v/>
      </c>
      <c r="J383" s="25">
        <f>IF($K383="","",IF(INDEX('Prospect Tracker'!$L$5:$L$554,$K383)="","",INDEX('Prospect Tracker'!$L$5:$L$554,$K383)))</f>
        <v/>
      </c>
      <c r="K383" s="19">
        <f>IFERROR(MATCH(SMALL('Prospect Tracker'!$X$5:$X$554,ROW()-4),'Prospect Tracker'!$X$5:$X$554,0),"")</f>
        <v/>
      </c>
    </row>
    <row r="384" ht="15" customHeight="1" s="20">
      <c r="A384" s="30">
        <f>IF($K384="","",IF(INDEX('Prospect Tracker'!$W$5:$W$554,$K384)="","",INDEX('Prospect Tracker'!$W$5:$W$554,$K384)))</f>
        <v/>
      </c>
      <c r="B384" s="30">
        <f>IF($K384="","",IF(INDEX('Prospect Tracker'!$A$5:$A$554,$K384)="","",INDEX('Prospect Tracker'!$A$5:$A$554,$K384)))</f>
        <v/>
      </c>
      <c r="C384" s="30">
        <f>IF($K384="","",IF(INDEX('Prospect Tracker'!$B$5:$B$554,$K384)="","",INDEX('Prospect Tracker'!$B$5:$B$554,$K384)))</f>
        <v/>
      </c>
      <c r="D384" s="30">
        <f>IF($K384="","",IF(INDEX('Prospect Tracker'!$M$5:$M$554,$K384)="","",INDEX('Prospect Tracker'!$M$5:$M$554,$K384)))</f>
        <v/>
      </c>
      <c r="E384" s="30">
        <f>IF($K384="","",IF(INDEX('Prospect Tracker'!$R$5:$R$554,$K384)="","",INDEX('Prospect Tracker'!$R$5:$R$554,$K384)))</f>
        <v/>
      </c>
      <c r="F384" s="30">
        <f>IF($K384="","",IF(INDEX('Prospect Tracker'!$J$5:$J$554,$K384)="","",INDEX('Prospect Tracker'!$J$5:$J$554,$K384)))</f>
        <v/>
      </c>
      <c r="G384" s="30">
        <f>IF($K384="","",IF(INDEX('Prospect Tracker'!$H$5:$H$554,$K384)="","",INDEX('Prospect Tracker'!$H$5:$H$554,$K384)))</f>
        <v/>
      </c>
      <c r="H384" s="31">
        <f>IF($K384="","",IF(INDEX('Prospect Tracker'!$K$5:$K$554,$K384)="","",INDEX('Prospect Tracker'!$K$5:$K$554,$K384)))</f>
        <v/>
      </c>
      <c r="I384" s="30">
        <f>IF($K384="","",IF(INDEX('Prospect Tracker'!$T$5:$T$554,$K384)="","",INDEX('Prospect Tracker'!$T$5:$T$554,$K384)))</f>
        <v/>
      </c>
      <c r="J384" s="30">
        <f>IF($K384="","",IF(INDEX('Prospect Tracker'!$L$5:$L$554,$K384)="","",INDEX('Prospect Tracker'!$L$5:$L$554,$K384)))</f>
        <v/>
      </c>
      <c r="K384" s="19">
        <f>IFERROR(MATCH(SMALL('Prospect Tracker'!$X$5:$X$554,ROW()-4),'Prospect Tracker'!$X$5:$X$554,0),"")</f>
        <v/>
      </c>
    </row>
    <row r="385" ht="15" customHeight="1" s="20">
      <c r="A385" s="25">
        <f>IF($K385="","",IF(INDEX('Prospect Tracker'!$W$5:$W$554,$K385)="","",INDEX('Prospect Tracker'!$W$5:$W$554,$K385)))</f>
        <v/>
      </c>
      <c r="B385" s="25">
        <f>IF($K385="","",IF(INDEX('Prospect Tracker'!$A$5:$A$554,$K385)="","",INDEX('Prospect Tracker'!$A$5:$A$554,$K385)))</f>
        <v/>
      </c>
      <c r="C385" s="25">
        <f>IF($K385="","",IF(INDEX('Prospect Tracker'!$B$5:$B$554,$K385)="","",INDEX('Prospect Tracker'!$B$5:$B$554,$K385)))</f>
        <v/>
      </c>
      <c r="D385" s="25">
        <f>IF($K385="","",IF(INDEX('Prospect Tracker'!$M$5:$M$554,$K385)="","",INDEX('Prospect Tracker'!$M$5:$M$554,$K385)))</f>
        <v/>
      </c>
      <c r="E385" s="25">
        <f>IF($K385="","",IF(INDEX('Prospect Tracker'!$R$5:$R$554,$K385)="","",INDEX('Prospect Tracker'!$R$5:$R$554,$K385)))</f>
        <v/>
      </c>
      <c r="F385" s="25">
        <f>IF($K385="","",IF(INDEX('Prospect Tracker'!$J$5:$J$554,$K385)="","",INDEX('Prospect Tracker'!$J$5:$J$554,$K385)))</f>
        <v/>
      </c>
      <c r="G385" s="25">
        <f>IF($K385="","",IF(INDEX('Prospect Tracker'!$H$5:$H$554,$K385)="","",INDEX('Prospect Tracker'!$H$5:$H$554,$K385)))</f>
        <v/>
      </c>
      <c r="H385" s="26">
        <f>IF($K385="","",IF(INDEX('Prospect Tracker'!$K$5:$K$554,$K385)="","",INDEX('Prospect Tracker'!$K$5:$K$554,$K385)))</f>
        <v/>
      </c>
      <c r="I385" s="25">
        <f>IF($K385="","",IF(INDEX('Prospect Tracker'!$T$5:$T$554,$K385)="","",INDEX('Prospect Tracker'!$T$5:$T$554,$K385)))</f>
        <v/>
      </c>
      <c r="J385" s="25">
        <f>IF($K385="","",IF(INDEX('Prospect Tracker'!$L$5:$L$554,$K385)="","",INDEX('Prospect Tracker'!$L$5:$L$554,$K385)))</f>
        <v/>
      </c>
      <c r="K385" s="19">
        <f>IFERROR(MATCH(SMALL('Prospect Tracker'!$X$5:$X$554,ROW()-4),'Prospect Tracker'!$X$5:$X$554,0),"")</f>
        <v/>
      </c>
    </row>
    <row r="386" ht="15" customHeight="1" s="20">
      <c r="A386" s="30">
        <f>IF($K386="","",IF(INDEX('Prospect Tracker'!$W$5:$W$554,$K386)="","",INDEX('Prospect Tracker'!$W$5:$W$554,$K386)))</f>
        <v/>
      </c>
      <c r="B386" s="30">
        <f>IF($K386="","",IF(INDEX('Prospect Tracker'!$A$5:$A$554,$K386)="","",INDEX('Prospect Tracker'!$A$5:$A$554,$K386)))</f>
        <v/>
      </c>
      <c r="C386" s="30">
        <f>IF($K386="","",IF(INDEX('Prospect Tracker'!$B$5:$B$554,$K386)="","",INDEX('Prospect Tracker'!$B$5:$B$554,$K386)))</f>
        <v/>
      </c>
      <c r="D386" s="30">
        <f>IF($K386="","",IF(INDEX('Prospect Tracker'!$M$5:$M$554,$K386)="","",INDEX('Prospect Tracker'!$M$5:$M$554,$K386)))</f>
        <v/>
      </c>
      <c r="E386" s="30">
        <f>IF($K386="","",IF(INDEX('Prospect Tracker'!$R$5:$R$554,$K386)="","",INDEX('Prospect Tracker'!$R$5:$R$554,$K386)))</f>
        <v/>
      </c>
      <c r="F386" s="30">
        <f>IF($K386="","",IF(INDEX('Prospect Tracker'!$J$5:$J$554,$K386)="","",INDEX('Prospect Tracker'!$J$5:$J$554,$K386)))</f>
        <v/>
      </c>
      <c r="G386" s="30">
        <f>IF($K386="","",IF(INDEX('Prospect Tracker'!$H$5:$H$554,$K386)="","",INDEX('Prospect Tracker'!$H$5:$H$554,$K386)))</f>
        <v/>
      </c>
      <c r="H386" s="31">
        <f>IF($K386="","",IF(INDEX('Prospect Tracker'!$K$5:$K$554,$K386)="","",INDEX('Prospect Tracker'!$K$5:$K$554,$K386)))</f>
        <v/>
      </c>
      <c r="I386" s="30">
        <f>IF($K386="","",IF(INDEX('Prospect Tracker'!$T$5:$T$554,$K386)="","",INDEX('Prospect Tracker'!$T$5:$T$554,$K386)))</f>
        <v/>
      </c>
      <c r="J386" s="30">
        <f>IF($K386="","",IF(INDEX('Prospect Tracker'!$L$5:$L$554,$K386)="","",INDEX('Prospect Tracker'!$L$5:$L$554,$K386)))</f>
        <v/>
      </c>
      <c r="K386" s="19">
        <f>IFERROR(MATCH(SMALL('Prospect Tracker'!$X$5:$X$554,ROW()-4),'Prospect Tracker'!$X$5:$X$554,0),"")</f>
        <v/>
      </c>
    </row>
    <row r="387" ht="15" customHeight="1" s="20">
      <c r="A387" s="25">
        <f>IF($K387="","",IF(INDEX('Prospect Tracker'!$W$5:$W$554,$K387)="","",INDEX('Prospect Tracker'!$W$5:$W$554,$K387)))</f>
        <v/>
      </c>
      <c r="B387" s="25">
        <f>IF($K387="","",IF(INDEX('Prospect Tracker'!$A$5:$A$554,$K387)="","",INDEX('Prospect Tracker'!$A$5:$A$554,$K387)))</f>
        <v/>
      </c>
      <c r="C387" s="25">
        <f>IF($K387="","",IF(INDEX('Prospect Tracker'!$B$5:$B$554,$K387)="","",INDEX('Prospect Tracker'!$B$5:$B$554,$K387)))</f>
        <v/>
      </c>
      <c r="D387" s="25">
        <f>IF($K387="","",IF(INDEX('Prospect Tracker'!$M$5:$M$554,$K387)="","",INDEX('Prospect Tracker'!$M$5:$M$554,$K387)))</f>
        <v/>
      </c>
      <c r="E387" s="25">
        <f>IF($K387="","",IF(INDEX('Prospect Tracker'!$R$5:$R$554,$K387)="","",INDEX('Prospect Tracker'!$R$5:$R$554,$K387)))</f>
        <v/>
      </c>
      <c r="F387" s="25">
        <f>IF($K387="","",IF(INDEX('Prospect Tracker'!$J$5:$J$554,$K387)="","",INDEX('Prospect Tracker'!$J$5:$J$554,$K387)))</f>
        <v/>
      </c>
      <c r="G387" s="25">
        <f>IF($K387="","",IF(INDEX('Prospect Tracker'!$H$5:$H$554,$K387)="","",INDEX('Prospect Tracker'!$H$5:$H$554,$K387)))</f>
        <v/>
      </c>
      <c r="H387" s="26">
        <f>IF($K387="","",IF(INDEX('Prospect Tracker'!$K$5:$K$554,$K387)="","",INDEX('Prospect Tracker'!$K$5:$K$554,$K387)))</f>
        <v/>
      </c>
      <c r="I387" s="25">
        <f>IF($K387="","",IF(INDEX('Prospect Tracker'!$T$5:$T$554,$K387)="","",INDEX('Prospect Tracker'!$T$5:$T$554,$K387)))</f>
        <v/>
      </c>
      <c r="J387" s="25">
        <f>IF($K387="","",IF(INDEX('Prospect Tracker'!$L$5:$L$554,$K387)="","",INDEX('Prospect Tracker'!$L$5:$L$554,$K387)))</f>
        <v/>
      </c>
      <c r="K387" s="19">
        <f>IFERROR(MATCH(SMALL('Prospect Tracker'!$X$5:$X$554,ROW()-4),'Prospect Tracker'!$X$5:$X$554,0),"")</f>
        <v/>
      </c>
    </row>
    <row r="388" ht="15" customHeight="1" s="20">
      <c r="A388" s="30">
        <f>IF($K388="","",IF(INDEX('Prospect Tracker'!$W$5:$W$554,$K388)="","",INDEX('Prospect Tracker'!$W$5:$W$554,$K388)))</f>
        <v/>
      </c>
      <c r="B388" s="30">
        <f>IF($K388="","",IF(INDEX('Prospect Tracker'!$A$5:$A$554,$K388)="","",INDEX('Prospect Tracker'!$A$5:$A$554,$K388)))</f>
        <v/>
      </c>
      <c r="C388" s="30">
        <f>IF($K388="","",IF(INDEX('Prospect Tracker'!$B$5:$B$554,$K388)="","",INDEX('Prospect Tracker'!$B$5:$B$554,$K388)))</f>
        <v/>
      </c>
      <c r="D388" s="30">
        <f>IF($K388="","",IF(INDEX('Prospect Tracker'!$M$5:$M$554,$K388)="","",INDEX('Prospect Tracker'!$M$5:$M$554,$K388)))</f>
        <v/>
      </c>
      <c r="E388" s="30">
        <f>IF($K388="","",IF(INDEX('Prospect Tracker'!$R$5:$R$554,$K388)="","",INDEX('Prospect Tracker'!$R$5:$R$554,$K388)))</f>
        <v/>
      </c>
      <c r="F388" s="30">
        <f>IF($K388="","",IF(INDEX('Prospect Tracker'!$J$5:$J$554,$K388)="","",INDEX('Prospect Tracker'!$J$5:$J$554,$K388)))</f>
        <v/>
      </c>
      <c r="G388" s="30">
        <f>IF($K388="","",IF(INDEX('Prospect Tracker'!$H$5:$H$554,$K388)="","",INDEX('Prospect Tracker'!$H$5:$H$554,$K388)))</f>
        <v/>
      </c>
      <c r="H388" s="31">
        <f>IF($K388="","",IF(INDEX('Prospect Tracker'!$K$5:$K$554,$K388)="","",INDEX('Prospect Tracker'!$K$5:$K$554,$K388)))</f>
        <v/>
      </c>
      <c r="I388" s="30">
        <f>IF($K388="","",IF(INDEX('Prospect Tracker'!$T$5:$T$554,$K388)="","",INDEX('Prospect Tracker'!$T$5:$T$554,$K388)))</f>
        <v/>
      </c>
      <c r="J388" s="30">
        <f>IF($K388="","",IF(INDEX('Prospect Tracker'!$L$5:$L$554,$K388)="","",INDEX('Prospect Tracker'!$L$5:$L$554,$K388)))</f>
        <v/>
      </c>
      <c r="K388" s="19">
        <f>IFERROR(MATCH(SMALL('Prospect Tracker'!$X$5:$X$554,ROW()-4),'Prospect Tracker'!$X$5:$X$554,0),"")</f>
        <v/>
      </c>
    </row>
    <row r="389" ht="15" customHeight="1" s="20">
      <c r="A389" s="25">
        <f>IF($K389="","",IF(INDEX('Prospect Tracker'!$W$5:$W$554,$K389)="","",INDEX('Prospect Tracker'!$W$5:$W$554,$K389)))</f>
        <v/>
      </c>
      <c r="B389" s="25">
        <f>IF($K389="","",IF(INDEX('Prospect Tracker'!$A$5:$A$554,$K389)="","",INDEX('Prospect Tracker'!$A$5:$A$554,$K389)))</f>
        <v/>
      </c>
      <c r="C389" s="25">
        <f>IF($K389="","",IF(INDEX('Prospect Tracker'!$B$5:$B$554,$K389)="","",INDEX('Prospect Tracker'!$B$5:$B$554,$K389)))</f>
        <v/>
      </c>
      <c r="D389" s="25">
        <f>IF($K389="","",IF(INDEX('Prospect Tracker'!$M$5:$M$554,$K389)="","",INDEX('Prospect Tracker'!$M$5:$M$554,$K389)))</f>
        <v/>
      </c>
      <c r="E389" s="25">
        <f>IF($K389="","",IF(INDEX('Prospect Tracker'!$R$5:$R$554,$K389)="","",INDEX('Prospect Tracker'!$R$5:$R$554,$K389)))</f>
        <v/>
      </c>
      <c r="F389" s="25">
        <f>IF($K389="","",IF(INDEX('Prospect Tracker'!$J$5:$J$554,$K389)="","",INDEX('Prospect Tracker'!$J$5:$J$554,$K389)))</f>
        <v/>
      </c>
      <c r="G389" s="25">
        <f>IF($K389="","",IF(INDEX('Prospect Tracker'!$H$5:$H$554,$K389)="","",INDEX('Prospect Tracker'!$H$5:$H$554,$K389)))</f>
        <v/>
      </c>
      <c r="H389" s="26">
        <f>IF($K389="","",IF(INDEX('Prospect Tracker'!$K$5:$K$554,$K389)="","",INDEX('Prospect Tracker'!$K$5:$K$554,$K389)))</f>
        <v/>
      </c>
      <c r="I389" s="25">
        <f>IF($K389="","",IF(INDEX('Prospect Tracker'!$T$5:$T$554,$K389)="","",INDEX('Prospect Tracker'!$T$5:$T$554,$K389)))</f>
        <v/>
      </c>
      <c r="J389" s="25">
        <f>IF($K389="","",IF(INDEX('Prospect Tracker'!$L$5:$L$554,$K389)="","",INDEX('Prospect Tracker'!$L$5:$L$554,$K389)))</f>
        <v/>
      </c>
      <c r="K389" s="19">
        <f>IFERROR(MATCH(SMALL('Prospect Tracker'!$X$5:$X$554,ROW()-4),'Prospect Tracker'!$X$5:$X$554,0),"")</f>
        <v/>
      </c>
    </row>
    <row r="390" ht="15" customHeight="1" s="20">
      <c r="A390" s="30">
        <f>IF($K390="","",IF(INDEX('Prospect Tracker'!$W$5:$W$554,$K390)="","",INDEX('Prospect Tracker'!$W$5:$W$554,$K390)))</f>
        <v/>
      </c>
      <c r="B390" s="30">
        <f>IF($K390="","",IF(INDEX('Prospect Tracker'!$A$5:$A$554,$K390)="","",INDEX('Prospect Tracker'!$A$5:$A$554,$K390)))</f>
        <v/>
      </c>
      <c r="C390" s="30">
        <f>IF($K390="","",IF(INDEX('Prospect Tracker'!$B$5:$B$554,$K390)="","",INDEX('Prospect Tracker'!$B$5:$B$554,$K390)))</f>
        <v/>
      </c>
      <c r="D390" s="30">
        <f>IF($K390="","",IF(INDEX('Prospect Tracker'!$M$5:$M$554,$K390)="","",INDEX('Prospect Tracker'!$M$5:$M$554,$K390)))</f>
        <v/>
      </c>
      <c r="E390" s="30">
        <f>IF($K390="","",IF(INDEX('Prospect Tracker'!$R$5:$R$554,$K390)="","",INDEX('Prospect Tracker'!$R$5:$R$554,$K390)))</f>
        <v/>
      </c>
      <c r="F390" s="30">
        <f>IF($K390="","",IF(INDEX('Prospect Tracker'!$J$5:$J$554,$K390)="","",INDEX('Prospect Tracker'!$J$5:$J$554,$K390)))</f>
        <v/>
      </c>
      <c r="G390" s="30">
        <f>IF($K390="","",IF(INDEX('Prospect Tracker'!$H$5:$H$554,$K390)="","",INDEX('Prospect Tracker'!$H$5:$H$554,$K390)))</f>
        <v/>
      </c>
      <c r="H390" s="31">
        <f>IF($K390="","",IF(INDEX('Prospect Tracker'!$K$5:$K$554,$K390)="","",INDEX('Prospect Tracker'!$K$5:$K$554,$K390)))</f>
        <v/>
      </c>
      <c r="I390" s="30">
        <f>IF($K390="","",IF(INDEX('Prospect Tracker'!$T$5:$T$554,$K390)="","",INDEX('Prospect Tracker'!$T$5:$T$554,$K390)))</f>
        <v/>
      </c>
      <c r="J390" s="30">
        <f>IF($K390="","",IF(INDEX('Prospect Tracker'!$L$5:$L$554,$K390)="","",INDEX('Prospect Tracker'!$L$5:$L$554,$K390)))</f>
        <v/>
      </c>
      <c r="K390" s="19">
        <f>IFERROR(MATCH(SMALL('Prospect Tracker'!$X$5:$X$554,ROW()-4),'Prospect Tracker'!$X$5:$X$554,0),"")</f>
        <v/>
      </c>
    </row>
    <row r="391" ht="15" customHeight="1" s="20">
      <c r="A391" s="25">
        <f>IF($K391="","",IF(INDEX('Prospect Tracker'!$W$5:$W$554,$K391)="","",INDEX('Prospect Tracker'!$W$5:$W$554,$K391)))</f>
        <v/>
      </c>
      <c r="B391" s="25">
        <f>IF($K391="","",IF(INDEX('Prospect Tracker'!$A$5:$A$554,$K391)="","",INDEX('Prospect Tracker'!$A$5:$A$554,$K391)))</f>
        <v/>
      </c>
      <c r="C391" s="25">
        <f>IF($K391="","",IF(INDEX('Prospect Tracker'!$B$5:$B$554,$K391)="","",INDEX('Prospect Tracker'!$B$5:$B$554,$K391)))</f>
        <v/>
      </c>
      <c r="D391" s="25">
        <f>IF($K391="","",IF(INDEX('Prospect Tracker'!$M$5:$M$554,$K391)="","",INDEX('Prospect Tracker'!$M$5:$M$554,$K391)))</f>
        <v/>
      </c>
      <c r="E391" s="25">
        <f>IF($K391="","",IF(INDEX('Prospect Tracker'!$R$5:$R$554,$K391)="","",INDEX('Prospect Tracker'!$R$5:$R$554,$K391)))</f>
        <v/>
      </c>
      <c r="F391" s="25">
        <f>IF($K391="","",IF(INDEX('Prospect Tracker'!$J$5:$J$554,$K391)="","",INDEX('Prospect Tracker'!$J$5:$J$554,$K391)))</f>
        <v/>
      </c>
      <c r="G391" s="25">
        <f>IF($K391="","",IF(INDEX('Prospect Tracker'!$H$5:$H$554,$K391)="","",INDEX('Prospect Tracker'!$H$5:$H$554,$K391)))</f>
        <v/>
      </c>
      <c r="H391" s="26">
        <f>IF($K391="","",IF(INDEX('Prospect Tracker'!$K$5:$K$554,$K391)="","",INDEX('Prospect Tracker'!$K$5:$K$554,$K391)))</f>
        <v/>
      </c>
      <c r="I391" s="25">
        <f>IF($K391="","",IF(INDEX('Prospect Tracker'!$T$5:$T$554,$K391)="","",INDEX('Prospect Tracker'!$T$5:$T$554,$K391)))</f>
        <v/>
      </c>
      <c r="J391" s="25">
        <f>IF($K391="","",IF(INDEX('Prospect Tracker'!$L$5:$L$554,$K391)="","",INDEX('Prospect Tracker'!$L$5:$L$554,$K391)))</f>
        <v/>
      </c>
      <c r="K391" s="19">
        <f>IFERROR(MATCH(SMALL('Prospect Tracker'!$X$5:$X$554,ROW()-4),'Prospect Tracker'!$X$5:$X$554,0),"")</f>
        <v/>
      </c>
    </row>
    <row r="392" ht="15" customHeight="1" s="20">
      <c r="A392" s="30">
        <f>IF($K392="","",IF(INDEX('Prospect Tracker'!$W$5:$W$554,$K392)="","",INDEX('Prospect Tracker'!$W$5:$W$554,$K392)))</f>
        <v/>
      </c>
      <c r="B392" s="30">
        <f>IF($K392="","",IF(INDEX('Prospect Tracker'!$A$5:$A$554,$K392)="","",INDEX('Prospect Tracker'!$A$5:$A$554,$K392)))</f>
        <v/>
      </c>
      <c r="C392" s="30">
        <f>IF($K392="","",IF(INDEX('Prospect Tracker'!$B$5:$B$554,$K392)="","",INDEX('Prospect Tracker'!$B$5:$B$554,$K392)))</f>
        <v/>
      </c>
      <c r="D392" s="30">
        <f>IF($K392="","",IF(INDEX('Prospect Tracker'!$M$5:$M$554,$K392)="","",INDEX('Prospect Tracker'!$M$5:$M$554,$K392)))</f>
        <v/>
      </c>
      <c r="E392" s="30">
        <f>IF($K392="","",IF(INDEX('Prospect Tracker'!$R$5:$R$554,$K392)="","",INDEX('Prospect Tracker'!$R$5:$R$554,$K392)))</f>
        <v/>
      </c>
      <c r="F392" s="30">
        <f>IF($K392="","",IF(INDEX('Prospect Tracker'!$J$5:$J$554,$K392)="","",INDEX('Prospect Tracker'!$J$5:$J$554,$K392)))</f>
        <v/>
      </c>
      <c r="G392" s="30">
        <f>IF($K392="","",IF(INDEX('Prospect Tracker'!$H$5:$H$554,$K392)="","",INDEX('Prospect Tracker'!$H$5:$H$554,$K392)))</f>
        <v/>
      </c>
      <c r="H392" s="31">
        <f>IF($K392="","",IF(INDEX('Prospect Tracker'!$K$5:$K$554,$K392)="","",INDEX('Prospect Tracker'!$K$5:$K$554,$K392)))</f>
        <v/>
      </c>
      <c r="I392" s="30">
        <f>IF($K392="","",IF(INDEX('Prospect Tracker'!$T$5:$T$554,$K392)="","",INDEX('Prospect Tracker'!$T$5:$T$554,$K392)))</f>
        <v/>
      </c>
      <c r="J392" s="30">
        <f>IF($K392="","",IF(INDEX('Prospect Tracker'!$L$5:$L$554,$K392)="","",INDEX('Prospect Tracker'!$L$5:$L$554,$K392)))</f>
        <v/>
      </c>
      <c r="K392" s="19">
        <f>IFERROR(MATCH(SMALL('Prospect Tracker'!$X$5:$X$554,ROW()-4),'Prospect Tracker'!$X$5:$X$554,0),"")</f>
        <v/>
      </c>
    </row>
    <row r="393" ht="15" customHeight="1" s="20">
      <c r="A393" s="25">
        <f>IF($K393="","",IF(INDEX('Prospect Tracker'!$W$5:$W$554,$K393)="","",INDEX('Prospect Tracker'!$W$5:$W$554,$K393)))</f>
        <v/>
      </c>
      <c r="B393" s="25">
        <f>IF($K393="","",IF(INDEX('Prospect Tracker'!$A$5:$A$554,$K393)="","",INDEX('Prospect Tracker'!$A$5:$A$554,$K393)))</f>
        <v/>
      </c>
      <c r="C393" s="25">
        <f>IF($K393="","",IF(INDEX('Prospect Tracker'!$B$5:$B$554,$K393)="","",INDEX('Prospect Tracker'!$B$5:$B$554,$K393)))</f>
        <v/>
      </c>
      <c r="D393" s="25">
        <f>IF($K393="","",IF(INDEX('Prospect Tracker'!$M$5:$M$554,$K393)="","",INDEX('Prospect Tracker'!$M$5:$M$554,$K393)))</f>
        <v/>
      </c>
      <c r="E393" s="25">
        <f>IF($K393="","",IF(INDEX('Prospect Tracker'!$R$5:$R$554,$K393)="","",INDEX('Prospect Tracker'!$R$5:$R$554,$K393)))</f>
        <v/>
      </c>
      <c r="F393" s="25">
        <f>IF($K393="","",IF(INDEX('Prospect Tracker'!$J$5:$J$554,$K393)="","",INDEX('Prospect Tracker'!$J$5:$J$554,$K393)))</f>
        <v/>
      </c>
      <c r="G393" s="25">
        <f>IF($K393="","",IF(INDEX('Prospect Tracker'!$H$5:$H$554,$K393)="","",INDEX('Prospect Tracker'!$H$5:$H$554,$K393)))</f>
        <v/>
      </c>
      <c r="H393" s="26">
        <f>IF($K393="","",IF(INDEX('Prospect Tracker'!$K$5:$K$554,$K393)="","",INDEX('Prospect Tracker'!$K$5:$K$554,$K393)))</f>
        <v/>
      </c>
      <c r="I393" s="25">
        <f>IF($K393="","",IF(INDEX('Prospect Tracker'!$T$5:$T$554,$K393)="","",INDEX('Prospect Tracker'!$T$5:$T$554,$K393)))</f>
        <v/>
      </c>
      <c r="J393" s="25">
        <f>IF($K393="","",IF(INDEX('Prospect Tracker'!$L$5:$L$554,$K393)="","",INDEX('Prospect Tracker'!$L$5:$L$554,$K393)))</f>
        <v/>
      </c>
      <c r="K393" s="19">
        <f>IFERROR(MATCH(SMALL('Prospect Tracker'!$X$5:$X$554,ROW()-4),'Prospect Tracker'!$X$5:$X$554,0),"")</f>
        <v/>
      </c>
    </row>
    <row r="394" ht="15" customHeight="1" s="20">
      <c r="A394" s="30">
        <f>IF($K394="","",IF(INDEX('Prospect Tracker'!$W$5:$W$554,$K394)="","",INDEX('Prospect Tracker'!$W$5:$W$554,$K394)))</f>
        <v/>
      </c>
      <c r="B394" s="30">
        <f>IF($K394="","",IF(INDEX('Prospect Tracker'!$A$5:$A$554,$K394)="","",INDEX('Prospect Tracker'!$A$5:$A$554,$K394)))</f>
        <v/>
      </c>
      <c r="C394" s="30">
        <f>IF($K394="","",IF(INDEX('Prospect Tracker'!$B$5:$B$554,$K394)="","",INDEX('Prospect Tracker'!$B$5:$B$554,$K394)))</f>
        <v/>
      </c>
      <c r="D394" s="30">
        <f>IF($K394="","",IF(INDEX('Prospect Tracker'!$M$5:$M$554,$K394)="","",INDEX('Prospect Tracker'!$M$5:$M$554,$K394)))</f>
        <v/>
      </c>
      <c r="E394" s="30">
        <f>IF($K394="","",IF(INDEX('Prospect Tracker'!$R$5:$R$554,$K394)="","",INDEX('Prospect Tracker'!$R$5:$R$554,$K394)))</f>
        <v/>
      </c>
      <c r="F394" s="30">
        <f>IF($K394="","",IF(INDEX('Prospect Tracker'!$J$5:$J$554,$K394)="","",INDEX('Prospect Tracker'!$J$5:$J$554,$K394)))</f>
        <v/>
      </c>
      <c r="G394" s="30">
        <f>IF($K394="","",IF(INDEX('Prospect Tracker'!$H$5:$H$554,$K394)="","",INDEX('Prospect Tracker'!$H$5:$H$554,$K394)))</f>
        <v/>
      </c>
      <c r="H394" s="31">
        <f>IF($K394="","",IF(INDEX('Prospect Tracker'!$K$5:$K$554,$K394)="","",INDEX('Prospect Tracker'!$K$5:$K$554,$K394)))</f>
        <v/>
      </c>
      <c r="I394" s="30">
        <f>IF($K394="","",IF(INDEX('Prospect Tracker'!$T$5:$T$554,$K394)="","",INDEX('Prospect Tracker'!$T$5:$T$554,$K394)))</f>
        <v/>
      </c>
      <c r="J394" s="30">
        <f>IF($K394="","",IF(INDEX('Prospect Tracker'!$L$5:$L$554,$K394)="","",INDEX('Prospect Tracker'!$L$5:$L$554,$K394)))</f>
        <v/>
      </c>
      <c r="K394" s="19">
        <f>IFERROR(MATCH(SMALL('Prospect Tracker'!$X$5:$X$554,ROW()-4),'Prospect Tracker'!$X$5:$X$554,0),"")</f>
        <v/>
      </c>
    </row>
    <row r="395" ht="15" customHeight="1" s="20">
      <c r="A395" s="25">
        <f>IF($K395="","",IF(INDEX('Prospect Tracker'!$W$5:$W$554,$K395)="","",INDEX('Prospect Tracker'!$W$5:$W$554,$K395)))</f>
        <v/>
      </c>
      <c r="B395" s="25">
        <f>IF($K395="","",IF(INDEX('Prospect Tracker'!$A$5:$A$554,$K395)="","",INDEX('Prospect Tracker'!$A$5:$A$554,$K395)))</f>
        <v/>
      </c>
      <c r="C395" s="25">
        <f>IF($K395="","",IF(INDEX('Prospect Tracker'!$B$5:$B$554,$K395)="","",INDEX('Prospect Tracker'!$B$5:$B$554,$K395)))</f>
        <v/>
      </c>
      <c r="D395" s="25">
        <f>IF($K395="","",IF(INDEX('Prospect Tracker'!$M$5:$M$554,$K395)="","",INDEX('Prospect Tracker'!$M$5:$M$554,$K395)))</f>
        <v/>
      </c>
      <c r="E395" s="25">
        <f>IF($K395="","",IF(INDEX('Prospect Tracker'!$R$5:$R$554,$K395)="","",INDEX('Prospect Tracker'!$R$5:$R$554,$K395)))</f>
        <v/>
      </c>
      <c r="F395" s="25">
        <f>IF($K395="","",IF(INDEX('Prospect Tracker'!$J$5:$J$554,$K395)="","",INDEX('Prospect Tracker'!$J$5:$J$554,$K395)))</f>
        <v/>
      </c>
      <c r="G395" s="25">
        <f>IF($K395="","",IF(INDEX('Prospect Tracker'!$H$5:$H$554,$K395)="","",INDEX('Prospect Tracker'!$H$5:$H$554,$K395)))</f>
        <v/>
      </c>
      <c r="H395" s="26">
        <f>IF($K395="","",IF(INDEX('Prospect Tracker'!$K$5:$K$554,$K395)="","",INDEX('Prospect Tracker'!$K$5:$K$554,$K395)))</f>
        <v/>
      </c>
      <c r="I395" s="25">
        <f>IF($K395="","",IF(INDEX('Prospect Tracker'!$T$5:$T$554,$K395)="","",INDEX('Prospect Tracker'!$T$5:$T$554,$K395)))</f>
        <v/>
      </c>
      <c r="J395" s="25">
        <f>IF($K395="","",IF(INDEX('Prospect Tracker'!$L$5:$L$554,$K395)="","",INDEX('Prospect Tracker'!$L$5:$L$554,$K395)))</f>
        <v/>
      </c>
      <c r="K395" s="19">
        <f>IFERROR(MATCH(SMALL('Prospect Tracker'!$X$5:$X$554,ROW()-4),'Prospect Tracker'!$X$5:$X$554,0),"")</f>
        <v/>
      </c>
    </row>
    <row r="396" ht="15" customHeight="1" s="20">
      <c r="A396" s="30">
        <f>IF($K396="","",IF(INDEX('Prospect Tracker'!$W$5:$W$554,$K396)="","",INDEX('Prospect Tracker'!$W$5:$W$554,$K396)))</f>
        <v/>
      </c>
      <c r="B396" s="30">
        <f>IF($K396="","",IF(INDEX('Prospect Tracker'!$A$5:$A$554,$K396)="","",INDEX('Prospect Tracker'!$A$5:$A$554,$K396)))</f>
        <v/>
      </c>
      <c r="C396" s="30">
        <f>IF($K396="","",IF(INDEX('Prospect Tracker'!$B$5:$B$554,$K396)="","",INDEX('Prospect Tracker'!$B$5:$B$554,$K396)))</f>
        <v/>
      </c>
      <c r="D396" s="30">
        <f>IF($K396="","",IF(INDEX('Prospect Tracker'!$M$5:$M$554,$K396)="","",INDEX('Prospect Tracker'!$M$5:$M$554,$K396)))</f>
        <v/>
      </c>
      <c r="E396" s="30">
        <f>IF($K396="","",IF(INDEX('Prospect Tracker'!$R$5:$R$554,$K396)="","",INDEX('Prospect Tracker'!$R$5:$R$554,$K396)))</f>
        <v/>
      </c>
      <c r="F396" s="30">
        <f>IF($K396="","",IF(INDEX('Prospect Tracker'!$J$5:$J$554,$K396)="","",INDEX('Prospect Tracker'!$J$5:$J$554,$K396)))</f>
        <v/>
      </c>
      <c r="G396" s="30">
        <f>IF($K396="","",IF(INDEX('Prospect Tracker'!$H$5:$H$554,$K396)="","",INDEX('Prospect Tracker'!$H$5:$H$554,$K396)))</f>
        <v/>
      </c>
      <c r="H396" s="31">
        <f>IF($K396="","",IF(INDEX('Prospect Tracker'!$K$5:$K$554,$K396)="","",INDEX('Prospect Tracker'!$K$5:$K$554,$K396)))</f>
        <v/>
      </c>
      <c r="I396" s="30">
        <f>IF($K396="","",IF(INDEX('Prospect Tracker'!$T$5:$T$554,$K396)="","",INDEX('Prospect Tracker'!$T$5:$T$554,$K396)))</f>
        <v/>
      </c>
      <c r="J396" s="30">
        <f>IF($K396="","",IF(INDEX('Prospect Tracker'!$L$5:$L$554,$K396)="","",INDEX('Prospect Tracker'!$L$5:$L$554,$K396)))</f>
        <v/>
      </c>
      <c r="K396" s="19">
        <f>IFERROR(MATCH(SMALL('Prospect Tracker'!$X$5:$X$554,ROW()-4),'Prospect Tracker'!$X$5:$X$554,0),"")</f>
        <v/>
      </c>
    </row>
    <row r="397" ht="15" customHeight="1" s="20">
      <c r="A397" s="25">
        <f>IF($K397="","",IF(INDEX('Prospect Tracker'!$W$5:$W$554,$K397)="","",INDEX('Prospect Tracker'!$W$5:$W$554,$K397)))</f>
        <v/>
      </c>
      <c r="B397" s="25">
        <f>IF($K397="","",IF(INDEX('Prospect Tracker'!$A$5:$A$554,$K397)="","",INDEX('Prospect Tracker'!$A$5:$A$554,$K397)))</f>
        <v/>
      </c>
      <c r="C397" s="25">
        <f>IF($K397="","",IF(INDEX('Prospect Tracker'!$B$5:$B$554,$K397)="","",INDEX('Prospect Tracker'!$B$5:$B$554,$K397)))</f>
        <v/>
      </c>
      <c r="D397" s="25">
        <f>IF($K397="","",IF(INDEX('Prospect Tracker'!$M$5:$M$554,$K397)="","",INDEX('Prospect Tracker'!$M$5:$M$554,$K397)))</f>
        <v/>
      </c>
      <c r="E397" s="25">
        <f>IF($K397="","",IF(INDEX('Prospect Tracker'!$R$5:$R$554,$K397)="","",INDEX('Prospect Tracker'!$R$5:$R$554,$K397)))</f>
        <v/>
      </c>
      <c r="F397" s="25">
        <f>IF($K397="","",IF(INDEX('Prospect Tracker'!$J$5:$J$554,$K397)="","",INDEX('Prospect Tracker'!$J$5:$J$554,$K397)))</f>
        <v/>
      </c>
      <c r="G397" s="25">
        <f>IF($K397="","",IF(INDEX('Prospect Tracker'!$H$5:$H$554,$K397)="","",INDEX('Prospect Tracker'!$H$5:$H$554,$K397)))</f>
        <v/>
      </c>
      <c r="H397" s="26">
        <f>IF($K397="","",IF(INDEX('Prospect Tracker'!$K$5:$K$554,$K397)="","",INDEX('Prospect Tracker'!$K$5:$K$554,$K397)))</f>
        <v/>
      </c>
      <c r="I397" s="25">
        <f>IF($K397="","",IF(INDEX('Prospect Tracker'!$T$5:$T$554,$K397)="","",INDEX('Prospect Tracker'!$T$5:$T$554,$K397)))</f>
        <v/>
      </c>
      <c r="J397" s="25">
        <f>IF($K397="","",IF(INDEX('Prospect Tracker'!$L$5:$L$554,$K397)="","",INDEX('Prospect Tracker'!$L$5:$L$554,$K397)))</f>
        <v/>
      </c>
      <c r="K397" s="19">
        <f>IFERROR(MATCH(SMALL('Prospect Tracker'!$X$5:$X$554,ROW()-4),'Prospect Tracker'!$X$5:$X$554,0),"")</f>
        <v/>
      </c>
    </row>
    <row r="398" ht="15" customHeight="1" s="20">
      <c r="A398" s="30">
        <f>IF($K398="","",IF(INDEX('Prospect Tracker'!$W$5:$W$554,$K398)="","",INDEX('Prospect Tracker'!$W$5:$W$554,$K398)))</f>
        <v/>
      </c>
      <c r="B398" s="30">
        <f>IF($K398="","",IF(INDEX('Prospect Tracker'!$A$5:$A$554,$K398)="","",INDEX('Prospect Tracker'!$A$5:$A$554,$K398)))</f>
        <v/>
      </c>
      <c r="C398" s="30">
        <f>IF($K398="","",IF(INDEX('Prospect Tracker'!$B$5:$B$554,$K398)="","",INDEX('Prospect Tracker'!$B$5:$B$554,$K398)))</f>
        <v/>
      </c>
      <c r="D398" s="30">
        <f>IF($K398="","",IF(INDEX('Prospect Tracker'!$M$5:$M$554,$K398)="","",INDEX('Prospect Tracker'!$M$5:$M$554,$K398)))</f>
        <v/>
      </c>
      <c r="E398" s="30">
        <f>IF($K398="","",IF(INDEX('Prospect Tracker'!$R$5:$R$554,$K398)="","",INDEX('Prospect Tracker'!$R$5:$R$554,$K398)))</f>
        <v/>
      </c>
      <c r="F398" s="30">
        <f>IF($K398="","",IF(INDEX('Prospect Tracker'!$J$5:$J$554,$K398)="","",INDEX('Prospect Tracker'!$J$5:$J$554,$K398)))</f>
        <v/>
      </c>
      <c r="G398" s="30">
        <f>IF($K398="","",IF(INDEX('Prospect Tracker'!$H$5:$H$554,$K398)="","",INDEX('Prospect Tracker'!$H$5:$H$554,$K398)))</f>
        <v/>
      </c>
      <c r="H398" s="31">
        <f>IF($K398="","",IF(INDEX('Prospect Tracker'!$K$5:$K$554,$K398)="","",INDEX('Prospect Tracker'!$K$5:$K$554,$K398)))</f>
        <v/>
      </c>
      <c r="I398" s="30">
        <f>IF($K398="","",IF(INDEX('Prospect Tracker'!$T$5:$T$554,$K398)="","",INDEX('Prospect Tracker'!$T$5:$T$554,$K398)))</f>
        <v/>
      </c>
      <c r="J398" s="30">
        <f>IF($K398="","",IF(INDEX('Prospect Tracker'!$L$5:$L$554,$K398)="","",INDEX('Prospect Tracker'!$L$5:$L$554,$K398)))</f>
        <v/>
      </c>
      <c r="K398" s="19">
        <f>IFERROR(MATCH(SMALL('Prospect Tracker'!$X$5:$X$554,ROW()-4),'Prospect Tracker'!$X$5:$X$554,0),"")</f>
        <v/>
      </c>
    </row>
    <row r="399" ht="15" customHeight="1" s="20">
      <c r="A399" s="25">
        <f>IF($K399="","",IF(INDEX('Prospect Tracker'!$W$5:$W$554,$K399)="","",INDEX('Prospect Tracker'!$W$5:$W$554,$K399)))</f>
        <v/>
      </c>
      <c r="B399" s="25">
        <f>IF($K399="","",IF(INDEX('Prospect Tracker'!$A$5:$A$554,$K399)="","",INDEX('Prospect Tracker'!$A$5:$A$554,$K399)))</f>
        <v/>
      </c>
      <c r="C399" s="25">
        <f>IF($K399="","",IF(INDEX('Prospect Tracker'!$B$5:$B$554,$K399)="","",INDEX('Prospect Tracker'!$B$5:$B$554,$K399)))</f>
        <v/>
      </c>
      <c r="D399" s="25">
        <f>IF($K399="","",IF(INDEX('Prospect Tracker'!$M$5:$M$554,$K399)="","",INDEX('Prospect Tracker'!$M$5:$M$554,$K399)))</f>
        <v/>
      </c>
      <c r="E399" s="25">
        <f>IF($K399="","",IF(INDEX('Prospect Tracker'!$R$5:$R$554,$K399)="","",INDEX('Prospect Tracker'!$R$5:$R$554,$K399)))</f>
        <v/>
      </c>
      <c r="F399" s="25">
        <f>IF($K399="","",IF(INDEX('Prospect Tracker'!$J$5:$J$554,$K399)="","",INDEX('Prospect Tracker'!$J$5:$J$554,$K399)))</f>
        <v/>
      </c>
      <c r="G399" s="25">
        <f>IF($K399="","",IF(INDEX('Prospect Tracker'!$H$5:$H$554,$K399)="","",INDEX('Prospect Tracker'!$H$5:$H$554,$K399)))</f>
        <v/>
      </c>
      <c r="H399" s="26">
        <f>IF($K399="","",IF(INDEX('Prospect Tracker'!$K$5:$K$554,$K399)="","",INDEX('Prospect Tracker'!$K$5:$K$554,$K399)))</f>
        <v/>
      </c>
      <c r="I399" s="25">
        <f>IF($K399="","",IF(INDEX('Prospect Tracker'!$T$5:$T$554,$K399)="","",INDEX('Prospect Tracker'!$T$5:$T$554,$K399)))</f>
        <v/>
      </c>
      <c r="J399" s="25">
        <f>IF($K399="","",IF(INDEX('Prospect Tracker'!$L$5:$L$554,$K399)="","",INDEX('Prospect Tracker'!$L$5:$L$554,$K399)))</f>
        <v/>
      </c>
      <c r="K399" s="19">
        <f>IFERROR(MATCH(SMALL('Prospect Tracker'!$X$5:$X$554,ROW()-4),'Prospect Tracker'!$X$5:$X$554,0),"")</f>
        <v/>
      </c>
    </row>
    <row r="400" ht="15" customHeight="1" s="20">
      <c r="A400" s="30">
        <f>IF($K400="","",IF(INDEX('Prospect Tracker'!$W$5:$W$554,$K400)="","",INDEX('Prospect Tracker'!$W$5:$W$554,$K400)))</f>
        <v/>
      </c>
      <c r="B400" s="30">
        <f>IF($K400="","",IF(INDEX('Prospect Tracker'!$A$5:$A$554,$K400)="","",INDEX('Prospect Tracker'!$A$5:$A$554,$K400)))</f>
        <v/>
      </c>
      <c r="C400" s="30">
        <f>IF($K400="","",IF(INDEX('Prospect Tracker'!$B$5:$B$554,$K400)="","",INDEX('Prospect Tracker'!$B$5:$B$554,$K400)))</f>
        <v/>
      </c>
      <c r="D400" s="30">
        <f>IF($K400="","",IF(INDEX('Prospect Tracker'!$M$5:$M$554,$K400)="","",INDEX('Prospect Tracker'!$M$5:$M$554,$K400)))</f>
        <v/>
      </c>
      <c r="E400" s="30">
        <f>IF($K400="","",IF(INDEX('Prospect Tracker'!$R$5:$R$554,$K400)="","",INDEX('Prospect Tracker'!$R$5:$R$554,$K400)))</f>
        <v/>
      </c>
      <c r="F400" s="30">
        <f>IF($K400="","",IF(INDEX('Prospect Tracker'!$J$5:$J$554,$K400)="","",INDEX('Prospect Tracker'!$J$5:$J$554,$K400)))</f>
        <v/>
      </c>
      <c r="G400" s="30">
        <f>IF($K400="","",IF(INDEX('Prospect Tracker'!$H$5:$H$554,$K400)="","",INDEX('Prospect Tracker'!$H$5:$H$554,$K400)))</f>
        <v/>
      </c>
      <c r="H400" s="31">
        <f>IF($K400="","",IF(INDEX('Prospect Tracker'!$K$5:$K$554,$K400)="","",INDEX('Prospect Tracker'!$K$5:$K$554,$K400)))</f>
        <v/>
      </c>
      <c r="I400" s="30">
        <f>IF($K400="","",IF(INDEX('Prospect Tracker'!$T$5:$T$554,$K400)="","",INDEX('Prospect Tracker'!$T$5:$T$554,$K400)))</f>
        <v/>
      </c>
      <c r="J400" s="30">
        <f>IF($K400="","",IF(INDEX('Prospect Tracker'!$L$5:$L$554,$K400)="","",INDEX('Prospect Tracker'!$L$5:$L$554,$K400)))</f>
        <v/>
      </c>
      <c r="K400" s="19">
        <f>IFERROR(MATCH(SMALL('Prospect Tracker'!$X$5:$X$554,ROW()-4),'Prospect Tracker'!$X$5:$X$554,0),"")</f>
        <v/>
      </c>
    </row>
    <row r="401" ht="15" customHeight="1" s="20">
      <c r="A401" s="25">
        <f>IF($K401="","",IF(INDEX('Prospect Tracker'!$W$5:$W$554,$K401)="","",INDEX('Prospect Tracker'!$W$5:$W$554,$K401)))</f>
        <v/>
      </c>
      <c r="B401" s="25">
        <f>IF($K401="","",IF(INDEX('Prospect Tracker'!$A$5:$A$554,$K401)="","",INDEX('Prospect Tracker'!$A$5:$A$554,$K401)))</f>
        <v/>
      </c>
      <c r="C401" s="25">
        <f>IF($K401="","",IF(INDEX('Prospect Tracker'!$B$5:$B$554,$K401)="","",INDEX('Prospect Tracker'!$B$5:$B$554,$K401)))</f>
        <v/>
      </c>
      <c r="D401" s="25">
        <f>IF($K401="","",IF(INDEX('Prospect Tracker'!$M$5:$M$554,$K401)="","",INDEX('Prospect Tracker'!$M$5:$M$554,$K401)))</f>
        <v/>
      </c>
      <c r="E401" s="25">
        <f>IF($K401="","",IF(INDEX('Prospect Tracker'!$R$5:$R$554,$K401)="","",INDEX('Prospect Tracker'!$R$5:$R$554,$K401)))</f>
        <v/>
      </c>
      <c r="F401" s="25">
        <f>IF($K401="","",IF(INDEX('Prospect Tracker'!$J$5:$J$554,$K401)="","",INDEX('Prospect Tracker'!$J$5:$J$554,$K401)))</f>
        <v/>
      </c>
      <c r="G401" s="25">
        <f>IF($K401="","",IF(INDEX('Prospect Tracker'!$H$5:$H$554,$K401)="","",INDEX('Prospect Tracker'!$H$5:$H$554,$K401)))</f>
        <v/>
      </c>
      <c r="H401" s="26">
        <f>IF($K401="","",IF(INDEX('Prospect Tracker'!$K$5:$K$554,$K401)="","",INDEX('Prospect Tracker'!$K$5:$K$554,$K401)))</f>
        <v/>
      </c>
      <c r="I401" s="25">
        <f>IF($K401="","",IF(INDEX('Prospect Tracker'!$T$5:$T$554,$K401)="","",INDEX('Prospect Tracker'!$T$5:$T$554,$K401)))</f>
        <v/>
      </c>
      <c r="J401" s="25">
        <f>IF($K401="","",IF(INDEX('Prospect Tracker'!$L$5:$L$554,$K401)="","",INDEX('Prospect Tracker'!$L$5:$L$554,$K401)))</f>
        <v/>
      </c>
      <c r="K401" s="19">
        <f>IFERROR(MATCH(SMALL('Prospect Tracker'!$X$5:$X$554,ROW()-4),'Prospect Tracker'!$X$5:$X$554,0),"")</f>
        <v/>
      </c>
    </row>
    <row r="402" ht="15" customHeight="1" s="20">
      <c r="A402" s="30">
        <f>IF($K402="","",IF(INDEX('Prospect Tracker'!$W$5:$W$554,$K402)="","",INDEX('Prospect Tracker'!$W$5:$W$554,$K402)))</f>
        <v/>
      </c>
      <c r="B402" s="30">
        <f>IF($K402="","",IF(INDEX('Prospect Tracker'!$A$5:$A$554,$K402)="","",INDEX('Prospect Tracker'!$A$5:$A$554,$K402)))</f>
        <v/>
      </c>
      <c r="C402" s="30">
        <f>IF($K402="","",IF(INDEX('Prospect Tracker'!$B$5:$B$554,$K402)="","",INDEX('Prospect Tracker'!$B$5:$B$554,$K402)))</f>
        <v/>
      </c>
      <c r="D402" s="30">
        <f>IF($K402="","",IF(INDEX('Prospect Tracker'!$M$5:$M$554,$K402)="","",INDEX('Prospect Tracker'!$M$5:$M$554,$K402)))</f>
        <v/>
      </c>
      <c r="E402" s="30">
        <f>IF($K402="","",IF(INDEX('Prospect Tracker'!$R$5:$R$554,$K402)="","",INDEX('Prospect Tracker'!$R$5:$R$554,$K402)))</f>
        <v/>
      </c>
      <c r="F402" s="30">
        <f>IF($K402="","",IF(INDEX('Prospect Tracker'!$J$5:$J$554,$K402)="","",INDEX('Prospect Tracker'!$J$5:$J$554,$K402)))</f>
        <v/>
      </c>
      <c r="G402" s="30">
        <f>IF($K402="","",IF(INDEX('Prospect Tracker'!$H$5:$H$554,$K402)="","",INDEX('Prospect Tracker'!$H$5:$H$554,$K402)))</f>
        <v/>
      </c>
      <c r="H402" s="31">
        <f>IF($K402="","",IF(INDEX('Prospect Tracker'!$K$5:$K$554,$K402)="","",INDEX('Prospect Tracker'!$K$5:$K$554,$K402)))</f>
        <v/>
      </c>
      <c r="I402" s="30">
        <f>IF($K402="","",IF(INDEX('Prospect Tracker'!$T$5:$T$554,$K402)="","",INDEX('Prospect Tracker'!$T$5:$T$554,$K402)))</f>
        <v/>
      </c>
      <c r="J402" s="30">
        <f>IF($K402="","",IF(INDEX('Prospect Tracker'!$L$5:$L$554,$K402)="","",INDEX('Prospect Tracker'!$L$5:$L$554,$K402)))</f>
        <v/>
      </c>
      <c r="K402" s="19">
        <f>IFERROR(MATCH(SMALL('Prospect Tracker'!$X$5:$X$554,ROW()-4),'Prospect Tracker'!$X$5:$X$554,0),"")</f>
        <v/>
      </c>
    </row>
    <row r="403" ht="15" customHeight="1" s="20">
      <c r="A403" s="25">
        <f>IF($K403="","",IF(INDEX('Prospect Tracker'!$W$5:$W$554,$K403)="","",INDEX('Prospect Tracker'!$W$5:$W$554,$K403)))</f>
        <v/>
      </c>
      <c r="B403" s="25">
        <f>IF($K403="","",IF(INDEX('Prospect Tracker'!$A$5:$A$554,$K403)="","",INDEX('Prospect Tracker'!$A$5:$A$554,$K403)))</f>
        <v/>
      </c>
      <c r="C403" s="25">
        <f>IF($K403="","",IF(INDEX('Prospect Tracker'!$B$5:$B$554,$K403)="","",INDEX('Prospect Tracker'!$B$5:$B$554,$K403)))</f>
        <v/>
      </c>
      <c r="D403" s="25">
        <f>IF($K403="","",IF(INDEX('Prospect Tracker'!$M$5:$M$554,$K403)="","",INDEX('Prospect Tracker'!$M$5:$M$554,$K403)))</f>
        <v/>
      </c>
      <c r="E403" s="25">
        <f>IF($K403="","",IF(INDEX('Prospect Tracker'!$R$5:$R$554,$K403)="","",INDEX('Prospect Tracker'!$R$5:$R$554,$K403)))</f>
        <v/>
      </c>
      <c r="F403" s="25">
        <f>IF($K403="","",IF(INDEX('Prospect Tracker'!$J$5:$J$554,$K403)="","",INDEX('Prospect Tracker'!$J$5:$J$554,$K403)))</f>
        <v/>
      </c>
      <c r="G403" s="25">
        <f>IF($K403="","",IF(INDEX('Prospect Tracker'!$H$5:$H$554,$K403)="","",INDEX('Prospect Tracker'!$H$5:$H$554,$K403)))</f>
        <v/>
      </c>
      <c r="H403" s="26">
        <f>IF($K403="","",IF(INDEX('Prospect Tracker'!$K$5:$K$554,$K403)="","",INDEX('Prospect Tracker'!$K$5:$K$554,$K403)))</f>
        <v/>
      </c>
      <c r="I403" s="25">
        <f>IF($K403="","",IF(INDEX('Prospect Tracker'!$T$5:$T$554,$K403)="","",INDEX('Prospect Tracker'!$T$5:$T$554,$K403)))</f>
        <v/>
      </c>
      <c r="J403" s="25">
        <f>IF($K403="","",IF(INDEX('Prospect Tracker'!$L$5:$L$554,$K403)="","",INDEX('Prospect Tracker'!$L$5:$L$554,$K403)))</f>
        <v/>
      </c>
      <c r="K403" s="19">
        <f>IFERROR(MATCH(SMALL('Prospect Tracker'!$X$5:$X$554,ROW()-4),'Prospect Tracker'!$X$5:$X$554,0),"")</f>
        <v/>
      </c>
    </row>
    <row r="404" ht="15" customHeight="1" s="20">
      <c r="A404" s="30">
        <f>IF($K404="","",IF(INDEX('Prospect Tracker'!$W$5:$W$554,$K404)="","",INDEX('Prospect Tracker'!$W$5:$W$554,$K404)))</f>
        <v/>
      </c>
      <c r="B404" s="30">
        <f>IF($K404="","",IF(INDEX('Prospect Tracker'!$A$5:$A$554,$K404)="","",INDEX('Prospect Tracker'!$A$5:$A$554,$K404)))</f>
        <v/>
      </c>
      <c r="C404" s="30">
        <f>IF($K404="","",IF(INDEX('Prospect Tracker'!$B$5:$B$554,$K404)="","",INDEX('Prospect Tracker'!$B$5:$B$554,$K404)))</f>
        <v/>
      </c>
      <c r="D404" s="30">
        <f>IF($K404="","",IF(INDEX('Prospect Tracker'!$M$5:$M$554,$K404)="","",INDEX('Prospect Tracker'!$M$5:$M$554,$K404)))</f>
        <v/>
      </c>
      <c r="E404" s="30">
        <f>IF($K404="","",IF(INDEX('Prospect Tracker'!$R$5:$R$554,$K404)="","",INDEX('Prospect Tracker'!$R$5:$R$554,$K404)))</f>
        <v/>
      </c>
      <c r="F404" s="30">
        <f>IF($K404="","",IF(INDEX('Prospect Tracker'!$J$5:$J$554,$K404)="","",INDEX('Prospect Tracker'!$J$5:$J$554,$K404)))</f>
        <v/>
      </c>
      <c r="G404" s="30">
        <f>IF($K404="","",IF(INDEX('Prospect Tracker'!$H$5:$H$554,$K404)="","",INDEX('Prospect Tracker'!$H$5:$H$554,$K404)))</f>
        <v/>
      </c>
      <c r="H404" s="31">
        <f>IF($K404="","",IF(INDEX('Prospect Tracker'!$K$5:$K$554,$K404)="","",INDEX('Prospect Tracker'!$K$5:$K$554,$K404)))</f>
        <v/>
      </c>
      <c r="I404" s="30">
        <f>IF($K404="","",IF(INDEX('Prospect Tracker'!$T$5:$T$554,$K404)="","",INDEX('Prospect Tracker'!$T$5:$T$554,$K404)))</f>
        <v/>
      </c>
      <c r="J404" s="30">
        <f>IF($K404="","",IF(INDEX('Prospect Tracker'!$L$5:$L$554,$K404)="","",INDEX('Prospect Tracker'!$L$5:$L$554,$K404)))</f>
        <v/>
      </c>
      <c r="K404" s="19">
        <f>IFERROR(MATCH(SMALL('Prospect Tracker'!$X$5:$X$554,ROW()-4),'Prospect Tracker'!$X$5:$X$554,0),"")</f>
        <v/>
      </c>
    </row>
    <row r="405" ht="15" customHeight="1" s="20">
      <c r="A405" s="25">
        <f>IF($K405="","",IF(INDEX('Prospect Tracker'!$W$5:$W$554,$K405)="","",INDEX('Prospect Tracker'!$W$5:$W$554,$K405)))</f>
        <v/>
      </c>
      <c r="B405" s="25">
        <f>IF($K405="","",IF(INDEX('Prospect Tracker'!$A$5:$A$554,$K405)="","",INDEX('Prospect Tracker'!$A$5:$A$554,$K405)))</f>
        <v/>
      </c>
      <c r="C405" s="25">
        <f>IF($K405="","",IF(INDEX('Prospect Tracker'!$B$5:$B$554,$K405)="","",INDEX('Prospect Tracker'!$B$5:$B$554,$K405)))</f>
        <v/>
      </c>
      <c r="D405" s="25">
        <f>IF($K405="","",IF(INDEX('Prospect Tracker'!$M$5:$M$554,$K405)="","",INDEX('Prospect Tracker'!$M$5:$M$554,$K405)))</f>
        <v/>
      </c>
      <c r="E405" s="25">
        <f>IF($K405="","",IF(INDEX('Prospect Tracker'!$R$5:$R$554,$K405)="","",INDEX('Prospect Tracker'!$R$5:$R$554,$K405)))</f>
        <v/>
      </c>
      <c r="F405" s="25">
        <f>IF($K405="","",IF(INDEX('Prospect Tracker'!$J$5:$J$554,$K405)="","",INDEX('Prospect Tracker'!$J$5:$J$554,$K405)))</f>
        <v/>
      </c>
      <c r="G405" s="25">
        <f>IF($K405="","",IF(INDEX('Prospect Tracker'!$H$5:$H$554,$K405)="","",INDEX('Prospect Tracker'!$H$5:$H$554,$K405)))</f>
        <v/>
      </c>
      <c r="H405" s="26">
        <f>IF($K405="","",IF(INDEX('Prospect Tracker'!$K$5:$K$554,$K405)="","",INDEX('Prospect Tracker'!$K$5:$K$554,$K405)))</f>
        <v/>
      </c>
      <c r="I405" s="25">
        <f>IF($K405="","",IF(INDEX('Prospect Tracker'!$T$5:$T$554,$K405)="","",INDEX('Prospect Tracker'!$T$5:$T$554,$K405)))</f>
        <v/>
      </c>
      <c r="J405" s="25">
        <f>IF($K405="","",IF(INDEX('Prospect Tracker'!$L$5:$L$554,$K405)="","",INDEX('Prospect Tracker'!$L$5:$L$554,$K405)))</f>
        <v/>
      </c>
      <c r="K405" s="19">
        <f>IFERROR(MATCH(SMALL('Prospect Tracker'!$X$5:$X$554,ROW()-4),'Prospect Tracker'!$X$5:$X$554,0),"")</f>
        <v/>
      </c>
    </row>
    <row r="406" ht="15" customHeight="1" s="20">
      <c r="A406" s="30">
        <f>IF($K406="","",IF(INDEX('Prospect Tracker'!$W$5:$W$554,$K406)="","",INDEX('Prospect Tracker'!$W$5:$W$554,$K406)))</f>
        <v/>
      </c>
      <c r="B406" s="30">
        <f>IF($K406="","",IF(INDEX('Prospect Tracker'!$A$5:$A$554,$K406)="","",INDEX('Prospect Tracker'!$A$5:$A$554,$K406)))</f>
        <v/>
      </c>
      <c r="C406" s="30">
        <f>IF($K406="","",IF(INDEX('Prospect Tracker'!$B$5:$B$554,$K406)="","",INDEX('Prospect Tracker'!$B$5:$B$554,$K406)))</f>
        <v/>
      </c>
      <c r="D406" s="30">
        <f>IF($K406="","",IF(INDEX('Prospect Tracker'!$M$5:$M$554,$K406)="","",INDEX('Prospect Tracker'!$M$5:$M$554,$K406)))</f>
        <v/>
      </c>
      <c r="E406" s="30">
        <f>IF($K406="","",IF(INDEX('Prospect Tracker'!$R$5:$R$554,$K406)="","",INDEX('Prospect Tracker'!$R$5:$R$554,$K406)))</f>
        <v/>
      </c>
      <c r="F406" s="30">
        <f>IF($K406="","",IF(INDEX('Prospect Tracker'!$J$5:$J$554,$K406)="","",INDEX('Prospect Tracker'!$J$5:$J$554,$K406)))</f>
        <v/>
      </c>
      <c r="G406" s="30">
        <f>IF($K406="","",IF(INDEX('Prospect Tracker'!$H$5:$H$554,$K406)="","",INDEX('Prospect Tracker'!$H$5:$H$554,$K406)))</f>
        <v/>
      </c>
      <c r="H406" s="31">
        <f>IF($K406="","",IF(INDEX('Prospect Tracker'!$K$5:$K$554,$K406)="","",INDEX('Prospect Tracker'!$K$5:$K$554,$K406)))</f>
        <v/>
      </c>
      <c r="I406" s="30">
        <f>IF($K406="","",IF(INDEX('Prospect Tracker'!$T$5:$T$554,$K406)="","",INDEX('Prospect Tracker'!$T$5:$T$554,$K406)))</f>
        <v/>
      </c>
      <c r="J406" s="30">
        <f>IF($K406="","",IF(INDEX('Prospect Tracker'!$L$5:$L$554,$K406)="","",INDEX('Prospect Tracker'!$L$5:$L$554,$K406)))</f>
        <v/>
      </c>
      <c r="K406" s="19">
        <f>IFERROR(MATCH(SMALL('Prospect Tracker'!$X$5:$X$554,ROW()-4),'Prospect Tracker'!$X$5:$X$554,0),"")</f>
        <v/>
      </c>
    </row>
    <row r="407" ht="15" customHeight="1" s="20">
      <c r="A407" s="25">
        <f>IF($K407="","",IF(INDEX('Prospect Tracker'!$W$5:$W$554,$K407)="","",INDEX('Prospect Tracker'!$W$5:$W$554,$K407)))</f>
        <v/>
      </c>
      <c r="B407" s="25">
        <f>IF($K407="","",IF(INDEX('Prospect Tracker'!$A$5:$A$554,$K407)="","",INDEX('Prospect Tracker'!$A$5:$A$554,$K407)))</f>
        <v/>
      </c>
      <c r="C407" s="25">
        <f>IF($K407="","",IF(INDEX('Prospect Tracker'!$B$5:$B$554,$K407)="","",INDEX('Prospect Tracker'!$B$5:$B$554,$K407)))</f>
        <v/>
      </c>
      <c r="D407" s="25">
        <f>IF($K407="","",IF(INDEX('Prospect Tracker'!$M$5:$M$554,$K407)="","",INDEX('Prospect Tracker'!$M$5:$M$554,$K407)))</f>
        <v/>
      </c>
      <c r="E407" s="25">
        <f>IF($K407="","",IF(INDEX('Prospect Tracker'!$R$5:$R$554,$K407)="","",INDEX('Prospect Tracker'!$R$5:$R$554,$K407)))</f>
        <v/>
      </c>
      <c r="F407" s="25">
        <f>IF($K407="","",IF(INDEX('Prospect Tracker'!$J$5:$J$554,$K407)="","",INDEX('Prospect Tracker'!$J$5:$J$554,$K407)))</f>
        <v/>
      </c>
      <c r="G407" s="25">
        <f>IF($K407="","",IF(INDEX('Prospect Tracker'!$H$5:$H$554,$K407)="","",INDEX('Prospect Tracker'!$H$5:$H$554,$K407)))</f>
        <v/>
      </c>
      <c r="H407" s="26">
        <f>IF($K407="","",IF(INDEX('Prospect Tracker'!$K$5:$K$554,$K407)="","",INDEX('Prospect Tracker'!$K$5:$K$554,$K407)))</f>
        <v/>
      </c>
      <c r="I407" s="25">
        <f>IF($K407="","",IF(INDEX('Prospect Tracker'!$T$5:$T$554,$K407)="","",INDEX('Prospect Tracker'!$T$5:$T$554,$K407)))</f>
        <v/>
      </c>
      <c r="J407" s="25">
        <f>IF($K407="","",IF(INDEX('Prospect Tracker'!$L$5:$L$554,$K407)="","",INDEX('Prospect Tracker'!$L$5:$L$554,$K407)))</f>
        <v/>
      </c>
      <c r="K407" s="19">
        <f>IFERROR(MATCH(SMALL('Prospect Tracker'!$X$5:$X$554,ROW()-4),'Prospect Tracker'!$X$5:$X$554,0),"")</f>
        <v/>
      </c>
    </row>
    <row r="408" ht="15" customHeight="1" s="20">
      <c r="A408" s="30">
        <f>IF($K408="","",IF(INDEX('Prospect Tracker'!$W$5:$W$554,$K408)="","",INDEX('Prospect Tracker'!$W$5:$W$554,$K408)))</f>
        <v/>
      </c>
      <c r="B408" s="30">
        <f>IF($K408="","",IF(INDEX('Prospect Tracker'!$A$5:$A$554,$K408)="","",INDEX('Prospect Tracker'!$A$5:$A$554,$K408)))</f>
        <v/>
      </c>
      <c r="C408" s="30">
        <f>IF($K408="","",IF(INDEX('Prospect Tracker'!$B$5:$B$554,$K408)="","",INDEX('Prospect Tracker'!$B$5:$B$554,$K408)))</f>
        <v/>
      </c>
      <c r="D408" s="30">
        <f>IF($K408="","",IF(INDEX('Prospect Tracker'!$M$5:$M$554,$K408)="","",INDEX('Prospect Tracker'!$M$5:$M$554,$K408)))</f>
        <v/>
      </c>
      <c r="E408" s="30">
        <f>IF($K408="","",IF(INDEX('Prospect Tracker'!$R$5:$R$554,$K408)="","",INDEX('Prospect Tracker'!$R$5:$R$554,$K408)))</f>
        <v/>
      </c>
      <c r="F408" s="30">
        <f>IF($K408="","",IF(INDEX('Prospect Tracker'!$J$5:$J$554,$K408)="","",INDEX('Prospect Tracker'!$J$5:$J$554,$K408)))</f>
        <v/>
      </c>
      <c r="G408" s="30">
        <f>IF($K408="","",IF(INDEX('Prospect Tracker'!$H$5:$H$554,$K408)="","",INDEX('Prospect Tracker'!$H$5:$H$554,$K408)))</f>
        <v/>
      </c>
      <c r="H408" s="31">
        <f>IF($K408="","",IF(INDEX('Prospect Tracker'!$K$5:$K$554,$K408)="","",INDEX('Prospect Tracker'!$K$5:$K$554,$K408)))</f>
        <v/>
      </c>
      <c r="I408" s="30">
        <f>IF($K408="","",IF(INDEX('Prospect Tracker'!$T$5:$T$554,$K408)="","",INDEX('Prospect Tracker'!$T$5:$T$554,$K408)))</f>
        <v/>
      </c>
      <c r="J408" s="30">
        <f>IF($K408="","",IF(INDEX('Prospect Tracker'!$L$5:$L$554,$K408)="","",INDEX('Prospect Tracker'!$L$5:$L$554,$K408)))</f>
        <v/>
      </c>
      <c r="K408" s="19">
        <f>IFERROR(MATCH(SMALL('Prospect Tracker'!$X$5:$X$554,ROW()-4),'Prospect Tracker'!$X$5:$X$554,0),"")</f>
        <v/>
      </c>
    </row>
    <row r="409" ht="15" customHeight="1" s="20">
      <c r="A409" s="25">
        <f>IF($K409="","",IF(INDEX('Prospect Tracker'!$W$5:$W$554,$K409)="","",INDEX('Prospect Tracker'!$W$5:$W$554,$K409)))</f>
        <v/>
      </c>
      <c r="B409" s="25">
        <f>IF($K409="","",IF(INDEX('Prospect Tracker'!$A$5:$A$554,$K409)="","",INDEX('Prospect Tracker'!$A$5:$A$554,$K409)))</f>
        <v/>
      </c>
      <c r="C409" s="25">
        <f>IF($K409="","",IF(INDEX('Prospect Tracker'!$B$5:$B$554,$K409)="","",INDEX('Prospect Tracker'!$B$5:$B$554,$K409)))</f>
        <v/>
      </c>
      <c r="D409" s="25">
        <f>IF($K409="","",IF(INDEX('Prospect Tracker'!$M$5:$M$554,$K409)="","",INDEX('Prospect Tracker'!$M$5:$M$554,$K409)))</f>
        <v/>
      </c>
      <c r="E409" s="25">
        <f>IF($K409="","",IF(INDEX('Prospect Tracker'!$R$5:$R$554,$K409)="","",INDEX('Prospect Tracker'!$R$5:$R$554,$K409)))</f>
        <v/>
      </c>
      <c r="F409" s="25">
        <f>IF($K409="","",IF(INDEX('Prospect Tracker'!$J$5:$J$554,$K409)="","",INDEX('Prospect Tracker'!$J$5:$J$554,$K409)))</f>
        <v/>
      </c>
      <c r="G409" s="25">
        <f>IF($K409="","",IF(INDEX('Prospect Tracker'!$H$5:$H$554,$K409)="","",INDEX('Prospect Tracker'!$H$5:$H$554,$K409)))</f>
        <v/>
      </c>
      <c r="H409" s="26">
        <f>IF($K409="","",IF(INDEX('Prospect Tracker'!$K$5:$K$554,$K409)="","",INDEX('Prospect Tracker'!$K$5:$K$554,$K409)))</f>
        <v/>
      </c>
      <c r="I409" s="25">
        <f>IF($K409="","",IF(INDEX('Prospect Tracker'!$T$5:$T$554,$K409)="","",INDEX('Prospect Tracker'!$T$5:$T$554,$K409)))</f>
        <v/>
      </c>
      <c r="J409" s="25">
        <f>IF($K409="","",IF(INDEX('Prospect Tracker'!$L$5:$L$554,$K409)="","",INDEX('Prospect Tracker'!$L$5:$L$554,$K409)))</f>
        <v/>
      </c>
      <c r="K409" s="19">
        <f>IFERROR(MATCH(SMALL('Prospect Tracker'!$X$5:$X$554,ROW()-4),'Prospect Tracker'!$X$5:$X$554,0),"")</f>
        <v/>
      </c>
    </row>
    <row r="410" ht="15" customHeight="1" s="20">
      <c r="A410" s="30">
        <f>IF($K410="","",IF(INDEX('Prospect Tracker'!$W$5:$W$554,$K410)="","",INDEX('Prospect Tracker'!$W$5:$W$554,$K410)))</f>
        <v/>
      </c>
      <c r="B410" s="30">
        <f>IF($K410="","",IF(INDEX('Prospect Tracker'!$A$5:$A$554,$K410)="","",INDEX('Prospect Tracker'!$A$5:$A$554,$K410)))</f>
        <v/>
      </c>
      <c r="C410" s="30">
        <f>IF($K410="","",IF(INDEX('Prospect Tracker'!$B$5:$B$554,$K410)="","",INDEX('Prospect Tracker'!$B$5:$B$554,$K410)))</f>
        <v/>
      </c>
      <c r="D410" s="30">
        <f>IF($K410="","",IF(INDEX('Prospect Tracker'!$M$5:$M$554,$K410)="","",INDEX('Prospect Tracker'!$M$5:$M$554,$K410)))</f>
        <v/>
      </c>
      <c r="E410" s="30">
        <f>IF($K410="","",IF(INDEX('Prospect Tracker'!$R$5:$R$554,$K410)="","",INDEX('Prospect Tracker'!$R$5:$R$554,$K410)))</f>
        <v/>
      </c>
      <c r="F410" s="30">
        <f>IF($K410="","",IF(INDEX('Prospect Tracker'!$J$5:$J$554,$K410)="","",INDEX('Prospect Tracker'!$J$5:$J$554,$K410)))</f>
        <v/>
      </c>
      <c r="G410" s="30">
        <f>IF($K410="","",IF(INDEX('Prospect Tracker'!$H$5:$H$554,$K410)="","",INDEX('Prospect Tracker'!$H$5:$H$554,$K410)))</f>
        <v/>
      </c>
      <c r="H410" s="31">
        <f>IF($K410="","",IF(INDEX('Prospect Tracker'!$K$5:$K$554,$K410)="","",INDEX('Prospect Tracker'!$K$5:$K$554,$K410)))</f>
        <v/>
      </c>
      <c r="I410" s="30">
        <f>IF($K410="","",IF(INDEX('Prospect Tracker'!$T$5:$T$554,$K410)="","",INDEX('Prospect Tracker'!$T$5:$T$554,$K410)))</f>
        <v/>
      </c>
      <c r="J410" s="30">
        <f>IF($K410="","",IF(INDEX('Prospect Tracker'!$L$5:$L$554,$K410)="","",INDEX('Prospect Tracker'!$L$5:$L$554,$K410)))</f>
        <v/>
      </c>
      <c r="K410" s="19">
        <f>IFERROR(MATCH(SMALL('Prospect Tracker'!$X$5:$X$554,ROW()-4),'Prospect Tracker'!$X$5:$X$554,0),"")</f>
        <v/>
      </c>
    </row>
    <row r="411" ht="15" customHeight="1" s="20">
      <c r="A411" s="25">
        <f>IF($K411="","",IF(INDEX('Prospect Tracker'!$W$5:$W$554,$K411)="","",INDEX('Prospect Tracker'!$W$5:$W$554,$K411)))</f>
        <v/>
      </c>
      <c r="B411" s="25">
        <f>IF($K411="","",IF(INDEX('Prospect Tracker'!$A$5:$A$554,$K411)="","",INDEX('Prospect Tracker'!$A$5:$A$554,$K411)))</f>
        <v/>
      </c>
      <c r="C411" s="25">
        <f>IF($K411="","",IF(INDEX('Prospect Tracker'!$B$5:$B$554,$K411)="","",INDEX('Prospect Tracker'!$B$5:$B$554,$K411)))</f>
        <v/>
      </c>
      <c r="D411" s="25">
        <f>IF($K411="","",IF(INDEX('Prospect Tracker'!$M$5:$M$554,$K411)="","",INDEX('Prospect Tracker'!$M$5:$M$554,$K411)))</f>
        <v/>
      </c>
      <c r="E411" s="25">
        <f>IF($K411="","",IF(INDEX('Prospect Tracker'!$R$5:$R$554,$K411)="","",INDEX('Prospect Tracker'!$R$5:$R$554,$K411)))</f>
        <v/>
      </c>
      <c r="F411" s="25">
        <f>IF($K411="","",IF(INDEX('Prospect Tracker'!$J$5:$J$554,$K411)="","",INDEX('Prospect Tracker'!$J$5:$J$554,$K411)))</f>
        <v/>
      </c>
      <c r="G411" s="25">
        <f>IF($K411="","",IF(INDEX('Prospect Tracker'!$H$5:$H$554,$K411)="","",INDEX('Prospect Tracker'!$H$5:$H$554,$K411)))</f>
        <v/>
      </c>
      <c r="H411" s="26">
        <f>IF($K411="","",IF(INDEX('Prospect Tracker'!$K$5:$K$554,$K411)="","",INDEX('Prospect Tracker'!$K$5:$K$554,$K411)))</f>
        <v/>
      </c>
      <c r="I411" s="25">
        <f>IF($K411="","",IF(INDEX('Prospect Tracker'!$T$5:$T$554,$K411)="","",INDEX('Prospect Tracker'!$T$5:$T$554,$K411)))</f>
        <v/>
      </c>
      <c r="J411" s="25">
        <f>IF($K411="","",IF(INDEX('Prospect Tracker'!$L$5:$L$554,$K411)="","",INDEX('Prospect Tracker'!$L$5:$L$554,$K411)))</f>
        <v/>
      </c>
      <c r="K411" s="19">
        <f>IFERROR(MATCH(SMALL('Prospect Tracker'!$X$5:$X$554,ROW()-4),'Prospect Tracker'!$X$5:$X$554,0),"")</f>
        <v/>
      </c>
    </row>
    <row r="412" ht="15" customHeight="1" s="20">
      <c r="A412" s="30">
        <f>IF($K412="","",IF(INDEX('Prospect Tracker'!$W$5:$W$554,$K412)="","",INDEX('Prospect Tracker'!$W$5:$W$554,$K412)))</f>
        <v/>
      </c>
      <c r="B412" s="30">
        <f>IF($K412="","",IF(INDEX('Prospect Tracker'!$A$5:$A$554,$K412)="","",INDEX('Prospect Tracker'!$A$5:$A$554,$K412)))</f>
        <v/>
      </c>
      <c r="C412" s="30">
        <f>IF($K412="","",IF(INDEX('Prospect Tracker'!$B$5:$B$554,$K412)="","",INDEX('Prospect Tracker'!$B$5:$B$554,$K412)))</f>
        <v/>
      </c>
      <c r="D412" s="30">
        <f>IF($K412="","",IF(INDEX('Prospect Tracker'!$M$5:$M$554,$K412)="","",INDEX('Prospect Tracker'!$M$5:$M$554,$K412)))</f>
        <v/>
      </c>
      <c r="E412" s="30">
        <f>IF($K412="","",IF(INDEX('Prospect Tracker'!$R$5:$R$554,$K412)="","",INDEX('Prospect Tracker'!$R$5:$R$554,$K412)))</f>
        <v/>
      </c>
      <c r="F412" s="30">
        <f>IF($K412="","",IF(INDEX('Prospect Tracker'!$J$5:$J$554,$K412)="","",INDEX('Prospect Tracker'!$J$5:$J$554,$K412)))</f>
        <v/>
      </c>
      <c r="G412" s="30">
        <f>IF($K412="","",IF(INDEX('Prospect Tracker'!$H$5:$H$554,$K412)="","",INDEX('Prospect Tracker'!$H$5:$H$554,$K412)))</f>
        <v/>
      </c>
      <c r="H412" s="31">
        <f>IF($K412="","",IF(INDEX('Prospect Tracker'!$K$5:$K$554,$K412)="","",INDEX('Prospect Tracker'!$K$5:$K$554,$K412)))</f>
        <v/>
      </c>
      <c r="I412" s="30">
        <f>IF($K412="","",IF(INDEX('Prospect Tracker'!$T$5:$T$554,$K412)="","",INDEX('Prospect Tracker'!$T$5:$T$554,$K412)))</f>
        <v/>
      </c>
      <c r="J412" s="30">
        <f>IF($K412="","",IF(INDEX('Prospect Tracker'!$L$5:$L$554,$K412)="","",INDEX('Prospect Tracker'!$L$5:$L$554,$K412)))</f>
        <v/>
      </c>
      <c r="K412" s="19">
        <f>IFERROR(MATCH(SMALL('Prospect Tracker'!$X$5:$X$554,ROW()-4),'Prospect Tracker'!$X$5:$X$554,0),"")</f>
        <v/>
      </c>
    </row>
    <row r="413" ht="15" customHeight="1" s="20">
      <c r="A413" s="25">
        <f>IF($K413="","",IF(INDEX('Prospect Tracker'!$W$5:$W$554,$K413)="","",INDEX('Prospect Tracker'!$W$5:$W$554,$K413)))</f>
        <v/>
      </c>
      <c r="B413" s="25">
        <f>IF($K413="","",IF(INDEX('Prospect Tracker'!$A$5:$A$554,$K413)="","",INDEX('Prospect Tracker'!$A$5:$A$554,$K413)))</f>
        <v/>
      </c>
      <c r="C413" s="25">
        <f>IF($K413="","",IF(INDEX('Prospect Tracker'!$B$5:$B$554,$K413)="","",INDEX('Prospect Tracker'!$B$5:$B$554,$K413)))</f>
        <v/>
      </c>
      <c r="D413" s="25">
        <f>IF($K413="","",IF(INDEX('Prospect Tracker'!$M$5:$M$554,$K413)="","",INDEX('Prospect Tracker'!$M$5:$M$554,$K413)))</f>
        <v/>
      </c>
      <c r="E413" s="25">
        <f>IF($K413="","",IF(INDEX('Prospect Tracker'!$R$5:$R$554,$K413)="","",INDEX('Prospect Tracker'!$R$5:$R$554,$K413)))</f>
        <v/>
      </c>
      <c r="F413" s="25">
        <f>IF($K413="","",IF(INDEX('Prospect Tracker'!$J$5:$J$554,$K413)="","",INDEX('Prospect Tracker'!$J$5:$J$554,$K413)))</f>
        <v/>
      </c>
      <c r="G413" s="25">
        <f>IF($K413="","",IF(INDEX('Prospect Tracker'!$H$5:$H$554,$K413)="","",INDEX('Prospect Tracker'!$H$5:$H$554,$K413)))</f>
        <v/>
      </c>
      <c r="H413" s="26">
        <f>IF($K413="","",IF(INDEX('Prospect Tracker'!$K$5:$K$554,$K413)="","",INDEX('Prospect Tracker'!$K$5:$K$554,$K413)))</f>
        <v/>
      </c>
      <c r="I413" s="25">
        <f>IF($K413="","",IF(INDEX('Prospect Tracker'!$T$5:$T$554,$K413)="","",INDEX('Prospect Tracker'!$T$5:$T$554,$K413)))</f>
        <v/>
      </c>
      <c r="J413" s="25">
        <f>IF($K413="","",IF(INDEX('Prospect Tracker'!$L$5:$L$554,$K413)="","",INDEX('Prospect Tracker'!$L$5:$L$554,$K413)))</f>
        <v/>
      </c>
      <c r="K413" s="19">
        <f>IFERROR(MATCH(SMALL('Prospect Tracker'!$X$5:$X$554,ROW()-4),'Prospect Tracker'!$X$5:$X$554,0),"")</f>
        <v/>
      </c>
    </row>
    <row r="414" ht="15" customHeight="1" s="20">
      <c r="A414" s="30">
        <f>IF($K414="","",IF(INDEX('Prospect Tracker'!$W$5:$W$554,$K414)="","",INDEX('Prospect Tracker'!$W$5:$W$554,$K414)))</f>
        <v/>
      </c>
      <c r="B414" s="30">
        <f>IF($K414="","",IF(INDEX('Prospect Tracker'!$A$5:$A$554,$K414)="","",INDEX('Prospect Tracker'!$A$5:$A$554,$K414)))</f>
        <v/>
      </c>
      <c r="C414" s="30">
        <f>IF($K414="","",IF(INDEX('Prospect Tracker'!$B$5:$B$554,$K414)="","",INDEX('Prospect Tracker'!$B$5:$B$554,$K414)))</f>
        <v/>
      </c>
      <c r="D414" s="30">
        <f>IF($K414="","",IF(INDEX('Prospect Tracker'!$M$5:$M$554,$K414)="","",INDEX('Prospect Tracker'!$M$5:$M$554,$K414)))</f>
        <v/>
      </c>
      <c r="E414" s="30">
        <f>IF($K414="","",IF(INDEX('Prospect Tracker'!$R$5:$R$554,$K414)="","",INDEX('Prospect Tracker'!$R$5:$R$554,$K414)))</f>
        <v/>
      </c>
      <c r="F414" s="30">
        <f>IF($K414="","",IF(INDEX('Prospect Tracker'!$J$5:$J$554,$K414)="","",INDEX('Prospect Tracker'!$J$5:$J$554,$K414)))</f>
        <v/>
      </c>
      <c r="G414" s="30">
        <f>IF($K414="","",IF(INDEX('Prospect Tracker'!$H$5:$H$554,$K414)="","",INDEX('Prospect Tracker'!$H$5:$H$554,$K414)))</f>
        <v/>
      </c>
      <c r="H414" s="31">
        <f>IF($K414="","",IF(INDEX('Prospect Tracker'!$K$5:$K$554,$K414)="","",INDEX('Prospect Tracker'!$K$5:$K$554,$K414)))</f>
        <v/>
      </c>
      <c r="I414" s="30">
        <f>IF($K414="","",IF(INDEX('Prospect Tracker'!$T$5:$T$554,$K414)="","",INDEX('Prospect Tracker'!$T$5:$T$554,$K414)))</f>
        <v/>
      </c>
      <c r="J414" s="30">
        <f>IF($K414="","",IF(INDEX('Prospect Tracker'!$L$5:$L$554,$K414)="","",INDEX('Prospect Tracker'!$L$5:$L$554,$K414)))</f>
        <v/>
      </c>
      <c r="K414" s="19">
        <f>IFERROR(MATCH(SMALL('Prospect Tracker'!$X$5:$X$554,ROW()-4),'Prospect Tracker'!$X$5:$X$554,0),"")</f>
        <v/>
      </c>
    </row>
    <row r="415" ht="15" customHeight="1" s="20">
      <c r="A415" s="25">
        <f>IF($K415="","",IF(INDEX('Prospect Tracker'!$W$5:$W$554,$K415)="","",INDEX('Prospect Tracker'!$W$5:$W$554,$K415)))</f>
        <v/>
      </c>
      <c r="B415" s="25">
        <f>IF($K415="","",IF(INDEX('Prospect Tracker'!$A$5:$A$554,$K415)="","",INDEX('Prospect Tracker'!$A$5:$A$554,$K415)))</f>
        <v/>
      </c>
      <c r="C415" s="25">
        <f>IF($K415="","",IF(INDEX('Prospect Tracker'!$B$5:$B$554,$K415)="","",INDEX('Prospect Tracker'!$B$5:$B$554,$K415)))</f>
        <v/>
      </c>
      <c r="D415" s="25">
        <f>IF($K415="","",IF(INDEX('Prospect Tracker'!$M$5:$M$554,$K415)="","",INDEX('Prospect Tracker'!$M$5:$M$554,$K415)))</f>
        <v/>
      </c>
      <c r="E415" s="25">
        <f>IF($K415="","",IF(INDEX('Prospect Tracker'!$R$5:$R$554,$K415)="","",INDEX('Prospect Tracker'!$R$5:$R$554,$K415)))</f>
        <v/>
      </c>
      <c r="F415" s="25">
        <f>IF($K415="","",IF(INDEX('Prospect Tracker'!$J$5:$J$554,$K415)="","",INDEX('Prospect Tracker'!$J$5:$J$554,$K415)))</f>
        <v/>
      </c>
      <c r="G415" s="25">
        <f>IF($K415="","",IF(INDEX('Prospect Tracker'!$H$5:$H$554,$K415)="","",INDEX('Prospect Tracker'!$H$5:$H$554,$K415)))</f>
        <v/>
      </c>
      <c r="H415" s="26">
        <f>IF($K415="","",IF(INDEX('Prospect Tracker'!$K$5:$K$554,$K415)="","",INDEX('Prospect Tracker'!$K$5:$K$554,$K415)))</f>
        <v/>
      </c>
      <c r="I415" s="25">
        <f>IF($K415="","",IF(INDEX('Prospect Tracker'!$T$5:$T$554,$K415)="","",INDEX('Prospect Tracker'!$T$5:$T$554,$K415)))</f>
        <v/>
      </c>
      <c r="J415" s="25">
        <f>IF($K415="","",IF(INDEX('Prospect Tracker'!$L$5:$L$554,$K415)="","",INDEX('Prospect Tracker'!$L$5:$L$554,$K415)))</f>
        <v/>
      </c>
      <c r="K415" s="19">
        <f>IFERROR(MATCH(SMALL('Prospect Tracker'!$X$5:$X$554,ROW()-4),'Prospect Tracker'!$X$5:$X$554,0),"")</f>
        <v/>
      </c>
    </row>
    <row r="416" ht="15" customHeight="1" s="20">
      <c r="A416" s="30">
        <f>IF($K416="","",IF(INDEX('Prospect Tracker'!$W$5:$W$554,$K416)="","",INDEX('Prospect Tracker'!$W$5:$W$554,$K416)))</f>
        <v/>
      </c>
      <c r="B416" s="30">
        <f>IF($K416="","",IF(INDEX('Prospect Tracker'!$A$5:$A$554,$K416)="","",INDEX('Prospect Tracker'!$A$5:$A$554,$K416)))</f>
        <v/>
      </c>
      <c r="C416" s="30">
        <f>IF($K416="","",IF(INDEX('Prospect Tracker'!$B$5:$B$554,$K416)="","",INDEX('Prospect Tracker'!$B$5:$B$554,$K416)))</f>
        <v/>
      </c>
      <c r="D416" s="30">
        <f>IF($K416="","",IF(INDEX('Prospect Tracker'!$M$5:$M$554,$K416)="","",INDEX('Prospect Tracker'!$M$5:$M$554,$K416)))</f>
        <v/>
      </c>
      <c r="E416" s="30">
        <f>IF($K416="","",IF(INDEX('Prospect Tracker'!$R$5:$R$554,$K416)="","",INDEX('Prospect Tracker'!$R$5:$R$554,$K416)))</f>
        <v/>
      </c>
      <c r="F416" s="30">
        <f>IF($K416="","",IF(INDEX('Prospect Tracker'!$J$5:$J$554,$K416)="","",INDEX('Prospect Tracker'!$J$5:$J$554,$K416)))</f>
        <v/>
      </c>
      <c r="G416" s="30">
        <f>IF($K416="","",IF(INDEX('Prospect Tracker'!$H$5:$H$554,$K416)="","",INDEX('Prospect Tracker'!$H$5:$H$554,$K416)))</f>
        <v/>
      </c>
      <c r="H416" s="31">
        <f>IF($K416="","",IF(INDEX('Prospect Tracker'!$K$5:$K$554,$K416)="","",INDEX('Prospect Tracker'!$K$5:$K$554,$K416)))</f>
        <v/>
      </c>
      <c r="I416" s="30">
        <f>IF($K416="","",IF(INDEX('Prospect Tracker'!$T$5:$T$554,$K416)="","",INDEX('Prospect Tracker'!$T$5:$T$554,$K416)))</f>
        <v/>
      </c>
      <c r="J416" s="30">
        <f>IF($K416="","",IF(INDEX('Prospect Tracker'!$L$5:$L$554,$K416)="","",INDEX('Prospect Tracker'!$L$5:$L$554,$K416)))</f>
        <v/>
      </c>
      <c r="K416" s="19">
        <f>IFERROR(MATCH(SMALL('Prospect Tracker'!$X$5:$X$554,ROW()-4),'Prospect Tracker'!$X$5:$X$554,0),"")</f>
        <v/>
      </c>
    </row>
    <row r="417" ht="15" customHeight="1" s="20">
      <c r="A417" s="25">
        <f>IF($K417="","",IF(INDEX('Prospect Tracker'!$W$5:$W$554,$K417)="","",INDEX('Prospect Tracker'!$W$5:$W$554,$K417)))</f>
        <v/>
      </c>
      <c r="B417" s="25">
        <f>IF($K417="","",IF(INDEX('Prospect Tracker'!$A$5:$A$554,$K417)="","",INDEX('Prospect Tracker'!$A$5:$A$554,$K417)))</f>
        <v/>
      </c>
      <c r="C417" s="25">
        <f>IF($K417="","",IF(INDEX('Prospect Tracker'!$B$5:$B$554,$K417)="","",INDEX('Prospect Tracker'!$B$5:$B$554,$K417)))</f>
        <v/>
      </c>
      <c r="D417" s="25">
        <f>IF($K417="","",IF(INDEX('Prospect Tracker'!$M$5:$M$554,$K417)="","",INDEX('Prospect Tracker'!$M$5:$M$554,$K417)))</f>
        <v/>
      </c>
      <c r="E417" s="25">
        <f>IF($K417="","",IF(INDEX('Prospect Tracker'!$R$5:$R$554,$K417)="","",INDEX('Prospect Tracker'!$R$5:$R$554,$K417)))</f>
        <v/>
      </c>
      <c r="F417" s="25">
        <f>IF($K417="","",IF(INDEX('Prospect Tracker'!$J$5:$J$554,$K417)="","",INDEX('Prospect Tracker'!$J$5:$J$554,$K417)))</f>
        <v/>
      </c>
      <c r="G417" s="25">
        <f>IF($K417="","",IF(INDEX('Prospect Tracker'!$H$5:$H$554,$K417)="","",INDEX('Prospect Tracker'!$H$5:$H$554,$K417)))</f>
        <v/>
      </c>
      <c r="H417" s="26">
        <f>IF($K417="","",IF(INDEX('Prospect Tracker'!$K$5:$K$554,$K417)="","",INDEX('Prospect Tracker'!$K$5:$K$554,$K417)))</f>
        <v/>
      </c>
      <c r="I417" s="25">
        <f>IF($K417="","",IF(INDEX('Prospect Tracker'!$T$5:$T$554,$K417)="","",INDEX('Prospect Tracker'!$T$5:$T$554,$K417)))</f>
        <v/>
      </c>
      <c r="J417" s="25">
        <f>IF($K417="","",IF(INDEX('Prospect Tracker'!$L$5:$L$554,$K417)="","",INDEX('Prospect Tracker'!$L$5:$L$554,$K417)))</f>
        <v/>
      </c>
      <c r="K417" s="19">
        <f>IFERROR(MATCH(SMALL('Prospect Tracker'!$X$5:$X$554,ROW()-4),'Prospect Tracker'!$X$5:$X$554,0),"")</f>
        <v/>
      </c>
    </row>
    <row r="418" ht="15" customHeight="1" s="20">
      <c r="A418" s="30">
        <f>IF($K418="","",IF(INDEX('Prospect Tracker'!$W$5:$W$554,$K418)="","",INDEX('Prospect Tracker'!$W$5:$W$554,$K418)))</f>
        <v/>
      </c>
      <c r="B418" s="30">
        <f>IF($K418="","",IF(INDEX('Prospect Tracker'!$A$5:$A$554,$K418)="","",INDEX('Prospect Tracker'!$A$5:$A$554,$K418)))</f>
        <v/>
      </c>
      <c r="C418" s="30">
        <f>IF($K418="","",IF(INDEX('Prospect Tracker'!$B$5:$B$554,$K418)="","",INDEX('Prospect Tracker'!$B$5:$B$554,$K418)))</f>
        <v/>
      </c>
      <c r="D418" s="30">
        <f>IF($K418="","",IF(INDEX('Prospect Tracker'!$M$5:$M$554,$K418)="","",INDEX('Prospect Tracker'!$M$5:$M$554,$K418)))</f>
        <v/>
      </c>
      <c r="E418" s="30">
        <f>IF($K418="","",IF(INDEX('Prospect Tracker'!$R$5:$R$554,$K418)="","",INDEX('Prospect Tracker'!$R$5:$R$554,$K418)))</f>
        <v/>
      </c>
      <c r="F418" s="30">
        <f>IF($K418="","",IF(INDEX('Prospect Tracker'!$J$5:$J$554,$K418)="","",INDEX('Prospect Tracker'!$J$5:$J$554,$K418)))</f>
        <v/>
      </c>
      <c r="G418" s="30">
        <f>IF($K418="","",IF(INDEX('Prospect Tracker'!$H$5:$H$554,$K418)="","",INDEX('Prospect Tracker'!$H$5:$H$554,$K418)))</f>
        <v/>
      </c>
      <c r="H418" s="31">
        <f>IF($K418="","",IF(INDEX('Prospect Tracker'!$K$5:$K$554,$K418)="","",INDEX('Prospect Tracker'!$K$5:$K$554,$K418)))</f>
        <v/>
      </c>
      <c r="I418" s="30">
        <f>IF($K418="","",IF(INDEX('Prospect Tracker'!$T$5:$T$554,$K418)="","",INDEX('Prospect Tracker'!$T$5:$T$554,$K418)))</f>
        <v/>
      </c>
      <c r="J418" s="30">
        <f>IF($K418="","",IF(INDEX('Prospect Tracker'!$L$5:$L$554,$K418)="","",INDEX('Prospect Tracker'!$L$5:$L$554,$K418)))</f>
        <v/>
      </c>
      <c r="K418" s="19">
        <f>IFERROR(MATCH(SMALL('Prospect Tracker'!$X$5:$X$554,ROW()-4),'Prospect Tracker'!$X$5:$X$554,0),"")</f>
        <v/>
      </c>
    </row>
    <row r="419" ht="15" customHeight="1" s="20">
      <c r="A419" s="25">
        <f>IF($K419="","",IF(INDEX('Prospect Tracker'!$W$5:$W$554,$K419)="","",INDEX('Prospect Tracker'!$W$5:$W$554,$K419)))</f>
        <v/>
      </c>
      <c r="B419" s="25">
        <f>IF($K419="","",IF(INDEX('Prospect Tracker'!$A$5:$A$554,$K419)="","",INDEX('Prospect Tracker'!$A$5:$A$554,$K419)))</f>
        <v/>
      </c>
      <c r="C419" s="25">
        <f>IF($K419="","",IF(INDEX('Prospect Tracker'!$B$5:$B$554,$K419)="","",INDEX('Prospect Tracker'!$B$5:$B$554,$K419)))</f>
        <v/>
      </c>
      <c r="D419" s="25">
        <f>IF($K419="","",IF(INDEX('Prospect Tracker'!$M$5:$M$554,$K419)="","",INDEX('Prospect Tracker'!$M$5:$M$554,$K419)))</f>
        <v/>
      </c>
      <c r="E419" s="25">
        <f>IF($K419="","",IF(INDEX('Prospect Tracker'!$R$5:$R$554,$K419)="","",INDEX('Prospect Tracker'!$R$5:$R$554,$K419)))</f>
        <v/>
      </c>
      <c r="F419" s="25">
        <f>IF($K419="","",IF(INDEX('Prospect Tracker'!$J$5:$J$554,$K419)="","",INDEX('Prospect Tracker'!$J$5:$J$554,$K419)))</f>
        <v/>
      </c>
      <c r="G419" s="25">
        <f>IF($K419="","",IF(INDEX('Prospect Tracker'!$H$5:$H$554,$K419)="","",INDEX('Prospect Tracker'!$H$5:$H$554,$K419)))</f>
        <v/>
      </c>
      <c r="H419" s="26">
        <f>IF($K419="","",IF(INDEX('Prospect Tracker'!$K$5:$K$554,$K419)="","",INDEX('Prospect Tracker'!$K$5:$K$554,$K419)))</f>
        <v/>
      </c>
      <c r="I419" s="25">
        <f>IF($K419="","",IF(INDEX('Prospect Tracker'!$T$5:$T$554,$K419)="","",INDEX('Prospect Tracker'!$T$5:$T$554,$K419)))</f>
        <v/>
      </c>
      <c r="J419" s="25">
        <f>IF($K419="","",IF(INDEX('Prospect Tracker'!$L$5:$L$554,$K419)="","",INDEX('Prospect Tracker'!$L$5:$L$554,$K419)))</f>
        <v/>
      </c>
      <c r="K419" s="19">
        <f>IFERROR(MATCH(SMALL('Prospect Tracker'!$X$5:$X$554,ROW()-4),'Prospect Tracker'!$X$5:$X$554,0),"")</f>
        <v/>
      </c>
    </row>
    <row r="420" ht="15" customHeight="1" s="20">
      <c r="A420" s="30">
        <f>IF($K420="","",IF(INDEX('Prospect Tracker'!$W$5:$W$554,$K420)="","",INDEX('Prospect Tracker'!$W$5:$W$554,$K420)))</f>
        <v/>
      </c>
      <c r="B420" s="30">
        <f>IF($K420="","",IF(INDEX('Prospect Tracker'!$A$5:$A$554,$K420)="","",INDEX('Prospect Tracker'!$A$5:$A$554,$K420)))</f>
        <v/>
      </c>
      <c r="C420" s="30">
        <f>IF($K420="","",IF(INDEX('Prospect Tracker'!$B$5:$B$554,$K420)="","",INDEX('Prospect Tracker'!$B$5:$B$554,$K420)))</f>
        <v/>
      </c>
      <c r="D420" s="30">
        <f>IF($K420="","",IF(INDEX('Prospect Tracker'!$M$5:$M$554,$K420)="","",INDEX('Prospect Tracker'!$M$5:$M$554,$K420)))</f>
        <v/>
      </c>
      <c r="E420" s="30">
        <f>IF($K420="","",IF(INDEX('Prospect Tracker'!$R$5:$R$554,$K420)="","",INDEX('Prospect Tracker'!$R$5:$R$554,$K420)))</f>
        <v/>
      </c>
      <c r="F420" s="30">
        <f>IF($K420="","",IF(INDEX('Prospect Tracker'!$J$5:$J$554,$K420)="","",INDEX('Prospect Tracker'!$J$5:$J$554,$K420)))</f>
        <v/>
      </c>
      <c r="G420" s="30">
        <f>IF($K420="","",IF(INDEX('Prospect Tracker'!$H$5:$H$554,$K420)="","",INDEX('Prospect Tracker'!$H$5:$H$554,$K420)))</f>
        <v/>
      </c>
      <c r="H420" s="31">
        <f>IF($K420="","",IF(INDEX('Prospect Tracker'!$K$5:$K$554,$K420)="","",INDEX('Prospect Tracker'!$K$5:$K$554,$K420)))</f>
        <v/>
      </c>
      <c r="I420" s="30">
        <f>IF($K420="","",IF(INDEX('Prospect Tracker'!$T$5:$T$554,$K420)="","",INDEX('Prospect Tracker'!$T$5:$T$554,$K420)))</f>
        <v/>
      </c>
      <c r="J420" s="30">
        <f>IF($K420="","",IF(INDEX('Prospect Tracker'!$L$5:$L$554,$K420)="","",INDEX('Prospect Tracker'!$L$5:$L$554,$K420)))</f>
        <v/>
      </c>
      <c r="K420" s="19">
        <f>IFERROR(MATCH(SMALL('Prospect Tracker'!$X$5:$X$554,ROW()-4),'Prospect Tracker'!$X$5:$X$554,0),"")</f>
        <v/>
      </c>
    </row>
    <row r="421" ht="15" customHeight="1" s="20">
      <c r="A421" s="25">
        <f>IF($K421="","",IF(INDEX('Prospect Tracker'!$W$5:$W$554,$K421)="","",INDEX('Prospect Tracker'!$W$5:$W$554,$K421)))</f>
        <v/>
      </c>
      <c r="B421" s="25">
        <f>IF($K421="","",IF(INDEX('Prospect Tracker'!$A$5:$A$554,$K421)="","",INDEX('Prospect Tracker'!$A$5:$A$554,$K421)))</f>
        <v/>
      </c>
      <c r="C421" s="25">
        <f>IF($K421="","",IF(INDEX('Prospect Tracker'!$B$5:$B$554,$K421)="","",INDEX('Prospect Tracker'!$B$5:$B$554,$K421)))</f>
        <v/>
      </c>
      <c r="D421" s="25">
        <f>IF($K421="","",IF(INDEX('Prospect Tracker'!$M$5:$M$554,$K421)="","",INDEX('Prospect Tracker'!$M$5:$M$554,$K421)))</f>
        <v/>
      </c>
      <c r="E421" s="25">
        <f>IF($K421="","",IF(INDEX('Prospect Tracker'!$R$5:$R$554,$K421)="","",INDEX('Prospect Tracker'!$R$5:$R$554,$K421)))</f>
        <v/>
      </c>
      <c r="F421" s="25">
        <f>IF($K421="","",IF(INDEX('Prospect Tracker'!$J$5:$J$554,$K421)="","",INDEX('Prospect Tracker'!$J$5:$J$554,$K421)))</f>
        <v/>
      </c>
      <c r="G421" s="25">
        <f>IF($K421="","",IF(INDEX('Prospect Tracker'!$H$5:$H$554,$K421)="","",INDEX('Prospect Tracker'!$H$5:$H$554,$K421)))</f>
        <v/>
      </c>
      <c r="H421" s="26">
        <f>IF($K421="","",IF(INDEX('Prospect Tracker'!$K$5:$K$554,$K421)="","",INDEX('Prospect Tracker'!$K$5:$K$554,$K421)))</f>
        <v/>
      </c>
      <c r="I421" s="25">
        <f>IF($K421="","",IF(INDEX('Prospect Tracker'!$T$5:$T$554,$K421)="","",INDEX('Prospect Tracker'!$T$5:$T$554,$K421)))</f>
        <v/>
      </c>
      <c r="J421" s="25">
        <f>IF($K421="","",IF(INDEX('Prospect Tracker'!$L$5:$L$554,$K421)="","",INDEX('Prospect Tracker'!$L$5:$L$554,$K421)))</f>
        <v/>
      </c>
      <c r="K421" s="19">
        <f>IFERROR(MATCH(SMALL('Prospect Tracker'!$X$5:$X$554,ROW()-4),'Prospect Tracker'!$X$5:$X$554,0),"")</f>
        <v/>
      </c>
    </row>
    <row r="422" ht="15" customHeight="1" s="20">
      <c r="A422" s="30">
        <f>IF($K422="","",IF(INDEX('Prospect Tracker'!$W$5:$W$554,$K422)="","",INDEX('Prospect Tracker'!$W$5:$W$554,$K422)))</f>
        <v/>
      </c>
      <c r="B422" s="30">
        <f>IF($K422="","",IF(INDEX('Prospect Tracker'!$A$5:$A$554,$K422)="","",INDEX('Prospect Tracker'!$A$5:$A$554,$K422)))</f>
        <v/>
      </c>
      <c r="C422" s="30">
        <f>IF($K422="","",IF(INDEX('Prospect Tracker'!$B$5:$B$554,$K422)="","",INDEX('Prospect Tracker'!$B$5:$B$554,$K422)))</f>
        <v/>
      </c>
      <c r="D422" s="30">
        <f>IF($K422="","",IF(INDEX('Prospect Tracker'!$M$5:$M$554,$K422)="","",INDEX('Prospect Tracker'!$M$5:$M$554,$K422)))</f>
        <v/>
      </c>
      <c r="E422" s="30">
        <f>IF($K422="","",IF(INDEX('Prospect Tracker'!$R$5:$R$554,$K422)="","",INDEX('Prospect Tracker'!$R$5:$R$554,$K422)))</f>
        <v/>
      </c>
      <c r="F422" s="30">
        <f>IF($K422="","",IF(INDEX('Prospect Tracker'!$J$5:$J$554,$K422)="","",INDEX('Prospect Tracker'!$J$5:$J$554,$K422)))</f>
        <v/>
      </c>
      <c r="G422" s="30">
        <f>IF($K422="","",IF(INDEX('Prospect Tracker'!$H$5:$H$554,$K422)="","",INDEX('Prospect Tracker'!$H$5:$H$554,$K422)))</f>
        <v/>
      </c>
      <c r="H422" s="31">
        <f>IF($K422="","",IF(INDEX('Prospect Tracker'!$K$5:$K$554,$K422)="","",INDEX('Prospect Tracker'!$K$5:$K$554,$K422)))</f>
        <v/>
      </c>
      <c r="I422" s="30">
        <f>IF($K422="","",IF(INDEX('Prospect Tracker'!$T$5:$T$554,$K422)="","",INDEX('Prospect Tracker'!$T$5:$T$554,$K422)))</f>
        <v/>
      </c>
      <c r="J422" s="30">
        <f>IF($K422="","",IF(INDEX('Prospect Tracker'!$L$5:$L$554,$K422)="","",INDEX('Prospect Tracker'!$L$5:$L$554,$K422)))</f>
        <v/>
      </c>
      <c r="K422" s="19">
        <f>IFERROR(MATCH(SMALL('Prospect Tracker'!$X$5:$X$554,ROW()-4),'Prospect Tracker'!$X$5:$X$554,0),"")</f>
        <v/>
      </c>
    </row>
    <row r="423" ht="15" customHeight="1" s="20">
      <c r="A423" s="25">
        <f>IF($K423="","",IF(INDEX('Prospect Tracker'!$W$5:$W$554,$K423)="","",INDEX('Prospect Tracker'!$W$5:$W$554,$K423)))</f>
        <v/>
      </c>
      <c r="B423" s="25">
        <f>IF($K423="","",IF(INDEX('Prospect Tracker'!$A$5:$A$554,$K423)="","",INDEX('Prospect Tracker'!$A$5:$A$554,$K423)))</f>
        <v/>
      </c>
      <c r="C423" s="25">
        <f>IF($K423="","",IF(INDEX('Prospect Tracker'!$B$5:$B$554,$K423)="","",INDEX('Prospect Tracker'!$B$5:$B$554,$K423)))</f>
        <v/>
      </c>
      <c r="D423" s="25">
        <f>IF($K423="","",IF(INDEX('Prospect Tracker'!$M$5:$M$554,$K423)="","",INDEX('Prospect Tracker'!$M$5:$M$554,$K423)))</f>
        <v/>
      </c>
      <c r="E423" s="25">
        <f>IF($K423="","",IF(INDEX('Prospect Tracker'!$R$5:$R$554,$K423)="","",INDEX('Prospect Tracker'!$R$5:$R$554,$K423)))</f>
        <v/>
      </c>
      <c r="F423" s="25">
        <f>IF($K423="","",IF(INDEX('Prospect Tracker'!$J$5:$J$554,$K423)="","",INDEX('Prospect Tracker'!$J$5:$J$554,$K423)))</f>
        <v/>
      </c>
      <c r="G423" s="25">
        <f>IF($K423="","",IF(INDEX('Prospect Tracker'!$H$5:$H$554,$K423)="","",INDEX('Prospect Tracker'!$H$5:$H$554,$K423)))</f>
        <v/>
      </c>
      <c r="H423" s="26">
        <f>IF($K423="","",IF(INDEX('Prospect Tracker'!$K$5:$K$554,$K423)="","",INDEX('Prospect Tracker'!$K$5:$K$554,$K423)))</f>
        <v/>
      </c>
      <c r="I423" s="25">
        <f>IF($K423="","",IF(INDEX('Prospect Tracker'!$T$5:$T$554,$K423)="","",INDEX('Prospect Tracker'!$T$5:$T$554,$K423)))</f>
        <v/>
      </c>
      <c r="J423" s="25">
        <f>IF($K423="","",IF(INDEX('Prospect Tracker'!$L$5:$L$554,$K423)="","",INDEX('Prospect Tracker'!$L$5:$L$554,$K423)))</f>
        <v/>
      </c>
      <c r="K423" s="19">
        <f>IFERROR(MATCH(SMALL('Prospect Tracker'!$X$5:$X$554,ROW()-4),'Prospect Tracker'!$X$5:$X$554,0),"")</f>
        <v/>
      </c>
    </row>
    <row r="424" ht="15" customHeight="1" s="20">
      <c r="A424" s="30">
        <f>IF($K424="","",IF(INDEX('Prospect Tracker'!$W$5:$W$554,$K424)="","",INDEX('Prospect Tracker'!$W$5:$W$554,$K424)))</f>
        <v/>
      </c>
      <c r="B424" s="30">
        <f>IF($K424="","",IF(INDEX('Prospect Tracker'!$A$5:$A$554,$K424)="","",INDEX('Prospect Tracker'!$A$5:$A$554,$K424)))</f>
        <v/>
      </c>
      <c r="C424" s="30">
        <f>IF($K424="","",IF(INDEX('Prospect Tracker'!$B$5:$B$554,$K424)="","",INDEX('Prospect Tracker'!$B$5:$B$554,$K424)))</f>
        <v/>
      </c>
      <c r="D424" s="30">
        <f>IF($K424="","",IF(INDEX('Prospect Tracker'!$M$5:$M$554,$K424)="","",INDEX('Prospect Tracker'!$M$5:$M$554,$K424)))</f>
        <v/>
      </c>
      <c r="E424" s="30">
        <f>IF($K424="","",IF(INDEX('Prospect Tracker'!$R$5:$R$554,$K424)="","",INDEX('Prospect Tracker'!$R$5:$R$554,$K424)))</f>
        <v/>
      </c>
      <c r="F424" s="30">
        <f>IF($K424="","",IF(INDEX('Prospect Tracker'!$J$5:$J$554,$K424)="","",INDEX('Prospect Tracker'!$J$5:$J$554,$K424)))</f>
        <v/>
      </c>
      <c r="G424" s="30">
        <f>IF($K424="","",IF(INDEX('Prospect Tracker'!$H$5:$H$554,$K424)="","",INDEX('Prospect Tracker'!$H$5:$H$554,$K424)))</f>
        <v/>
      </c>
      <c r="H424" s="31">
        <f>IF($K424="","",IF(INDEX('Prospect Tracker'!$K$5:$K$554,$K424)="","",INDEX('Prospect Tracker'!$K$5:$K$554,$K424)))</f>
        <v/>
      </c>
      <c r="I424" s="30">
        <f>IF($K424="","",IF(INDEX('Prospect Tracker'!$T$5:$T$554,$K424)="","",INDEX('Prospect Tracker'!$T$5:$T$554,$K424)))</f>
        <v/>
      </c>
      <c r="J424" s="30">
        <f>IF($K424="","",IF(INDEX('Prospect Tracker'!$L$5:$L$554,$K424)="","",INDEX('Prospect Tracker'!$L$5:$L$554,$K424)))</f>
        <v/>
      </c>
      <c r="K424" s="19">
        <f>IFERROR(MATCH(SMALL('Prospect Tracker'!$X$5:$X$554,ROW()-4),'Prospect Tracker'!$X$5:$X$554,0),"")</f>
        <v/>
      </c>
    </row>
    <row r="425" ht="15" customHeight="1" s="20">
      <c r="A425" s="25">
        <f>IF($K425="","",IF(INDEX('Prospect Tracker'!$W$5:$W$554,$K425)="","",INDEX('Prospect Tracker'!$W$5:$W$554,$K425)))</f>
        <v/>
      </c>
      <c r="B425" s="25">
        <f>IF($K425="","",IF(INDEX('Prospect Tracker'!$A$5:$A$554,$K425)="","",INDEX('Prospect Tracker'!$A$5:$A$554,$K425)))</f>
        <v/>
      </c>
      <c r="C425" s="25">
        <f>IF($K425="","",IF(INDEX('Prospect Tracker'!$B$5:$B$554,$K425)="","",INDEX('Prospect Tracker'!$B$5:$B$554,$K425)))</f>
        <v/>
      </c>
      <c r="D425" s="25">
        <f>IF($K425="","",IF(INDEX('Prospect Tracker'!$M$5:$M$554,$K425)="","",INDEX('Prospect Tracker'!$M$5:$M$554,$K425)))</f>
        <v/>
      </c>
      <c r="E425" s="25">
        <f>IF($K425="","",IF(INDEX('Prospect Tracker'!$R$5:$R$554,$K425)="","",INDEX('Prospect Tracker'!$R$5:$R$554,$K425)))</f>
        <v/>
      </c>
      <c r="F425" s="25">
        <f>IF($K425="","",IF(INDEX('Prospect Tracker'!$J$5:$J$554,$K425)="","",INDEX('Prospect Tracker'!$J$5:$J$554,$K425)))</f>
        <v/>
      </c>
      <c r="G425" s="25">
        <f>IF($K425="","",IF(INDEX('Prospect Tracker'!$H$5:$H$554,$K425)="","",INDEX('Prospect Tracker'!$H$5:$H$554,$K425)))</f>
        <v/>
      </c>
      <c r="H425" s="26">
        <f>IF($K425="","",IF(INDEX('Prospect Tracker'!$K$5:$K$554,$K425)="","",INDEX('Prospect Tracker'!$K$5:$K$554,$K425)))</f>
        <v/>
      </c>
      <c r="I425" s="25">
        <f>IF($K425="","",IF(INDEX('Prospect Tracker'!$T$5:$T$554,$K425)="","",INDEX('Prospect Tracker'!$T$5:$T$554,$K425)))</f>
        <v/>
      </c>
      <c r="J425" s="25">
        <f>IF($K425="","",IF(INDEX('Prospect Tracker'!$L$5:$L$554,$K425)="","",INDEX('Prospect Tracker'!$L$5:$L$554,$K425)))</f>
        <v/>
      </c>
      <c r="K425" s="19">
        <f>IFERROR(MATCH(SMALL('Prospect Tracker'!$X$5:$X$554,ROW()-4),'Prospect Tracker'!$X$5:$X$554,0),"")</f>
        <v/>
      </c>
    </row>
    <row r="426" ht="15" customHeight="1" s="20">
      <c r="A426" s="30">
        <f>IF($K426="","",IF(INDEX('Prospect Tracker'!$W$5:$W$554,$K426)="","",INDEX('Prospect Tracker'!$W$5:$W$554,$K426)))</f>
        <v/>
      </c>
      <c r="B426" s="30">
        <f>IF($K426="","",IF(INDEX('Prospect Tracker'!$A$5:$A$554,$K426)="","",INDEX('Prospect Tracker'!$A$5:$A$554,$K426)))</f>
        <v/>
      </c>
      <c r="C426" s="30">
        <f>IF($K426="","",IF(INDEX('Prospect Tracker'!$B$5:$B$554,$K426)="","",INDEX('Prospect Tracker'!$B$5:$B$554,$K426)))</f>
        <v/>
      </c>
      <c r="D426" s="30">
        <f>IF($K426="","",IF(INDEX('Prospect Tracker'!$M$5:$M$554,$K426)="","",INDEX('Prospect Tracker'!$M$5:$M$554,$K426)))</f>
        <v/>
      </c>
      <c r="E426" s="30">
        <f>IF($K426="","",IF(INDEX('Prospect Tracker'!$R$5:$R$554,$K426)="","",INDEX('Prospect Tracker'!$R$5:$R$554,$K426)))</f>
        <v/>
      </c>
      <c r="F426" s="30">
        <f>IF($K426="","",IF(INDEX('Prospect Tracker'!$J$5:$J$554,$K426)="","",INDEX('Prospect Tracker'!$J$5:$J$554,$K426)))</f>
        <v/>
      </c>
      <c r="G426" s="30">
        <f>IF($K426="","",IF(INDEX('Prospect Tracker'!$H$5:$H$554,$K426)="","",INDEX('Prospect Tracker'!$H$5:$H$554,$K426)))</f>
        <v/>
      </c>
      <c r="H426" s="31">
        <f>IF($K426="","",IF(INDEX('Prospect Tracker'!$K$5:$K$554,$K426)="","",INDEX('Prospect Tracker'!$K$5:$K$554,$K426)))</f>
        <v/>
      </c>
      <c r="I426" s="30">
        <f>IF($K426="","",IF(INDEX('Prospect Tracker'!$T$5:$T$554,$K426)="","",INDEX('Prospect Tracker'!$T$5:$T$554,$K426)))</f>
        <v/>
      </c>
      <c r="J426" s="30">
        <f>IF($K426="","",IF(INDEX('Prospect Tracker'!$L$5:$L$554,$K426)="","",INDEX('Prospect Tracker'!$L$5:$L$554,$K426)))</f>
        <v/>
      </c>
      <c r="K426" s="19">
        <f>IFERROR(MATCH(SMALL('Prospect Tracker'!$X$5:$X$554,ROW()-4),'Prospect Tracker'!$X$5:$X$554,0),"")</f>
        <v/>
      </c>
    </row>
    <row r="427" ht="15" customHeight="1" s="20">
      <c r="A427" s="25">
        <f>IF($K427="","",IF(INDEX('Prospect Tracker'!$W$5:$W$554,$K427)="","",INDEX('Prospect Tracker'!$W$5:$W$554,$K427)))</f>
        <v/>
      </c>
      <c r="B427" s="25">
        <f>IF($K427="","",IF(INDEX('Prospect Tracker'!$A$5:$A$554,$K427)="","",INDEX('Prospect Tracker'!$A$5:$A$554,$K427)))</f>
        <v/>
      </c>
      <c r="C427" s="25">
        <f>IF($K427="","",IF(INDEX('Prospect Tracker'!$B$5:$B$554,$K427)="","",INDEX('Prospect Tracker'!$B$5:$B$554,$K427)))</f>
        <v/>
      </c>
      <c r="D427" s="25">
        <f>IF($K427="","",IF(INDEX('Prospect Tracker'!$M$5:$M$554,$K427)="","",INDEX('Prospect Tracker'!$M$5:$M$554,$K427)))</f>
        <v/>
      </c>
      <c r="E427" s="25">
        <f>IF($K427="","",IF(INDEX('Prospect Tracker'!$R$5:$R$554,$K427)="","",INDEX('Prospect Tracker'!$R$5:$R$554,$K427)))</f>
        <v/>
      </c>
      <c r="F427" s="25">
        <f>IF($K427="","",IF(INDEX('Prospect Tracker'!$J$5:$J$554,$K427)="","",INDEX('Prospect Tracker'!$J$5:$J$554,$K427)))</f>
        <v/>
      </c>
      <c r="G427" s="25">
        <f>IF($K427="","",IF(INDEX('Prospect Tracker'!$H$5:$H$554,$K427)="","",INDEX('Prospect Tracker'!$H$5:$H$554,$K427)))</f>
        <v/>
      </c>
      <c r="H427" s="26">
        <f>IF($K427="","",IF(INDEX('Prospect Tracker'!$K$5:$K$554,$K427)="","",INDEX('Prospect Tracker'!$K$5:$K$554,$K427)))</f>
        <v/>
      </c>
      <c r="I427" s="25">
        <f>IF($K427="","",IF(INDEX('Prospect Tracker'!$T$5:$T$554,$K427)="","",INDEX('Prospect Tracker'!$T$5:$T$554,$K427)))</f>
        <v/>
      </c>
      <c r="J427" s="25">
        <f>IF($K427="","",IF(INDEX('Prospect Tracker'!$L$5:$L$554,$K427)="","",INDEX('Prospect Tracker'!$L$5:$L$554,$K427)))</f>
        <v/>
      </c>
      <c r="K427" s="19">
        <f>IFERROR(MATCH(SMALL('Prospect Tracker'!$X$5:$X$554,ROW()-4),'Prospect Tracker'!$X$5:$X$554,0),"")</f>
        <v/>
      </c>
    </row>
    <row r="428" ht="15" customHeight="1" s="20">
      <c r="A428" s="30">
        <f>IF($K428="","",IF(INDEX('Prospect Tracker'!$W$5:$W$554,$K428)="","",INDEX('Prospect Tracker'!$W$5:$W$554,$K428)))</f>
        <v/>
      </c>
      <c r="B428" s="30">
        <f>IF($K428="","",IF(INDEX('Prospect Tracker'!$A$5:$A$554,$K428)="","",INDEX('Prospect Tracker'!$A$5:$A$554,$K428)))</f>
        <v/>
      </c>
      <c r="C428" s="30">
        <f>IF($K428="","",IF(INDEX('Prospect Tracker'!$B$5:$B$554,$K428)="","",INDEX('Prospect Tracker'!$B$5:$B$554,$K428)))</f>
        <v/>
      </c>
      <c r="D428" s="30">
        <f>IF($K428="","",IF(INDEX('Prospect Tracker'!$M$5:$M$554,$K428)="","",INDEX('Prospect Tracker'!$M$5:$M$554,$K428)))</f>
        <v/>
      </c>
      <c r="E428" s="30">
        <f>IF($K428="","",IF(INDEX('Prospect Tracker'!$R$5:$R$554,$K428)="","",INDEX('Prospect Tracker'!$R$5:$R$554,$K428)))</f>
        <v/>
      </c>
      <c r="F428" s="30">
        <f>IF($K428="","",IF(INDEX('Prospect Tracker'!$J$5:$J$554,$K428)="","",INDEX('Prospect Tracker'!$J$5:$J$554,$K428)))</f>
        <v/>
      </c>
      <c r="G428" s="30">
        <f>IF($K428="","",IF(INDEX('Prospect Tracker'!$H$5:$H$554,$K428)="","",INDEX('Prospect Tracker'!$H$5:$H$554,$K428)))</f>
        <v/>
      </c>
      <c r="H428" s="31">
        <f>IF($K428="","",IF(INDEX('Prospect Tracker'!$K$5:$K$554,$K428)="","",INDEX('Prospect Tracker'!$K$5:$K$554,$K428)))</f>
        <v/>
      </c>
      <c r="I428" s="30">
        <f>IF($K428="","",IF(INDEX('Prospect Tracker'!$T$5:$T$554,$K428)="","",INDEX('Prospect Tracker'!$T$5:$T$554,$K428)))</f>
        <v/>
      </c>
      <c r="J428" s="30">
        <f>IF($K428="","",IF(INDEX('Prospect Tracker'!$L$5:$L$554,$K428)="","",INDEX('Prospect Tracker'!$L$5:$L$554,$K428)))</f>
        <v/>
      </c>
      <c r="K428" s="19">
        <f>IFERROR(MATCH(SMALL('Prospect Tracker'!$X$5:$X$554,ROW()-4),'Prospect Tracker'!$X$5:$X$554,0),"")</f>
        <v/>
      </c>
    </row>
    <row r="429" ht="15" customHeight="1" s="20">
      <c r="A429" s="25">
        <f>IF($K429="","",IF(INDEX('Prospect Tracker'!$W$5:$W$554,$K429)="","",INDEX('Prospect Tracker'!$W$5:$W$554,$K429)))</f>
        <v/>
      </c>
      <c r="B429" s="25">
        <f>IF($K429="","",IF(INDEX('Prospect Tracker'!$A$5:$A$554,$K429)="","",INDEX('Prospect Tracker'!$A$5:$A$554,$K429)))</f>
        <v/>
      </c>
      <c r="C429" s="25">
        <f>IF($K429="","",IF(INDEX('Prospect Tracker'!$B$5:$B$554,$K429)="","",INDEX('Prospect Tracker'!$B$5:$B$554,$K429)))</f>
        <v/>
      </c>
      <c r="D429" s="25">
        <f>IF($K429="","",IF(INDEX('Prospect Tracker'!$M$5:$M$554,$K429)="","",INDEX('Prospect Tracker'!$M$5:$M$554,$K429)))</f>
        <v/>
      </c>
      <c r="E429" s="25">
        <f>IF($K429="","",IF(INDEX('Prospect Tracker'!$R$5:$R$554,$K429)="","",INDEX('Prospect Tracker'!$R$5:$R$554,$K429)))</f>
        <v/>
      </c>
      <c r="F429" s="25">
        <f>IF($K429="","",IF(INDEX('Prospect Tracker'!$J$5:$J$554,$K429)="","",INDEX('Prospect Tracker'!$J$5:$J$554,$K429)))</f>
        <v/>
      </c>
      <c r="G429" s="25">
        <f>IF($K429="","",IF(INDEX('Prospect Tracker'!$H$5:$H$554,$K429)="","",INDEX('Prospect Tracker'!$H$5:$H$554,$K429)))</f>
        <v/>
      </c>
      <c r="H429" s="26">
        <f>IF($K429="","",IF(INDEX('Prospect Tracker'!$K$5:$K$554,$K429)="","",INDEX('Prospect Tracker'!$K$5:$K$554,$K429)))</f>
        <v/>
      </c>
      <c r="I429" s="25">
        <f>IF($K429="","",IF(INDEX('Prospect Tracker'!$T$5:$T$554,$K429)="","",INDEX('Prospect Tracker'!$T$5:$T$554,$K429)))</f>
        <v/>
      </c>
      <c r="J429" s="25">
        <f>IF($K429="","",IF(INDEX('Prospect Tracker'!$L$5:$L$554,$K429)="","",INDEX('Prospect Tracker'!$L$5:$L$554,$K429)))</f>
        <v/>
      </c>
      <c r="K429" s="19">
        <f>IFERROR(MATCH(SMALL('Prospect Tracker'!$X$5:$X$554,ROW()-4),'Prospect Tracker'!$X$5:$X$554,0),"")</f>
        <v/>
      </c>
    </row>
    <row r="430" ht="15" customHeight="1" s="20">
      <c r="A430" s="30">
        <f>IF($K430="","",IF(INDEX('Prospect Tracker'!$W$5:$W$554,$K430)="","",INDEX('Prospect Tracker'!$W$5:$W$554,$K430)))</f>
        <v/>
      </c>
      <c r="B430" s="30">
        <f>IF($K430="","",IF(INDEX('Prospect Tracker'!$A$5:$A$554,$K430)="","",INDEX('Prospect Tracker'!$A$5:$A$554,$K430)))</f>
        <v/>
      </c>
      <c r="C430" s="30">
        <f>IF($K430="","",IF(INDEX('Prospect Tracker'!$B$5:$B$554,$K430)="","",INDEX('Prospect Tracker'!$B$5:$B$554,$K430)))</f>
        <v/>
      </c>
      <c r="D430" s="30">
        <f>IF($K430="","",IF(INDEX('Prospect Tracker'!$M$5:$M$554,$K430)="","",INDEX('Prospect Tracker'!$M$5:$M$554,$K430)))</f>
        <v/>
      </c>
      <c r="E430" s="30">
        <f>IF($K430="","",IF(INDEX('Prospect Tracker'!$R$5:$R$554,$K430)="","",INDEX('Prospect Tracker'!$R$5:$R$554,$K430)))</f>
        <v/>
      </c>
      <c r="F430" s="30">
        <f>IF($K430="","",IF(INDEX('Prospect Tracker'!$J$5:$J$554,$K430)="","",INDEX('Prospect Tracker'!$J$5:$J$554,$K430)))</f>
        <v/>
      </c>
      <c r="G430" s="30">
        <f>IF($K430="","",IF(INDEX('Prospect Tracker'!$H$5:$H$554,$K430)="","",INDEX('Prospect Tracker'!$H$5:$H$554,$K430)))</f>
        <v/>
      </c>
      <c r="H430" s="31">
        <f>IF($K430="","",IF(INDEX('Prospect Tracker'!$K$5:$K$554,$K430)="","",INDEX('Prospect Tracker'!$K$5:$K$554,$K430)))</f>
        <v/>
      </c>
      <c r="I430" s="30">
        <f>IF($K430="","",IF(INDEX('Prospect Tracker'!$T$5:$T$554,$K430)="","",INDEX('Prospect Tracker'!$T$5:$T$554,$K430)))</f>
        <v/>
      </c>
      <c r="J430" s="30">
        <f>IF($K430="","",IF(INDEX('Prospect Tracker'!$L$5:$L$554,$K430)="","",INDEX('Prospect Tracker'!$L$5:$L$554,$K430)))</f>
        <v/>
      </c>
      <c r="K430" s="19">
        <f>IFERROR(MATCH(SMALL('Prospect Tracker'!$X$5:$X$554,ROW()-4),'Prospect Tracker'!$X$5:$X$554,0),"")</f>
        <v/>
      </c>
    </row>
    <row r="431" ht="15" customHeight="1" s="20">
      <c r="A431" s="25">
        <f>IF($K431="","",IF(INDEX('Prospect Tracker'!$W$5:$W$554,$K431)="","",INDEX('Prospect Tracker'!$W$5:$W$554,$K431)))</f>
        <v/>
      </c>
      <c r="B431" s="25">
        <f>IF($K431="","",IF(INDEX('Prospect Tracker'!$A$5:$A$554,$K431)="","",INDEX('Prospect Tracker'!$A$5:$A$554,$K431)))</f>
        <v/>
      </c>
      <c r="C431" s="25">
        <f>IF($K431="","",IF(INDEX('Prospect Tracker'!$B$5:$B$554,$K431)="","",INDEX('Prospect Tracker'!$B$5:$B$554,$K431)))</f>
        <v/>
      </c>
      <c r="D431" s="25">
        <f>IF($K431="","",IF(INDEX('Prospect Tracker'!$M$5:$M$554,$K431)="","",INDEX('Prospect Tracker'!$M$5:$M$554,$K431)))</f>
        <v/>
      </c>
      <c r="E431" s="25">
        <f>IF($K431="","",IF(INDEX('Prospect Tracker'!$R$5:$R$554,$K431)="","",INDEX('Prospect Tracker'!$R$5:$R$554,$K431)))</f>
        <v/>
      </c>
      <c r="F431" s="25">
        <f>IF($K431="","",IF(INDEX('Prospect Tracker'!$J$5:$J$554,$K431)="","",INDEX('Prospect Tracker'!$J$5:$J$554,$K431)))</f>
        <v/>
      </c>
      <c r="G431" s="25">
        <f>IF($K431="","",IF(INDEX('Prospect Tracker'!$H$5:$H$554,$K431)="","",INDEX('Prospect Tracker'!$H$5:$H$554,$K431)))</f>
        <v/>
      </c>
      <c r="H431" s="26">
        <f>IF($K431="","",IF(INDEX('Prospect Tracker'!$K$5:$K$554,$K431)="","",INDEX('Prospect Tracker'!$K$5:$K$554,$K431)))</f>
        <v/>
      </c>
      <c r="I431" s="25">
        <f>IF($K431="","",IF(INDEX('Prospect Tracker'!$T$5:$T$554,$K431)="","",INDEX('Prospect Tracker'!$T$5:$T$554,$K431)))</f>
        <v/>
      </c>
      <c r="J431" s="25">
        <f>IF($K431="","",IF(INDEX('Prospect Tracker'!$L$5:$L$554,$K431)="","",INDEX('Prospect Tracker'!$L$5:$L$554,$K431)))</f>
        <v/>
      </c>
      <c r="K431" s="19">
        <f>IFERROR(MATCH(SMALL('Prospect Tracker'!$X$5:$X$554,ROW()-4),'Prospect Tracker'!$X$5:$X$554,0),"")</f>
        <v/>
      </c>
    </row>
    <row r="432" ht="15" customHeight="1" s="20">
      <c r="A432" s="30">
        <f>IF($K432="","",IF(INDEX('Prospect Tracker'!$W$5:$W$554,$K432)="","",INDEX('Prospect Tracker'!$W$5:$W$554,$K432)))</f>
        <v/>
      </c>
      <c r="B432" s="30">
        <f>IF($K432="","",IF(INDEX('Prospect Tracker'!$A$5:$A$554,$K432)="","",INDEX('Prospect Tracker'!$A$5:$A$554,$K432)))</f>
        <v/>
      </c>
      <c r="C432" s="30">
        <f>IF($K432="","",IF(INDEX('Prospect Tracker'!$B$5:$B$554,$K432)="","",INDEX('Prospect Tracker'!$B$5:$B$554,$K432)))</f>
        <v/>
      </c>
      <c r="D432" s="30">
        <f>IF($K432="","",IF(INDEX('Prospect Tracker'!$M$5:$M$554,$K432)="","",INDEX('Prospect Tracker'!$M$5:$M$554,$K432)))</f>
        <v/>
      </c>
      <c r="E432" s="30">
        <f>IF($K432="","",IF(INDEX('Prospect Tracker'!$R$5:$R$554,$K432)="","",INDEX('Prospect Tracker'!$R$5:$R$554,$K432)))</f>
        <v/>
      </c>
      <c r="F432" s="30">
        <f>IF($K432="","",IF(INDEX('Prospect Tracker'!$J$5:$J$554,$K432)="","",INDEX('Prospect Tracker'!$J$5:$J$554,$K432)))</f>
        <v/>
      </c>
      <c r="G432" s="30">
        <f>IF($K432="","",IF(INDEX('Prospect Tracker'!$H$5:$H$554,$K432)="","",INDEX('Prospect Tracker'!$H$5:$H$554,$K432)))</f>
        <v/>
      </c>
      <c r="H432" s="31">
        <f>IF($K432="","",IF(INDEX('Prospect Tracker'!$K$5:$K$554,$K432)="","",INDEX('Prospect Tracker'!$K$5:$K$554,$K432)))</f>
        <v/>
      </c>
      <c r="I432" s="30">
        <f>IF($K432="","",IF(INDEX('Prospect Tracker'!$T$5:$T$554,$K432)="","",INDEX('Prospect Tracker'!$T$5:$T$554,$K432)))</f>
        <v/>
      </c>
      <c r="J432" s="30">
        <f>IF($K432="","",IF(INDEX('Prospect Tracker'!$L$5:$L$554,$K432)="","",INDEX('Prospect Tracker'!$L$5:$L$554,$K432)))</f>
        <v/>
      </c>
      <c r="K432" s="19">
        <f>IFERROR(MATCH(SMALL('Prospect Tracker'!$X$5:$X$554,ROW()-4),'Prospect Tracker'!$X$5:$X$554,0),"")</f>
        <v/>
      </c>
    </row>
    <row r="433" ht="15" customHeight="1" s="20">
      <c r="A433" s="25">
        <f>IF($K433="","",IF(INDEX('Prospect Tracker'!$W$5:$W$554,$K433)="","",INDEX('Prospect Tracker'!$W$5:$W$554,$K433)))</f>
        <v/>
      </c>
      <c r="B433" s="25">
        <f>IF($K433="","",IF(INDEX('Prospect Tracker'!$A$5:$A$554,$K433)="","",INDEX('Prospect Tracker'!$A$5:$A$554,$K433)))</f>
        <v/>
      </c>
      <c r="C433" s="25">
        <f>IF($K433="","",IF(INDEX('Prospect Tracker'!$B$5:$B$554,$K433)="","",INDEX('Prospect Tracker'!$B$5:$B$554,$K433)))</f>
        <v/>
      </c>
      <c r="D433" s="25">
        <f>IF($K433="","",IF(INDEX('Prospect Tracker'!$M$5:$M$554,$K433)="","",INDEX('Prospect Tracker'!$M$5:$M$554,$K433)))</f>
        <v/>
      </c>
      <c r="E433" s="25">
        <f>IF($K433="","",IF(INDEX('Prospect Tracker'!$R$5:$R$554,$K433)="","",INDEX('Prospect Tracker'!$R$5:$R$554,$K433)))</f>
        <v/>
      </c>
      <c r="F433" s="25">
        <f>IF($K433="","",IF(INDEX('Prospect Tracker'!$J$5:$J$554,$K433)="","",INDEX('Prospect Tracker'!$J$5:$J$554,$K433)))</f>
        <v/>
      </c>
      <c r="G433" s="25">
        <f>IF($K433="","",IF(INDEX('Prospect Tracker'!$H$5:$H$554,$K433)="","",INDEX('Prospect Tracker'!$H$5:$H$554,$K433)))</f>
        <v/>
      </c>
      <c r="H433" s="26">
        <f>IF($K433="","",IF(INDEX('Prospect Tracker'!$K$5:$K$554,$K433)="","",INDEX('Prospect Tracker'!$K$5:$K$554,$K433)))</f>
        <v/>
      </c>
      <c r="I433" s="25">
        <f>IF($K433="","",IF(INDEX('Prospect Tracker'!$T$5:$T$554,$K433)="","",INDEX('Prospect Tracker'!$T$5:$T$554,$K433)))</f>
        <v/>
      </c>
      <c r="J433" s="25">
        <f>IF($K433="","",IF(INDEX('Prospect Tracker'!$L$5:$L$554,$K433)="","",INDEX('Prospect Tracker'!$L$5:$L$554,$K433)))</f>
        <v/>
      </c>
      <c r="K433" s="19">
        <f>IFERROR(MATCH(SMALL('Prospect Tracker'!$X$5:$X$554,ROW()-4),'Prospect Tracker'!$X$5:$X$554,0),"")</f>
        <v/>
      </c>
    </row>
    <row r="434" ht="15" customHeight="1" s="20">
      <c r="A434" s="30">
        <f>IF($K434="","",IF(INDEX('Prospect Tracker'!$W$5:$W$554,$K434)="","",INDEX('Prospect Tracker'!$W$5:$W$554,$K434)))</f>
        <v/>
      </c>
      <c r="B434" s="30">
        <f>IF($K434="","",IF(INDEX('Prospect Tracker'!$A$5:$A$554,$K434)="","",INDEX('Prospect Tracker'!$A$5:$A$554,$K434)))</f>
        <v/>
      </c>
      <c r="C434" s="30">
        <f>IF($K434="","",IF(INDEX('Prospect Tracker'!$B$5:$B$554,$K434)="","",INDEX('Prospect Tracker'!$B$5:$B$554,$K434)))</f>
        <v/>
      </c>
      <c r="D434" s="30">
        <f>IF($K434="","",IF(INDEX('Prospect Tracker'!$M$5:$M$554,$K434)="","",INDEX('Prospect Tracker'!$M$5:$M$554,$K434)))</f>
        <v/>
      </c>
      <c r="E434" s="30">
        <f>IF($K434="","",IF(INDEX('Prospect Tracker'!$R$5:$R$554,$K434)="","",INDEX('Prospect Tracker'!$R$5:$R$554,$K434)))</f>
        <v/>
      </c>
      <c r="F434" s="30">
        <f>IF($K434="","",IF(INDEX('Prospect Tracker'!$J$5:$J$554,$K434)="","",INDEX('Prospect Tracker'!$J$5:$J$554,$K434)))</f>
        <v/>
      </c>
      <c r="G434" s="30">
        <f>IF($K434="","",IF(INDEX('Prospect Tracker'!$H$5:$H$554,$K434)="","",INDEX('Prospect Tracker'!$H$5:$H$554,$K434)))</f>
        <v/>
      </c>
      <c r="H434" s="31">
        <f>IF($K434="","",IF(INDEX('Prospect Tracker'!$K$5:$K$554,$K434)="","",INDEX('Prospect Tracker'!$K$5:$K$554,$K434)))</f>
        <v/>
      </c>
      <c r="I434" s="30">
        <f>IF($K434="","",IF(INDEX('Prospect Tracker'!$T$5:$T$554,$K434)="","",INDEX('Prospect Tracker'!$T$5:$T$554,$K434)))</f>
        <v/>
      </c>
      <c r="J434" s="30">
        <f>IF($K434="","",IF(INDEX('Prospect Tracker'!$L$5:$L$554,$K434)="","",INDEX('Prospect Tracker'!$L$5:$L$554,$K434)))</f>
        <v/>
      </c>
      <c r="K434" s="19">
        <f>IFERROR(MATCH(SMALL('Prospect Tracker'!$X$5:$X$554,ROW()-4),'Prospect Tracker'!$X$5:$X$554,0),"")</f>
        <v/>
      </c>
    </row>
    <row r="435" ht="15" customHeight="1" s="20">
      <c r="A435" s="25">
        <f>IF($K435="","",IF(INDEX('Prospect Tracker'!$W$5:$W$554,$K435)="","",INDEX('Prospect Tracker'!$W$5:$W$554,$K435)))</f>
        <v/>
      </c>
      <c r="B435" s="25">
        <f>IF($K435="","",IF(INDEX('Prospect Tracker'!$A$5:$A$554,$K435)="","",INDEX('Prospect Tracker'!$A$5:$A$554,$K435)))</f>
        <v/>
      </c>
      <c r="C435" s="25">
        <f>IF($K435="","",IF(INDEX('Prospect Tracker'!$B$5:$B$554,$K435)="","",INDEX('Prospect Tracker'!$B$5:$B$554,$K435)))</f>
        <v/>
      </c>
      <c r="D435" s="25">
        <f>IF($K435="","",IF(INDEX('Prospect Tracker'!$M$5:$M$554,$K435)="","",INDEX('Prospect Tracker'!$M$5:$M$554,$K435)))</f>
        <v/>
      </c>
      <c r="E435" s="25">
        <f>IF($K435="","",IF(INDEX('Prospect Tracker'!$R$5:$R$554,$K435)="","",INDEX('Prospect Tracker'!$R$5:$R$554,$K435)))</f>
        <v/>
      </c>
      <c r="F435" s="25">
        <f>IF($K435="","",IF(INDEX('Prospect Tracker'!$J$5:$J$554,$K435)="","",INDEX('Prospect Tracker'!$J$5:$J$554,$K435)))</f>
        <v/>
      </c>
      <c r="G435" s="25">
        <f>IF($K435="","",IF(INDEX('Prospect Tracker'!$H$5:$H$554,$K435)="","",INDEX('Prospect Tracker'!$H$5:$H$554,$K435)))</f>
        <v/>
      </c>
      <c r="H435" s="26">
        <f>IF($K435="","",IF(INDEX('Prospect Tracker'!$K$5:$K$554,$K435)="","",INDEX('Prospect Tracker'!$K$5:$K$554,$K435)))</f>
        <v/>
      </c>
      <c r="I435" s="25">
        <f>IF($K435="","",IF(INDEX('Prospect Tracker'!$T$5:$T$554,$K435)="","",INDEX('Prospect Tracker'!$T$5:$T$554,$K435)))</f>
        <v/>
      </c>
      <c r="J435" s="25">
        <f>IF($K435="","",IF(INDEX('Prospect Tracker'!$L$5:$L$554,$K435)="","",INDEX('Prospect Tracker'!$L$5:$L$554,$K435)))</f>
        <v/>
      </c>
      <c r="K435" s="19">
        <f>IFERROR(MATCH(SMALL('Prospect Tracker'!$X$5:$X$554,ROW()-4),'Prospect Tracker'!$X$5:$X$554,0),"")</f>
        <v/>
      </c>
    </row>
    <row r="436" ht="15" customHeight="1" s="20">
      <c r="A436" s="30">
        <f>IF($K436="","",IF(INDEX('Prospect Tracker'!$W$5:$W$554,$K436)="","",INDEX('Prospect Tracker'!$W$5:$W$554,$K436)))</f>
        <v/>
      </c>
      <c r="B436" s="30">
        <f>IF($K436="","",IF(INDEX('Prospect Tracker'!$A$5:$A$554,$K436)="","",INDEX('Prospect Tracker'!$A$5:$A$554,$K436)))</f>
        <v/>
      </c>
      <c r="C436" s="30">
        <f>IF($K436="","",IF(INDEX('Prospect Tracker'!$B$5:$B$554,$K436)="","",INDEX('Prospect Tracker'!$B$5:$B$554,$K436)))</f>
        <v/>
      </c>
      <c r="D436" s="30">
        <f>IF($K436="","",IF(INDEX('Prospect Tracker'!$M$5:$M$554,$K436)="","",INDEX('Prospect Tracker'!$M$5:$M$554,$K436)))</f>
        <v/>
      </c>
      <c r="E436" s="30">
        <f>IF($K436="","",IF(INDEX('Prospect Tracker'!$R$5:$R$554,$K436)="","",INDEX('Prospect Tracker'!$R$5:$R$554,$K436)))</f>
        <v/>
      </c>
      <c r="F436" s="30">
        <f>IF($K436="","",IF(INDEX('Prospect Tracker'!$J$5:$J$554,$K436)="","",INDEX('Prospect Tracker'!$J$5:$J$554,$K436)))</f>
        <v/>
      </c>
      <c r="G436" s="30">
        <f>IF($K436="","",IF(INDEX('Prospect Tracker'!$H$5:$H$554,$K436)="","",INDEX('Prospect Tracker'!$H$5:$H$554,$K436)))</f>
        <v/>
      </c>
      <c r="H436" s="31">
        <f>IF($K436="","",IF(INDEX('Prospect Tracker'!$K$5:$K$554,$K436)="","",INDEX('Prospect Tracker'!$K$5:$K$554,$K436)))</f>
        <v/>
      </c>
      <c r="I436" s="30">
        <f>IF($K436="","",IF(INDEX('Prospect Tracker'!$T$5:$T$554,$K436)="","",INDEX('Prospect Tracker'!$T$5:$T$554,$K436)))</f>
        <v/>
      </c>
      <c r="J436" s="30">
        <f>IF($K436="","",IF(INDEX('Prospect Tracker'!$L$5:$L$554,$K436)="","",INDEX('Prospect Tracker'!$L$5:$L$554,$K436)))</f>
        <v/>
      </c>
      <c r="K436" s="19">
        <f>IFERROR(MATCH(SMALL('Prospect Tracker'!$X$5:$X$554,ROW()-4),'Prospect Tracker'!$X$5:$X$554,0),"")</f>
        <v/>
      </c>
    </row>
    <row r="437" ht="15" customHeight="1" s="20">
      <c r="A437" s="25">
        <f>IF($K437="","",IF(INDEX('Prospect Tracker'!$W$5:$W$554,$K437)="","",INDEX('Prospect Tracker'!$W$5:$W$554,$K437)))</f>
        <v/>
      </c>
      <c r="B437" s="25">
        <f>IF($K437="","",IF(INDEX('Prospect Tracker'!$A$5:$A$554,$K437)="","",INDEX('Prospect Tracker'!$A$5:$A$554,$K437)))</f>
        <v/>
      </c>
      <c r="C437" s="25">
        <f>IF($K437="","",IF(INDEX('Prospect Tracker'!$B$5:$B$554,$K437)="","",INDEX('Prospect Tracker'!$B$5:$B$554,$K437)))</f>
        <v/>
      </c>
      <c r="D437" s="25">
        <f>IF($K437="","",IF(INDEX('Prospect Tracker'!$M$5:$M$554,$K437)="","",INDEX('Prospect Tracker'!$M$5:$M$554,$K437)))</f>
        <v/>
      </c>
      <c r="E437" s="25">
        <f>IF($K437="","",IF(INDEX('Prospect Tracker'!$R$5:$R$554,$K437)="","",INDEX('Prospect Tracker'!$R$5:$R$554,$K437)))</f>
        <v/>
      </c>
      <c r="F437" s="25">
        <f>IF($K437="","",IF(INDEX('Prospect Tracker'!$J$5:$J$554,$K437)="","",INDEX('Prospect Tracker'!$J$5:$J$554,$K437)))</f>
        <v/>
      </c>
      <c r="G437" s="25">
        <f>IF($K437="","",IF(INDEX('Prospect Tracker'!$H$5:$H$554,$K437)="","",INDEX('Prospect Tracker'!$H$5:$H$554,$K437)))</f>
        <v/>
      </c>
      <c r="H437" s="26">
        <f>IF($K437="","",IF(INDEX('Prospect Tracker'!$K$5:$K$554,$K437)="","",INDEX('Prospect Tracker'!$K$5:$K$554,$K437)))</f>
        <v/>
      </c>
      <c r="I437" s="25">
        <f>IF($K437="","",IF(INDEX('Prospect Tracker'!$T$5:$T$554,$K437)="","",INDEX('Prospect Tracker'!$T$5:$T$554,$K437)))</f>
        <v/>
      </c>
      <c r="J437" s="25">
        <f>IF($K437="","",IF(INDEX('Prospect Tracker'!$L$5:$L$554,$K437)="","",INDEX('Prospect Tracker'!$L$5:$L$554,$K437)))</f>
        <v/>
      </c>
      <c r="K437" s="19">
        <f>IFERROR(MATCH(SMALL('Prospect Tracker'!$X$5:$X$554,ROW()-4),'Prospect Tracker'!$X$5:$X$554,0),"")</f>
        <v/>
      </c>
    </row>
    <row r="438" ht="15" customHeight="1" s="20">
      <c r="A438" s="30">
        <f>IF($K438="","",IF(INDEX('Prospect Tracker'!$W$5:$W$554,$K438)="","",INDEX('Prospect Tracker'!$W$5:$W$554,$K438)))</f>
        <v/>
      </c>
      <c r="B438" s="30">
        <f>IF($K438="","",IF(INDEX('Prospect Tracker'!$A$5:$A$554,$K438)="","",INDEX('Prospect Tracker'!$A$5:$A$554,$K438)))</f>
        <v/>
      </c>
      <c r="C438" s="30">
        <f>IF($K438="","",IF(INDEX('Prospect Tracker'!$B$5:$B$554,$K438)="","",INDEX('Prospect Tracker'!$B$5:$B$554,$K438)))</f>
        <v/>
      </c>
      <c r="D438" s="30">
        <f>IF($K438="","",IF(INDEX('Prospect Tracker'!$M$5:$M$554,$K438)="","",INDEX('Prospect Tracker'!$M$5:$M$554,$K438)))</f>
        <v/>
      </c>
      <c r="E438" s="30">
        <f>IF($K438="","",IF(INDEX('Prospect Tracker'!$R$5:$R$554,$K438)="","",INDEX('Prospect Tracker'!$R$5:$R$554,$K438)))</f>
        <v/>
      </c>
      <c r="F438" s="30">
        <f>IF($K438="","",IF(INDEX('Prospect Tracker'!$J$5:$J$554,$K438)="","",INDEX('Prospect Tracker'!$J$5:$J$554,$K438)))</f>
        <v/>
      </c>
      <c r="G438" s="30">
        <f>IF($K438="","",IF(INDEX('Prospect Tracker'!$H$5:$H$554,$K438)="","",INDEX('Prospect Tracker'!$H$5:$H$554,$K438)))</f>
        <v/>
      </c>
      <c r="H438" s="31">
        <f>IF($K438="","",IF(INDEX('Prospect Tracker'!$K$5:$K$554,$K438)="","",INDEX('Prospect Tracker'!$K$5:$K$554,$K438)))</f>
        <v/>
      </c>
      <c r="I438" s="30">
        <f>IF($K438="","",IF(INDEX('Prospect Tracker'!$T$5:$T$554,$K438)="","",INDEX('Prospect Tracker'!$T$5:$T$554,$K438)))</f>
        <v/>
      </c>
      <c r="J438" s="30">
        <f>IF($K438="","",IF(INDEX('Prospect Tracker'!$L$5:$L$554,$K438)="","",INDEX('Prospect Tracker'!$L$5:$L$554,$K438)))</f>
        <v/>
      </c>
      <c r="K438" s="19">
        <f>IFERROR(MATCH(SMALL('Prospect Tracker'!$X$5:$X$554,ROW()-4),'Prospect Tracker'!$X$5:$X$554,0),"")</f>
        <v/>
      </c>
    </row>
    <row r="439" ht="15" customHeight="1" s="20">
      <c r="A439" s="25">
        <f>IF($K439="","",IF(INDEX('Prospect Tracker'!$W$5:$W$554,$K439)="","",INDEX('Prospect Tracker'!$W$5:$W$554,$K439)))</f>
        <v/>
      </c>
      <c r="B439" s="25">
        <f>IF($K439="","",IF(INDEX('Prospect Tracker'!$A$5:$A$554,$K439)="","",INDEX('Prospect Tracker'!$A$5:$A$554,$K439)))</f>
        <v/>
      </c>
      <c r="C439" s="25">
        <f>IF($K439="","",IF(INDEX('Prospect Tracker'!$B$5:$B$554,$K439)="","",INDEX('Prospect Tracker'!$B$5:$B$554,$K439)))</f>
        <v/>
      </c>
      <c r="D439" s="25">
        <f>IF($K439="","",IF(INDEX('Prospect Tracker'!$M$5:$M$554,$K439)="","",INDEX('Prospect Tracker'!$M$5:$M$554,$K439)))</f>
        <v/>
      </c>
      <c r="E439" s="25">
        <f>IF($K439="","",IF(INDEX('Prospect Tracker'!$R$5:$R$554,$K439)="","",INDEX('Prospect Tracker'!$R$5:$R$554,$K439)))</f>
        <v/>
      </c>
      <c r="F439" s="25">
        <f>IF($K439="","",IF(INDEX('Prospect Tracker'!$J$5:$J$554,$K439)="","",INDEX('Prospect Tracker'!$J$5:$J$554,$K439)))</f>
        <v/>
      </c>
      <c r="G439" s="25">
        <f>IF($K439="","",IF(INDEX('Prospect Tracker'!$H$5:$H$554,$K439)="","",INDEX('Prospect Tracker'!$H$5:$H$554,$K439)))</f>
        <v/>
      </c>
      <c r="H439" s="26">
        <f>IF($K439="","",IF(INDEX('Prospect Tracker'!$K$5:$K$554,$K439)="","",INDEX('Prospect Tracker'!$K$5:$K$554,$K439)))</f>
        <v/>
      </c>
      <c r="I439" s="25">
        <f>IF($K439="","",IF(INDEX('Prospect Tracker'!$T$5:$T$554,$K439)="","",INDEX('Prospect Tracker'!$T$5:$T$554,$K439)))</f>
        <v/>
      </c>
      <c r="J439" s="25">
        <f>IF($K439="","",IF(INDEX('Prospect Tracker'!$L$5:$L$554,$K439)="","",INDEX('Prospect Tracker'!$L$5:$L$554,$K439)))</f>
        <v/>
      </c>
      <c r="K439" s="19">
        <f>IFERROR(MATCH(SMALL('Prospect Tracker'!$X$5:$X$554,ROW()-4),'Prospect Tracker'!$X$5:$X$554,0),"")</f>
        <v/>
      </c>
    </row>
    <row r="440" ht="15" customHeight="1" s="20">
      <c r="A440" s="30">
        <f>IF($K440="","",IF(INDEX('Prospect Tracker'!$W$5:$W$554,$K440)="","",INDEX('Prospect Tracker'!$W$5:$W$554,$K440)))</f>
        <v/>
      </c>
      <c r="B440" s="30">
        <f>IF($K440="","",IF(INDEX('Prospect Tracker'!$A$5:$A$554,$K440)="","",INDEX('Prospect Tracker'!$A$5:$A$554,$K440)))</f>
        <v/>
      </c>
      <c r="C440" s="30">
        <f>IF($K440="","",IF(INDEX('Prospect Tracker'!$B$5:$B$554,$K440)="","",INDEX('Prospect Tracker'!$B$5:$B$554,$K440)))</f>
        <v/>
      </c>
      <c r="D440" s="30">
        <f>IF($K440="","",IF(INDEX('Prospect Tracker'!$M$5:$M$554,$K440)="","",INDEX('Prospect Tracker'!$M$5:$M$554,$K440)))</f>
        <v/>
      </c>
      <c r="E440" s="30">
        <f>IF($K440="","",IF(INDEX('Prospect Tracker'!$R$5:$R$554,$K440)="","",INDEX('Prospect Tracker'!$R$5:$R$554,$K440)))</f>
        <v/>
      </c>
      <c r="F440" s="30">
        <f>IF($K440="","",IF(INDEX('Prospect Tracker'!$J$5:$J$554,$K440)="","",INDEX('Prospect Tracker'!$J$5:$J$554,$K440)))</f>
        <v/>
      </c>
      <c r="G440" s="30">
        <f>IF($K440="","",IF(INDEX('Prospect Tracker'!$H$5:$H$554,$K440)="","",INDEX('Prospect Tracker'!$H$5:$H$554,$K440)))</f>
        <v/>
      </c>
      <c r="H440" s="31">
        <f>IF($K440="","",IF(INDEX('Prospect Tracker'!$K$5:$K$554,$K440)="","",INDEX('Prospect Tracker'!$K$5:$K$554,$K440)))</f>
        <v/>
      </c>
      <c r="I440" s="30">
        <f>IF($K440="","",IF(INDEX('Prospect Tracker'!$T$5:$T$554,$K440)="","",INDEX('Prospect Tracker'!$T$5:$T$554,$K440)))</f>
        <v/>
      </c>
      <c r="J440" s="30">
        <f>IF($K440="","",IF(INDEX('Prospect Tracker'!$L$5:$L$554,$K440)="","",INDEX('Prospect Tracker'!$L$5:$L$554,$K440)))</f>
        <v/>
      </c>
      <c r="K440" s="19">
        <f>IFERROR(MATCH(SMALL('Prospect Tracker'!$X$5:$X$554,ROW()-4),'Prospect Tracker'!$X$5:$X$554,0),"")</f>
        <v/>
      </c>
    </row>
    <row r="441" ht="15" customHeight="1" s="20">
      <c r="A441" s="25">
        <f>IF($K441="","",IF(INDEX('Prospect Tracker'!$W$5:$W$554,$K441)="","",INDEX('Prospect Tracker'!$W$5:$W$554,$K441)))</f>
        <v/>
      </c>
      <c r="B441" s="25">
        <f>IF($K441="","",IF(INDEX('Prospect Tracker'!$A$5:$A$554,$K441)="","",INDEX('Prospect Tracker'!$A$5:$A$554,$K441)))</f>
        <v/>
      </c>
      <c r="C441" s="25">
        <f>IF($K441="","",IF(INDEX('Prospect Tracker'!$B$5:$B$554,$K441)="","",INDEX('Prospect Tracker'!$B$5:$B$554,$K441)))</f>
        <v/>
      </c>
      <c r="D441" s="25">
        <f>IF($K441="","",IF(INDEX('Prospect Tracker'!$M$5:$M$554,$K441)="","",INDEX('Prospect Tracker'!$M$5:$M$554,$K441)))</f>
        <v/>
      </c>
      <c r="E441" s="25">
        <f>IF($K441="","",IF(INDEX('Prospect Tracker'!$R$5:$R$554,$K441)="","",INDEX('Prospect Tracker'!$R$5:$R$554,$K441)))</f>
        <v/>
      </c>
      <c r="F441" s="25">
        <f>IF($K441="","",IF(INDEX('Prospect Tracker'!$J$5:$J$554,$K441)="","",INDEX('Prospect Tracker'!$J$5:$J$554,$K441)))</f>
        <v/>
      </c>
      <c r="G441" s="25">
        <f>IF($K441="","",IF(INDEX('Prospect Tracker'!$H$5:$H$554,$K441)="","",INDEX('Prospect Tracker'!$H$5:$H$554,$K441)))</f>
        <v/>
      </c>
      <c r="H441" s="26">
        <f>IF($K441="","",IF(INDEX('Prospect Tracker'!$K$5:$K$554,$K441)="","",INDEX('Prospect Tracker'!$K$5:$K$554,$K441)))</f>
        <v/>
      </c>
      <c r="I441" s="25">
        <f>IF($K441="","",IF(INDEX('Prospect Tracker'!$T$5:$T$554,$K441)="","",INDEX('Prospect Tracker'!$T$5:$T$554,$K441)))</f>
        <v/>
      </c>
      <c r="J441" s="25">
        <f>IF($K441="","",IF(INDEX('Prospect Tracker'!$L$5:$L$554,$K441)="","",INDEX('Prospect Tracker'!$L$5:$L$554,$K441)))</f>
        <v/>
      </c>
      <c r="K441" s="19">
        <f>IFERROR(MATCH(SMALL('Prospect Tracker'!$X$5:$X$554,ROW()-4),'Prospect Tracker'!$X$5:$X$554,0),"")</f>
        <v/>
      </c>
    </row>
    <row r="442" ht="15" customHeight="1" s="20">
      <c r="A442" s="30">
        <f>IF($K442="","",IF(INDEX('Prospect Tracker'!$W$5:$W$554,$K442)="","",INDEX('Prospect Tracker'!$W$5:$W$554,$K442)))</f>
        <v/>
      </c>
      <c r="B442" s="30">
        <f>IF($K442="","",IF(INDEX('Prospect Tracker'!$A$5:$A$554,$K442)="","",INDEX('Prospect Tracker'!$A$5:$A$554,$K442)))</f>
        <v/>
      </c>
      <c r="C442" s="30">
        <f>IF($K442="","",IF(INDEX('Prospect Tracker'!$B$5:$B$554,$K442)="","",INDEX('Prospect Tracker'!$B$5:$B$554,$K442)))</f>
        <v/>
      </c>
      <c r="D442" s="30">
        <f>IF($K442="","",IF(INDEX('Prospect Tracker'!$M$5:$M$554,$K442)="","",INDEX('Prospect Tracker'!$M$5:$M$554,$K442)))</f>
        <v/>
      </c>
      <c r="E442" s="30">
        <f>IF($K442="","",IF(INDEX('Prospect Tracker'!$R$5:$R$554,$K442)="","",INDEX('Prospect Tracker'!$R$5:$R$554,$K442)))</f>
        <v/>
      </c>
      <c r="F442" s="30">
        <f>IF($K442="","",IF(INDEX('Prospect Tracker'!$J$5:$J$554,$K442)="","",INDEX('Prospect Tracker'!$J$5:$J$554,$K442)))</f>
        <v/>
      </c>
      <c r="G442" s="30">
        <f>IF($K442="","",IF(INDEX('Prospect Tracker'!$H$5:$H$554,$K442)="","",INDEX('Prospect Tracker'!$H$5:$H$554,$K442)))</f>
        <v/>
      </c>
      <c r="H442" s="31">
        <f>IF($K442="","",IF(INDEX('Prospect Tracker'!$K$5:$K$554,$K442)="","",INDEX('Prospect Tracker'!$K$5:$K$554,$K442)))</f>
        <v/>
      </c>
      <c r="I442" s="30">
        <f>IF($K442="","",IF(INDEX('Prospect Tracker'!$T$5:$T$554,$K442)="","",INDEX('Prospect Tracker'!$T$5:$T$554,$K442)))</f>
        <v/>
      </c>
      <c r="J442" s="30">
        <f>IF($K442="","",IF(INDEX('Prospect Tracker'!$L$5:$L$554,$K442)="","",INDEX('Prospect Tracker'!$L$5:$L$554,$K442)))</f>
        <v/>
      </c>
      <c r="K442" s="19">
        <f>IFERROR(MATCH(SMALL('Prospect Tracker'!$X$5:$X$554,ROW()-4),'Prospect Tracker'!$X$5:$X$554,0),"")</f>
        <v/>
      </c>
    </row>
    <row r="443" ht="15" customHeight="1" s="20">
      <c r="A443" s="25">
        <f>IF($K443="","",IF(INDEX('Prospect Tracker'!$W$5:$W$554,$K443)="","",INDEX('Prospect Tracker'!$W$5:$W$554,$K443)))</f>
        <v/>
      </c>
      <c r="B443" s="25">
        <f>IF($K443="","",IF(INDEX('Prospect Tracker'!$A$5:$A$554,$K443)="","",INDEX('Prospect Tracker'!$A$5:$A$554,$K443)))</f>
        <v/>
      </c>
      <c r="C443" s="25">
        <f>IF($K443="","",IF(INDEX('Prospect Tracker'!$B$5:$B$554,$K443)="","",INDEX('Prospect Tracker'!$B$5:$B$554,$K443)))</f>
        <v/>
      </c>
      <c r="D443" s="25">
        <f>IF($K443="","",IF(INDEX('Prospect Tracker'!$M$5:$M$554,$K443)="","",INDEX('Prospect Tracker'!$M$5:$M$554,$K443)))</f>
        <v/>
      </c>
      <c r="E443" s="25">
        <f>IF($K443="","",IF(INDEX('Prospect Tracker'!$R$5:$R$554,$K443)="","",INDEX('Prospect Tracker'!$R$5:$R$554,$K443)))</f>
        <v/>
      </c>
      <c r="F443" s="25">
        <f>IF($K443="","",IF(INDEX('Prospect Tracker'!$J$5:$J$554,$K443)="","",INDEX('Prospect Tracker'!$J$5:$J$554,$K443)))</f>
        <v/>
      </c>
      <c r="G443" s="25">
        <f>IF($K443="","",IF(INDEX('Prospect Tracker'!$H$5:$H$554,$K443)="","",INDEX('Prospect Tracker'!$H$5:$H$554,$K443)))</f>
        <v/>
      </c>
      <c r="H443" s="26">
        <f>IF($K443="","",IF(INDEX('Prospect Tracker'!$K$5:$K$554,$K443)="","",INDEX('Prospect Tracker'!$K$5:$K$554,$K443)))</f>
        <v/>
      </c>
      <c r="I443" s="25">
        <f>IF($K443="","",IF(INDEX('Prospect Tracker'!$T$5:$T$554,$K443)="","",INDEX('Prospect Tracker'!$T$5:$T$554,$K443)))</f>
        <v/>
      </c>
      <c r="J443" s="25">
        <f>IF($K443="","",IF(INDEX('Prospect Tracker'!$L$5:$L$554,$K443)="","",INDEX('Prospect Tracker'!$L$5:$L$554,$K443)))</f>
        <v/>
      </c>
      <c r="K443" s="19">
        <f>IFERROR(MATCH(SMALL('Prospect Tracker'!$X$5:$X$554,ROW()-4),'Prospect Tracker'!$X$5:$X$554,0),"")</f>
        <v/>
      </c>
    </row>
    <row r="444" ht="15" customHeight="1" s="20">
      <c r="A444" s="30">
        <f>IF($K444="","",IF(INDEX('Prospect Tracker'!$W$5:$W$554,$K444)="","",INDEX('Prospect Tracker'!$W$5:$W$554,$K444)))</f>
        <v/>
      </c>
      <c r="B444" s="30">
        <f>IF($K444="","",IF(INDEX('Prospect Tracker'!$A$5:$A$554,$K444)="","",INDEX('Prospect Tracker'!$A$5:$A$554,$K444)))</f>
        <v/>
      </c>
      <c r="C444" s="30">
        <f>IF($K444="","",IF(INDEX('Prospect Tracker'!$B$5:$B$554,$K444)="","",INDEX('Prospect Tracker'!$B$5:$B$554,$K444)))</f>
        <v/>
      </c>
      <c r="D444" s="30">
        <f>IF($K444="","",IF(INDEX('Prospect Tracker'!$M$5:$M$554,$K444)="","",INDEX('Prospect Tracker'!$M$5:$M$554,$K444)))</f>
        <v/>
      </c>
      <c r="E444" s="30">
        <f>IF($K444="","",IF(INDEX('Prospect Tracker'!$R$5:$R$554,$K444)="","",INDEX('Prospect Tracker'!$R$5:$R$554,$K444)))</f>
        <v/>
      </c>
      <c r="F444" s="30">
        <f>IF($K444="","",IF(INDEX('Prospect Tracker'!$J$5:$J$554,$K444)="","",INDEX('Prospect Tracker'!$J$5:$J$554,$K444)))</f>
        <v/>
      </c>
      <c r="G444" s="30">
        <f>IF($K444="","",IF(INDEX('Prospect Tracker'!$H$5:$H$554,$K444)="","",INDEX('Prospect Tracker'!$H$5:$H$554,$K444)))</f>
        <v/>
      </c>
      <c r="H444" s="31">
        <f>IF($K444="","",IF(INDEX('Prospect Tracker'!$K$5:$K$554,$K444)="","",INDEX('Prospect Tracker'!$K$5:$K$554,$K444)))</f>
        <v/>
      </c>
      <c r="I444" s="30">
        <f>IF($K444="","",IF(INDEX('Prospect Tracker'!$T$5:$T$554,$K444)="","",INDEX('Prospect Tracker'!$T$5:$T$554,$K444)))</f>
        <v/>
      </c>
      <c r="J444" s="30">
        <f>IF($K444="","",IF(INDEX('Prospect Tracker'!$L$5:$L$554,$K444)="","",INDEX('Prospect Tracker'!$L$5:$L$554,$K444)))</f>
        <v/>
      </c>
      <c r="K444" s="19">
        <f>IFERROR(MATCH(SMALL('Prospect Tracker'!$X$5:$X$554,ROW()-4),'Prospect Tracker'!$X$5:$X$554,0),"")</f>
        <v/>
      </c>
    </row>
    <row r="445" ht="15" customHeight="1" s="20">
      <c r="A445" s="25">
        <f>IF($K445="","",IF(INDEX('Prospect Tracker'!$W$5:$W$554,$K445)="","",INDEX('Prospect Tracker'!$W$5:$W$554,$K445)))</f>
        <v/>
      </c>
      <c r="B445" s="25">
        <f>IF($K445="","",IF(INDEX('Prospect Tracker'!$A$5:$A$554,$K445)="","",INDEX('Prospect Tracker'!$A$5:$A$554,$K445)))</f>
        <v/>
      </c>
      <c r="C445" s="25">
        <f>IF($K445="","",IF(INDEX('Prospect Tracker'!$B$5:$B$554,$K445)="","",INDEX('Prospect Tracker'!$B$5:$B$554,$K445)))</f>
        <v/>
      </c>
      <c r="D445" s="25">
        <f>IF($K445="","",IF(INDEX('Prospect Tracker'!$M$5:$M$554,$K445)="","",INDEX('Prospect Tracker'!$M$5:$M$554,$K445)))</f>
        <v/>
      </c>
      <c r="E445" s="25">
        <f>IF($K445="","",IF(INDEX('Prospect Tracker'!$R$5:$R$554,$K445)="","",INDEX('Prospect Tracker'!$R$5:$R$554,$K445)))</f>
        <v/>
      </c>
      <c r="F445" s="25">
        <f>IF($K445="","",IF(INDEX('Prospect Tracker'!$J$5:$J$554,$K445)="","",INDEX('Prospect Tracker'!$J$5:$J$554,$K445)))</f>
        <v/>
      </c>
      <c r="G445" s="25">
        <f>IF($K445="","",IF(INDEX('Prospect Tracker'!$H$5:$H$554,$K445)="","",INDEX('Prospect Tracker'!$H$5:$H$554,$K445)))</f>
        <v/>
      </c>
      <c r="H445" s="26">
        <f>IF($K445="","",IF(INDEX('Prospect Tracker'!$K$5:$K$554,$K445)="","",INDEX('Prospect Tracker'!$K$5:$K$554,$K445)))</f>
        <v/>
      </c>
      <c r="I445" s="25">
        <f>IF($K445="","",IF(INDEX('Prospect Tracker'!$T$5:$T$554,$K445)="","",INDEX('Prospect Tracker'!$T$5:$T$554,$K445)))</f>
        <v/>
      </c>
      <c r="J445" s="25">
        <f>IF($K445="","",IF(INDEX('Prospect Tracker'!$L$5:$L$554,$K445)="","",INDEX('Prospect Tracker'!$L$5:$L$554,$K445)))</f>
        <v/>
      </c>
      <c r="K445" s="19">
        <f>IFERROR(MATCH(SMALL('Prospect Tracker'!$X$5:$X$554,ROW()-4),'Prospect Tracker'!$X$5:$X$554,0),"")</f>
        <v/>
      </c>
    </row>
    <row r="446" ht="15" customHeight="1" s="20">
      <c r="A446" s="30">
        <f>IF($K446="","",IF(INDEX('Prospect Tracker'!$W$5:$W$554,$K446)="","",INDEX('Prospect Tracker'!$W$5:$W$554,$K446)))</f>
        <v/>
      </c>
      <c r="B446" s="30">
        <f>IF($K446="","",IF(INDEX('Prospect Tracker'!$A$5:$A$554,$K446)="","",INDEX('Prospect Tracker'!$A$5:$A$554,$K446)))</f>
        <v/>
      </c>
      <c r="C446" s="30">
        <f>IF($K446="","",IF(INDEX('Prospect Tracker'!$B$5:$B$554,$K446)="","",INDEX('Prospect Tracker'!$B$5:$B$554,$K446)))</f>
        <v/>
      </c>
      <c r="D446" s="30">
        <f>IF($K446="","",IF(INDEX('Prospect Tracker'!$M$5:$M$554,$K446)="","",INDEX('Prospect Tracker'!$M$5:$M$554,$K446)))</f>
        <v/>
      </c>
      <c r="E446" s="30">
        <f>IF($K446="","",IF(INDEX('Prospect Tracker'!$R$5:$R$554,$K446)="","",INDEX('Prospect Tracker'!$R$5:$R$554,$K446)))</f>
        <v/>
      </c>
      <c r="F446" s="30">
        <f>IF($K446="","",IF(INDEX('Prospect Tracker'!$J$5:$J$554,$K446)="","",INDEX('Prospect Tracker'!$J$5:$J$554,$K446)))</f>
        <v/>
      </c>
      <c r="G446" s="30">
        <f>IF($K446="","",IF(INDEX('Prospect Tracker'!$H$5:$H$554,$K446)="","",INDEX('Prospect Tracker'!$H$5:$H$554,$K446)))</f>
        <v/>
      </c>
      <c r="H446" s="31">
        <f>IF($K446="","",IF(INDEX('Prospect Tracker'!$K$5:$K$554,$K446)="","",INDEX('Prospect Tracker'!$K$5:$K$554,$K446)))</f>
        <v/>
      </c>
      <c r="I446" s="30">
        <f>IF($K446="","",IF(INDEX('Prospect Tracker'!$T$5:$T$554,$K446)="","",INDEX('Prospect Tracker'!$T$5:$T$554,$K446)))</f>
        <v/>
      </c>
      <c r="J446" s="30">
        <f>IF($K446="","",IF(INDEX('Prospect Tracker'!$L$5:$L$554,$K446)="","",INDEX('Prospect Tracker'!$L$5:$L$554,$K446)))</f>
        <v/>
      </c>
      <c r="K446" s="19">
        <f>IFERROR(MATCH(SMALL('Prospect Tracker'!$X$5:$X$554,ROW()-4),'Prospect Tracker'!$X$5:$X$554,0),"")</f>
        <v/>
      </c>
    </row>
    <row r="447" ht="15" customHeight="1" s="20">
      <c r="A447" s="25">
        <f>IF($K447="","",IF(INDEX('Prospect Tracker'!$W$5:$W$554,$K447)="","",INDEX('Prospect Tracker'!$W$5:$W$554,$K447)))</f>
        <v/>
      </c>
      <c r="B447" s="25">
        <f>IF($K447="","",IF(INDEX('Prospect Tracker'!$A$5:$A$554,$K447)="","",INDEX('Prospect Tracker'!$A$5:$A$554,$K447)))</f>
        <v/>
      </c>
      <c r="C447" s="25">
        <f>IF($K447="","",IF(INDEX('Prospect Tracker'!$B$5:$B$554,$K447)="","",INDEX('Prospect Tracker'!$B$5:$B$554,$K447)))</f>
        <v/>
      </c>
      <c r="D447" s="25">
        <f>IF($K447="","",IF(INDEX('Prospect Tracker'!$M$5:$M$554,$K447)="","",INDEX('Prospect Tracker'!$M$5:$M$554,$K447)))</f>
        <v/>
      </c>
      <c r="E447" s="25">
        <f>IF($K447="","",IF(INDEX('Prospect Tracker'!$R$5:$R$554,$K447)="","",INDEX('Prospect Tracker'!$R$5:$R$554,$K447)))</f>
        <v/>
      </c>
      <c r="F447" s="25">
        <f>IF($K447="","",IF(INDEX('Prospect Tracker'!$J$5:$J$554,$K447)="","",INDEX('Prospect Tracker'!$J$5:$J$554,$K447)))</f>
        <v/>
      </c>
      <c r="G447" s="25">
        <f>IF($K447="","",IF(INDEX('Prospect Tracker'!$H$5:$H$554,$K447)="","",INDEX('Prospect Tracker'!$H$5:$H$554,$K447)))</f>
        <v/>
      </c>
      <c r="H447" s="26">
        <f>IF($K447="","",IF(INDEX('Prospect Tracker'!$K$5:$K$554,$K447)="","",INDEX('Prospect Tracker'!$K$5:$K$554,$K447)))</f>
        <v/>
      </c>
      <c r="I447" s="25">
        <f>IF($K447="","",IF(INDEX('Prospect Tracker'!$T$5:$T$554,$K447)="","",INDEX('Prospect Tracker'!$T$5:$T$554,$K447)))</f>
        <v/>
      </c>
      <c r="J447" s="25">
        <f>IF($K447="","",IF(INDEX('Prospect Tracker'!$L$5:$L$554,$K447)="","",INDEX('Prospect Tracker'!$L$5:$L$554,$K447)))</f>
        <v/>
      </c>
      <c r="K447" s="19">
        <f>IFERROR(MATCH(SMALL('Prospect Tracker'!$X$5:$X$554,ROW()-4),'Prospect Tracker'!$X$5:$X$554,0),"")</f>
        <v/>
      </c>
    </row>
    <row r="448" ht="15" customHeight="1" s="20">
      <c r="A448" s="30">
        <f>IF($K448="","",IF(INDEX('Prospect Tracker'!$W$5:$W$554,$K448)="","",INDEX('Prospect Tracker'!$W$5:$W$554,$K448)))</f>
        <v/>
      </c>
      <c r="B448" s="30">
        <f>IF($K448="","",IF(INDEX('Prospect Tracker'!$A$5:$A$554,$K448)="","",INDEX('Prospect Tracker'!$A$5:$A$554,$K448)))</f>
        <v/>
      </c>
      <c r="C448" s="30">
        <f>IF($K448="","",IF(INDEX('Prospect Tracker'!$B$5:$B$554,$K448)="","",INDEX('Prospect Tracker'!$B$5:$B$554,$K448)))</f>
        <v/>
      </c>
      <c r="D448" s="30">
        <f>IF($K448="","",IF(INDEX('Prospect Tracker'!$M$5:$M$554,$K448)="","",INDEX('Prospect Tracker'!$M$5:$M$554,$K448)))</f>
        <v/>
      </c>
      <c r="E448" s="30">
        <f>IF($K448="","",IF(INDEX('Prospect Tracker'!$R$5:$R$554,$K448)="","",INDEX('Prospect Tracker'!$R$5:$R$554,$K448)))</f>
        <v/>
      </c>
      <c r="F448" s="30">
        <f>IF($K448="","",IF(INDEX('Prospect Tracker'!$J$5:$J$554,$K448)="","",INDEX('Prospect Tracker'!$J$5:$J$554,$K448)))</f>
        <v/>
      </c>
      <c r="G448" s="30">
        <f>IF($K448="","",IF(INDEX('Prospect Tracker'!$H$5:$H$554,$K448)="","",INDEX('Prospect Tracker'!$H$5:$H$554,$K448)))</f>
        <v/>
      </c>
      <c r="H448" s="31">
        <f>IF($K448="","",IF(INDEX('Prospect Tracker'!$K$5:$K$554,$K448)="","",INDEX('Prospect Tracker'!$K$5:$K$554,$K448)))</f>
        <v/>
      </c>
      <c r="I448" s="30">
        <f>IF($K448="","",IF(INDEX('Prospect Tracker'!$T$5:$T$554,$K448)="","",INDEX('Prospect Tracker'!$T$5:$T$554,$K448)))</f>
        <v/>
      </c>
      <c r="J448" s="30">
        <f>IF($K448="","",IF(INDEX('Prospect Tracker'!$L$5:$L$554,$K448)="","",INDEX('Prospect Tracker'!$L$5:$L$554,$K448)))</f>
        <v/>
      </c>
      <c r="K448" s="19">
        <f>IFERROR(MATCH(SMALL('Prospect Tracker'!$X$5:$X$554,ROW()-4),'Prospect Tracker'!$X$5:$X$554,0),"")</f>
        <v/>
      </c>
    </row>
    <row r="449" ht="15" customHeight="1" s="20">
      <c r="A449" s="25">
        <f>IF($K449="","",IF(INDEX('Prospect Tracker'!$W$5:$W$554,$K449)="","",INDEX('Prospect Tracker'!$W$5:$W$554,$K449)))</f>
        <v/>
      </c>
      <c r="B449" s="25">
        <f>IF($K449="","",IF(INDEX('Prospect Tracker'!$A$5:$A$554,$K449)="","",INDEX('Prospect Tracker'!$A$5:$A$554,$K449)))</f>
        <v/>
      </c>
      <c r="C449" s="25">
        <f>IF($K449="","",IF(INDEX('Prospect Tracker'!$B$5:$B$554,$K449)="","",INDEX('Prospect Tracker'!$B$5:$B$554,$K449)))</f>
        <v/>
      </c>
      <c r="D449" s="25">
        <f>IF($K449="","",IF(INDEX('Prospect Tracker'!$M$5:$M$554,$K449)="","",INDEX('Prospect Tracker'!$M$5:$M$554,$K449)))</f>
        <v/>
      </c>
      <c r="E449" s="25">
        <f>IF($K449="","",IF(INDEX('Prospect Tracker'!$R$5:$R$554,$K449)="","",INDEX('Prospect Tracker'!$R$5:$R$554,$K449)))</f>
        <v/>
      </c>
      <c r="F449" s="25">
        <f>IF($K449="","",IF(INDEX('Prospect Tracker'!$J$5:$J$554,$K449)="","",INDEX('Prospect Tracker'!$J$5:$J$554,$K449)))</f>
        <v/>
      </c>
      <c r="G449" s="25">
        <f>IF($K449="","",IF(INDEX('Prospect Tracker'!$H$5:$H$554,$K449)="","",INDEX('Prospect Tracker'!$H$5:$H$554,$K449)))</f>
        <v/>
      </c>
      <c r="H449" s="26">
        <f>IF($K449="","",IF(INDEX('Prospect Tracker'!$K$5:$K$554,$K449)="","",INDEX('Prospect Tracker'!$K$5:$K$554,$K449)))</f>
        <v/>
      </c>
      <c r="I449" s="25">
        <f>IF($K449="","",IF(INDEX('Prospect Tracker'!$T$5:$T$554,$K449)="","",INDEX('Prospect Tracker'!$T$5:$T$554,$K449)))</f>
        <v/>
      </c>
      <c r="J449" s="25">
        <f>IF($K449="","",IF(INDEX('Prospect Tracker'!$L$5:$L$554,$K449)="","",INDEX('Prospect Tracker'!$L$5:$L$554,$K449)))</f>
        <v/>
      </c>
      <c r="K449" s="19">
        <f>IFERROR(MATCH(SMALL('Prospect Tracker'!$X$5:$X$554,ROW()-4),'Prospect Tracker'!$X$5:$X$554,0),"")</f>
        <v/>
      </c>
    </row>
    <row r="450" ht="15" customHeight="1" s="20">
      <c r="A450" s="30">
        <f>IF($K450="","",IF(INDEX('Prospect Tracker'!$W$5:$W$554,$K450)="","",INDEX('Prospect Tracker'!$W$5:$W$554,$K450)))</f>
        <v/>
      </c>
      <c r="B450" s="30">
        <f>IF($K450="","",IF(INDEX('Prospect Tracker'!$A$5:$A$554,$K450)="","",INDEX('Prospect Tracker'!$A$5:$A$554,$K450)))</f>
        <v/>
      </c>
      <c r="C450" s="30">
        <f>IF($K450="","",IF(INDEX('Prospect Tracker'!$B$5:$B$554,$K450)="","",INDEX('Prospect Tracker'!$B$5:$B$554,$K450)))</f>
        <v/>
      </c>
      <c r="D450" s="30">
        <f>IF($K450="","",IF(INDEX('Prospect Tracker'!$M$5:$M$554,$K450)="","",INDEX('Prospect Tracker'!$M$5:$M$554,$K450)))</f>
        <v/>
      </c>
      <c r="E450" s="30">
        <f>IF($K450="","",IF(INDEX('Prospect Tracker'!$R$5:$R$554,$K450)="","",INDEX('Prospect Tracker'!$R$5:$R$554,$K450)))</f>
        <v/>
      </c>
      <c r="F450" s="30">
        <f>IF($K450="","",IF(INDEX('Prospect Tracker'!$J$5:$J$554,$K450)="","",INDEX('Prospect Tracker'!$J$5:$J$554,$K450)))</f>
        <v/>
      </c>
      <c r="G450" s="30">
        <f>IF($K450="","",IF(INDEX('Prospect Tracker'!$H$5:$H$554,$K450)="","",INDEX('Prospect Tracker'!$H$5:$H$554,$K450)))</f>
        <v/>
      </c>
      <c r="H450" s="31">
        <f>IF($K450="","",IF(INDEX('Prospect Tracker'!$K$5:$K$554,$K450)="","",INDEX('Prospect Tracker'!$K$5:$K$554,$K450)))</f>
        <v/>
      </c>
      <c r="I450" s="30">
        <f>IF($K450="","",IF(INDEX('Prospect Tracker'!$T$5:$T$554,$K450)="","",INDEX('Prospect Tracker'!$T$5:$T$554,$K450)))</f>
        <v/>
      </c>
      <c r="J450" s="30">
        <f>IF($K450="","",IF(INDEX('Prospect Tracker'!$L$5:$L$554,$K450)="","",INDEX('Prospect Tracker'!$L$5:$L$554,$K450)))</f>
        <v/>
      </c>
      <c r="K450" s="19">
        <f>IFERROR(MATCH(SMALL('Prospect Tracker'!$X$5:$X$554,ROW()-4),'Prospect Tracker'!$X$5:$X$554,0),"")</f>
        <v/>
      </c>
    </row>
    <row r="451" ht="15" customHeight="1" s="20">
      <c r="A451" s="25">
        <f>IF($K451="","",IF(INDEX('Prospect Tracker'!$W$5:$W$554,$K451)="","",INDEX('Prospect Tracker'!$W$5:$W$554,$K451)))</f>
        <v/>
      </c>
      <c r="B451" s="25">
        <f>IF($K451="","",IF(INDEX('Prospect Tracker'!$A$5:$A$554,$K451)="","",INDEX('Prospect Tracker'!$A$5:$A$554,$K451)))</f>
        <v/>
      </c>
      <c r="C451" s="25">
        <f>IF($K451="","",IF(INDEX('Prospect Tracker'!$B$5:$B$554,$K451)="","",INDEX('Prospect Tracker'!$B$5:$B$554,$K451)))</f>
        <v/>
      </c>
      <c r="D451" s="25">
        <f>IF($K451="","",IF(INDEX('Prospect Tracker'!$M$5:$M$554,$K451)="","",INDEX('Prospect Tracker'!$M$5:$M$554,$K451)))</f>
        <v/>
      </c>
      <c r="E451" s="25">
        <f>IF($K451="","",IF(INDEX('Prospect Tracker'!$R$5:$R$554,$K451)="","",INDEX('Prospect Tracker'!$R$5:$R$554,$K451)))</f>
        <v/>
      </c>
      <c r="F451" s="25">
        <f>IF($K451="","",IF(INDEX('Prospect Tracker'!$J$5:$J$554,$K451)="","",INDEX('Prospect Tracker'!$J$5:$J$554,$K451)))</f>
        <v/>
      </c>
      <c r="G451" s="25">
        <f>IF($K451="","",IF(INDEX('Prospect Tracker'!$H$5:$H$554,$K451)="","",INDEX('Prospect Tracker'!$H$5:$H$554,$K451)))</f>
        <v/>
      </c>
      <c r="H451" s="26">
        <f>IF($K451="","",IF(INDEX('Prospect Tracker'!$K$5:$K$554,$K451)="","",INDEX('Prospect Tracker'!$K$5:$K$554,$K451)))</f>
        <v/>
      </c>
      <c r="I451" s="25">
        <f>IF($K451="","",IF(INDEX('Prospect Tracker'!$T$5:$T$554,$K451)="","",INDEX('Prospect Tracker'!$T$5:$T$554,$K451)))</f>
        <v/>
      </c>
      <c r="J451" s="25">
        <f>IF($K451="","",IF(INDEX('Prospect Tracker'!$L$5:$L$554,$K451)="","",INDEX('Prospect Tracker'!$L$5:$L$554,$K451)))</f>
        <v/>
      </c>
      <c r="K451" s="19">
        <f>IFERROR(MATCH(SMALL('Prospect Tracker'!$X$5:$X$554,ROW()-4),'Prospect Tracker'!$X$5:$X$554,0),"")</f>
        <v/>
      </c>
    </row>
    <row r="452" ht="15" customHeight="1" s="20">
      <c r="A452" s="30">
        <f>IF($K452="","",IF(INDEX('Prospect Tracker'!$W$5:$W$554,$K452)="","",INDEX('Prospect Tracker'!$W$5:$W$554,$K452)))</f>
        <v/>
      </c>
      <c r="B452" s="30">
        <f>IF($K452="","",IF(INDEX('Prospect Tracker'!$A$5:$A$554,$K452)="","",INDEX('Prospect Tracker'!$A$5:$A$554,$K452)))</f>
        <v/>
      </c>
      <c r="C452" s="30">
        <f>IF($K452="","",IF(INDEX('Prospect Tracker'!$B$5:$B$554,$K452)="","",INDEX('Prospect Tracker'!$B$5:$B$554,$K452)))</f>
        <v/>
      </c>
      <c r="D452" s="30">
        <f>IF($K452="","",IF(INDEX('Prospect Tracker'!$M$5:$M$554,$K452)="","",INDEX('Prospect Tracker'!$M$5:$M$554,$K452)))</f>
        <v/>
      </c>
      <c r="E452" s="30">
        <f>IF($K452="","",IF(INDEX('Prospect Tracker'!$R$5:$R$554,$K452)="","",INDEX('Prospect Tracker'!$R$5:$R$554,$K452)))</f>
        <v/>
      </c>
      <c r="F452" s="30">
        <f>IF($K452="","",IF(INDEX('Prospect Tracker'!$J$5:$J$554,$K452)="","",INDEX('Prospect Tracker'!$J$5:$J$554,$K452)))</f>
        <v/>
      </c>
      <c r="G452" s="30">
        <f>IF($K452="","",IF(INDEX('Prospect Tracker'!$H$5:$H$554,$K452)="","",INDEX('Prospect Tracker'!$H$5:$H$554,$K452)))</f>
        <v/>
      </c>
      <c r="H452" s="31">
        <f>IF($K452="","",IF(INDEX('Prospect Tracker'!$K$5:$K$554,$K452)="","",INDEX('Prospect Tracker'!$K$5:$K$554,$K452)))</f>
        <v/>
      </c>
      <c r="I452" s="30">
        <f>IF($K452="","",IF(INDEX('Prospect Tracker'!$T$5:$T$554,$K452)="","",INDEX('Prospect Tracker'!$T$5:$T$554,$K452)))</f>
        <v/>
      </c>
      <c r="J452" s="30">
        <f>IF($K452="","",IF(INDEX('Prospect Tracker'!$L$5:$L$554,$K452)="","",INDEX('Prospect Tracker'!$L$5:$L$554,$K452)))</f>
        <v/>
      </c>
      <c r="K452" s="19">
        <f>IFERROR(MATCH(SMALL('Prospect Tracker'!$X$5:$X$554,ROW()-4),'Prospect Tracker'!$X$5:$X$554,0),"")</f>
        <v/>
      </c>
    </row>
    <row r="453" ht="15" customHeight="1" s="20">
      <c r="A453" s="25">
        <f>IF($K453="","",IF(INDEX('Prospect Tracker'!$W$5:$W$554,$K453)="","",INDEX('Prospect Tracker'!$W$5:$W$554,$K453)))</f>
        <v/>
      </c>
      <c r="B453" s="25">
        <f>IF($K453="","",IF(INDEX('Prospect Tracker'!$A$5:$A$554,$K453)="","",INDEX('Prospect Tracker'!$A$5:$A$554,$K453)))</f>
        <v/>
      </c>
      <c r="C453" s="25">
        <f>IF($K453="","",IF(INDEX('Prospect Tracker'!$B$5:$B$554,$K453)="","",INDEX('Prospect Tracker'!$B$5:$B$554,$K453)))</f>
        <v/>
      </c>
      <c r="D453" s="25">
        <f>IF($K453="","",IF(INDEX('Prospect Tracker'!$M$5:$M$554,$K453)="","",INDEX('Prospect Tracker'!$M$5:$M$554,$K453)))</f>
        <v/>
      </c>
      <c r="E453" s="25">
        <f>IF($K453="","",IF(INDEX('Prospect Tracker'!$R$5:$R$554,$K453)="","",INDEX('Prospect Tracker'!$R$5:$R$554,$K453)))</f>
        <v/>
      </c>
      <c r="F453" s="25">
        <f>IF($K453="","",IF(INDEX('Prospect Tracker'!$J$5:$J$554,$K453)="","",INDEX('Prospect Tracker'!$J$5:$J$554,$K453)))</f>
        <v/>
      </c>
      <c r="G453" s="25">
        <f>IF($K453="","",IF(INDEX('Prospect Tracker'!$H$5:$H$554,$K453)="","",INDEX('Prospect Tracker'!$H$5:$H$554,$K453)))</f>
        <v/>
      </c>
      <c r="H453" s="26">
        <f>IF($K453="","",IF(INDEX('Prospect Tracker'!$K$5:$K$554,$K453)="","",INDEX('Prospect Tracker'!$K$5:$K$554,$K453)))</f>
        <v/>
      </c>
      <c r="I453" s="25">
        <f>IF($K453="","",IF(INDEX('Prospect Tracker'!$T$5:$T$554,$K453)="","",INDEX('Prospect Tracker'!$T$5:$T$554,$K453)))</f>
        <v/>
      </c>
      <c r="J453" s="25">
        <f>IF($K453="","",IF(INDEX('Prospect Tracker'!$L$5:$L$554,$K453)="","",INDEX('Prospect Tracker'!$L$5:$L$554,$K453)))</f>
        <v/>
      </c>
      <c r="K453" s="19">
        <f>IFERROR(MATCH(SMALL('Prospect Tracker'!$X$5:$X$554,ROW()-4),'Prospect Tracker'!$X$5:$X$554,0),"")</f>
        <v/>
      </c>
    </row>
    <row r="454" ht="15" customHeight="1" s="20">
      <c r="A454" s="30">
        <f>IF($K454="","",IF(INDEX('Prospect Tracker'!$W$5:$W$554,$K454)="","",INDEX('Prospect Tracker'!$W$5:$W$554,$K454)))</f>
        <v/>
      </c>
      <c r="B454" s="30">
        <f>IF($K454="","",IF(INDEX('Prospect Tracker'!$A$5:$A$554,$K454)="","",INDEX('Prospect Tracker'!$A$5:$A$554,$K454)))</f>
        <v/>
      </c>
      <c r="C454" s="30">
        <f>IF($K454="","",IF(INDEX('Prospect Tracker'!$B$5:$B$554,$K454)="","",INDEX('Prospect Tracker'!$B$5:$B$554,$K454)))</f>
        <v/>
      </c>
      <c r="D454" s="30">
        <f>IF($K454="","",IF(INDEX('Prospect Tracker'!$M$5:$M$554,$K454)="","",INDEX('Prospect Tracker'!$M$5:$M$554,$K454)))</f>
        <v/>
      </c>
      <c r="E454" s="30">
        <f>IF($K454="","",IF(INDEX('Prospect Tracker'!$R$5:$R$554,$K454)="","",INDEX('Prospect Tracker'!$R$5:$R$554,$K454)))</f>
        <v/>
      </c>
      <c r="F454" s="30">
        <f>IF($K454="","",IF(INDEX('Prospect Tracker'!$J$5:$J$554,$K454)="","",INDEX('Prospect Tracker'!$J$5:$J$554,$K454)))</f>
        <v/>
      </c>
      <c r="G454" s="30">
        <f>IF($K454="","",IF(INDEX('Prospect Tracker'!$H$5:$H$554,$K454)="","",INDEX('Prospect Tracker'!$H$5:$H$554,$K454)))</f>
        <v/>
      </c>
      <c r="H454" s="31">
        <f>IF($K454="","",IF(INDEX('Prospect Tracker'!$K$5:$K$554,$K454)="","",INDEX('Prospect Tracker'!$K$5:$K$554,$K454)))</f>
        <v/>
      </c>
      <c r="I454" s="30">
        <f>IF($K454="","",IF(INDEX('Prospect Tracker'!$T$5:$T$554,$K454)="","",INDEX('Prospect Tracker'!$T$5:$T$554,$K454)))</f>
        <v/>
      </c>
      <c r="J454" s="30">
        <f>IF($K454="","",IF(INDEX('Prospect Tracker'!$L$5:$L$554,$K454)="","",INDEX('Prospect Tracker'!$L$5:$L$554,$K454)))</f>
        <v/>
      </c>
      <c r="K454" s="19">
        <f>IFERROR(MATCH(SMALL('Prospect Tracker'!$X$5:$X$554,ROW()-4),'Prospect Tracker'!$X$5:$X$554,0),"")</f>
        <v/>
      </c>
    </row>
    <row r="455" ht="15" customHeight="1" s="20">
      <c r="A455" s="25">
        <f>IF($K455="","",IF(INDEX('Prospect Tracker'!$W$5:$W$554,$K455)="","",INDEX('Prospect Tracker'!$W$5:$W$554,$K455)))</f>
        <v/>
      </c>
      <c r="B455" s="25">
        <f>IF($K455="","",IF(INDEX('Prospect Tracker'!$A$5:$A$554,$K455)="","",INDEX('Prospect Tracker'!$A$5:$A$554,$K455)))</f>
        <v/>
      </c>
      <c r="C455" s="25">
        <f>IF($K455="","",IF(INDEX('Prospect Tracker'!$B$5:$B$554,$K455)="","",INDEX('Prospect Tracker'!$B$5:$B$554,$K455)))</f>
        <v/>
      </c>
      <c r="D455" s="25">
        <f>IF($K455="","",IF(INDEX('Prospect Tracker'!$M$5:$M$554,$K455)="","",INDEX('Prospect Tracker'!$M$5:$M$554,$K455)))</f>
        <v/>
      </c>
      <c r="E455" s="25">
        <f>IF($K455="","",IF(INDEX('Prospect Tracker'!$R$5:$R$554,$K455)="","",INDEX('Prospect Tracker'!$R$5:$R$554,$K455)))</f>
        <v/>
      </c>
      <c r="F455" s="25">
        <f>IF($K455="","",IF(INDEX('Prospect Tracker'!$J$5:$J$554,$K455)="","",INDEX('Prospect Tracker'!$J$5:$J$554,$K455)))</f>
        <v/>
      </c>
      <c r="G455" s="25">
        <f>IF($K455="","",IF(INDEX('Prospect Tracker'!$H$5:$H$554,$K455)="","",INDEX('Prospect Tracker'!$H$5:$H$554,$K455)))</f>
        <v/>
      </c>
      <c r="H455" s="26">
        <f>IF($K455="","",IF(INDEX('Prospect Tracker'!$K$5:$K$554,$K455)="","",INDEX('Prospect Tracker'!$K$5:$K$554,$K455)))</f>
        <v/>
      </c>
      <c r="I455" s="25">
        <f>IF($K455="","",IF(INDEX('Prospect Tracker'!$T$5:$T$554,$K455)="","",INDEX('Prospect Tracker'!$T$5:$T$554,$K455)))</f>
        <v/>
      </c>
      <c r="J455" s="25">
        <f>IF($K455="","",IF(INDEX('Prospect Tracker'!$L$5:$L$554,$K455)="","",INDEX('Prospect Tracker'!$L$5:$L$554,$K455)))</f>
        <v/>
      </c>
      <c r="K455" s="19">
        <f>IFERROR(MATCH(SMALL('Prospect Tracker'!$X$5:$X$554,ROW()-4),'Prospect Tracker'!$X$5:$X$554,0),"")</f>
        <v/>
      </c>
    </row>
    <row r="456" ht="15" customHeight="1" s="20">
      <c r="A456" s="30">
        <f>IF($K456="","",IF(INDEX('Prospect Tracker'!$W$5:$W$554,$K456)="","",INDEX('Prospect Tracker'!$W$5:$W$554,$K456)))</f>
        <v/>
      </c>
      <c r="B456" s="30">
        <f>IF($K456="","",IF(INDEX('Prospect Tracker'!$A$5:$A$554,$K456)="","",INDEX('Prospect Tracker'!$A$5:$A$554,$K456)))</f>
        <v/>
      </c>
      <c r="C456" s="30">
        <f>IF($K456="","",IF(INDEX('Prospect Tracker'!$B$5:$B$554,$K456)="","",INDEX('Prospect Tracker'!$B$5:$B$554,$K456)))</f>
        <v/>
      </c>
      <c r="D456" s="30">
        <f>IF($K456="","",IF(INDEX('Prospect Tracker'!$M$5:$M$554,$K456)="","",INDEX('Prospect Tracker'!$M$5:$M$554,$K456)))</f>
        <v/>
      </c>
      <c r="E456" s="30">
        <f>IF($K456="","",IF(INDEX('Prospect Tracker'!$R$5:$R$554,$K456)="","",INDEX('Prospect Tracker'!$R$5:$R$554,$K456)))</f>
        <v/>
      </c>
      <c r="F456" s="30">
        <f>IF($K456="","",IF(INDEX('Prospect Tracker'!$J$5:$J$554,$K456)="","",INDEX('Prospect Tracker'!$J$5:$J$554,$K456)))</f>
        <v/>
      </c>
      <c r="G456" s="30">
        <f>IF($K456="","",IF(INDEX('Prospect Tracker'!$H$5:$H$554,$K456)="","",INDEX('Prospect Tracker'!$H$5:$H$554,$K456)))</f>
        <v/>
      </c>
      <c r="H456" s="31">
        <f>IF($K456="","",IF(INDEX('Prospect Tracker'!$K$5:$K$554,$K456)="","",INDEX('Prospect Tracker'!$K$5:$K$554,$K456)))</f>
        <v/>
      </c>
      <c r="I456" s="30">
        <f>IF($K456="","",IF(INDEX('Prospect Tracker'!$T$5:$T$554,$K456)="","",INDEX('Prospect Tracker'!$T$5:$T$554,$K456)))</f>
        <v/>
      </c>
      <c r="J456" s="30">
        <f>IF($K456="","",IF(INDEX('Prospect Tracker'!$L$5:$L$554,$K456)="","",INDEX('Prospect Tracker'!$L$5:$L$554,$K456)))</f>
        <v/>
      </c>
      <c r="K456" s="19">
        <f>IFERROR(MATCH(SMALL('Prospect Tracker'!$X$5:$X$554,ROW()-4),'Prospect Tracker'!$X$5:$X$554,0),"")</f>
        <v/>
      </c>
    </row>
    <row r="457" ht="15" customHeight="1" s="20">
      <c r="A457" s="25">
        <f>IF($K457="","",IF(INDEX('Prospect Tracker'!$W$5:$W$554,$K457)="","",INDEX('Prospect Tracker'!$W$5:$W$554,$K457)))</f>
        <v/>
      </c>
      <c r="B457" s="25">
        <f>IF($K457="","",IF(INDEX('Prospect Tracker'!$A$5:$A$554,$K457)="","",INDEX('Prospect Tracker'!$A$5:$A$554,$K457)))</f>
        <v/>
      </c>
      <c r="C457" s="25">
        <f>IF($K457="","",IF(INDEX('Prospect Tracker'!$B$5:$B$554,$K457)="","",INDEX('Prospect Tracker'!$B$5:$B$554,$K457)))</f>
        <v/>
      </c>
      <c r="D457" s="25">
        <f>IF($K457="","",IF(INDEX('Prospect Tracker'!$M$5:$M$554,$K457)="","",INDEX('Prospect Tracker'!$M$5:$M$554,$K457)))</f>
        <v/>
      </c>
      <c r="E457" s="25">
        <f>IF($K457="","",IF(INDEX('Prospect Tracker'!$R$5:$R$554,$K457)="","",INDEX('Prospect Tracker'!$R$5:$R$554,$K457)))</f>
        <v/>
      </c>
      <c r="F457" s="25">
        <f>IF($K457="","",IF(INDEX('Prospect Tracker'!$J$5:$J$554,$K457)="","",INDEX('Prospect Tracker'!$J$5:$J$554,$K457)))</f>
        <v/>
      </c>
      <c r="G457" s="25">
        <f>IF($K457="","",IF(INDEX('Prospect Tracker'!$H$5:$H$554,$K457)="","",INDEX('Prospect Tracker'!$H$5:$H$554,$K457)))</f>
        <v/>
      </c>
      <c r="H457" s="26">
        <f>IF($K457="","",IF(INDEX('Prospect Tracker'!$K$5:$K$554,$K457)="","",INDEX('Prospect Tracker'!$K$5:$K$554,$K457)))</f>
        <v/>
      </c>
      <c r="I457" s="25">
        <f>IF($K457="","",IF(INDEX('Prospect Tracker'!$T$5:$T$554,$K457)="","",INDEX('Prospect Tracker'!$T$5:$T$554,$K457)))</f>
        <v/>
      </c>
      <c r="J457" s="25">
        <f>IF($K457="","",IF(INDEX('Prospect Tracker'!$L$5:$L$554,$K457)="","",INDEX('Prospect Tracker'!$L$5:$L$554,$K457)))</f>
        <v/>
      </c>
      <c r="K457" s="19">
        <f>IFERROR(MATCH(SMALL('Prospect Tracker'!$X$5:$X$554,ROW()-4),'Prospect Tracker'!$X$5:$X$554,0),"")</f>
        <v/>
      </c>
    </row>
    <row r="458" ht="15" customHeight="1" s="20">
      <c r="A458" s="30">
        <f>IF($K458="","",IF(INDEX('Prospect Tracker'!$W$5:$W$554,$K458)="","",INDEX('Prospect Tracker'!$W$5:$W$554,$K458)))</f>
        <v/>
      </c>
      <c r="B458" s="30">
        <f>IF($K458="","",IF(INDEX('Prospect Tracker'!$A$5:$A$554,$K458)="","",INDEX('Prospect Tracker'!$A$5:$A$554,$K458)))</f>
        <v/>
      </c>
      <c r="C458" s="30">
        <f>IF($K458="","",IF(INDEX('Prospect Tracker'!$B$5:$B$554,$K458)="","",INDEX('Prospect Tracker'!$B$5:$B$554,$K458)))</f>
        <v/>
      </c>
      <c r="D458" s="30">
        <f>IF($K458="","",IF(INDEX('Prospect Tracker'!$M$5:$M$554,$K458)="","",INDEX('Prospect Tracker'!$M$5:$M$554,$K458)))</f>
        <v/>
      </c>
      <c r="E458" s="30">
        <f>IF($K458="","",IF(INDEX('Prospect Tracker'!$R$5:$R$554,$K458)="","",INDEX('Prospect Tracker'!$R$5:$R$554,$K458)))</f>
        <v/>
      </c>
      <c r="F458" s="30">
        <f>IF($K458="","",IF(INDEX('Prospect Tracker'!$J$5:$J$554,$K458)="","",INDEX('Prospect Tracker'!$J$5:$J$554,$K458)))</f>
        <v/>
      </c>
      <c r="G458" s="30">
        <f>IF($K458="","",IF(INDEX('Prospect Tracker'!$H$5:$H$554,$K458)="","",INDEX('Prospect Tracker'!$H$5:$H$554,$K458)))</f>
        <v/>
      </c>
      <c r="H458" s="31">
        <f>IF($K458="","",IF(INDEX('Prospect Tracker'!$K$5:$K$554,$K458)="","",INDEX('Prospect Tracker'!$K$5:$K$554,$K458)))</f>
        <v/>
      </c>
      <c r="I458" s="30">
        <f>IF($K458="","",IF(INDEX('Prospect Tracker'!$T$5:$T$554,$K458)="","",INDEX('Prospect Tracker'!$T$5:$T$554,$K458)))</f>
        <v/>
      </c>
      <c r="J458" s="30">
        <f>IF($K458="","",IF(INDEX('Prospect Tracker'!$L$5:$L$554,$K458)="","",INDEX('Prospect Tracker'!$L$5:$L$554,$K458)))</f>
        <v/>
      </c>
      <c r="K458" s="19">
        <f>IFERROR(MATCH(SMALL('Prospect Tracker'!$X$5:$X$554,ROW()-4),'Prospect Tracker'!$X$5:$X$554,0),"")</f>
        <v/>
      </c>
    </row>
    <row r="459" ht="15" customHeight="1" s="20">
      <c r="A459" s="25">
        <f>IF($K459="","",IF(INDEX('Prospect Tracker'!$W$5:$W$554,$K459)="","",INDEX('Prospect Tracker'!$W$5:$W$554,$K459)))</f>
        <v/>
      </c>
      <c r="B459" s="25">
        <f>IF($K459="","",IF(INDEX('Prospect Tracker'!$A$5:$A$554,$K459)="","",INDEX('Prospect Tracker'!$A$5:$A$554,$K459)))</f>
        <v/>
      </c>
      <c r="C459" s="25">
        <f>IF($K459="","",IF(INDEX('Prospect Tracker'!$B$5:$B$554,$K459)="","",INDEX('Prospect Tracker'!$B$5:$B$554,$K459)))</f>
        <v/>
      </c>
      <c r="D459" s="25">
        <f>IF($K459="","",IF(INDEX('Prospect Tracker'!$M$5:$M$554,$K459)="","",INDEX('Prospect Tracker'!$M$5:$M$554,$K459)))</f>
        <v/>
      </c>
      <c r="E459" s="25">
        <f>IF($K459="","",IF(INDEX('Prospect Tracker'!$R$5:$R$554,$K459)="","",INDEX('Prospect Tracker'!$R$5:$R$554,$K459)))</f>
        <v/>
      </c>
      <c r="F459" s="25">
        <f>IF($K459="","",IF(INDEX('Prospect Tracker'!$J$5:$J$554,$K459)="","",INDEX('Prospect Tracker'!$J$5:$J$554,$K459)))</f>
        <v/>
      </c>
      <c r="G459" s="25">
        <f>IF($K459="","",IF(INDEX('Prospect Tracker'!$H$5:$H$554,$K459)="","",INDEX('Prospect Tracker'!$H$5:$H$554,$K459)))</f>
        <v/>
      </c>
      <c r="H459" s="26">
        <f>IF($K459="","",IF(INDEX('Prospect Tracker'!$K$5:$K$554,$K459)="","",INDEX('Prospect Tracker'!$K$5:$K$554,$K459)))</f>
        <v/>
      </c>
      <c r="I459" s="25">
        <f>IF($K459="","",IF(INDEX('Prospect Tracker'!$T$5:$T$554,$K459)="","",INDEX('Prospect Tracker'!$T$5:$T$554,$K459)))</f>
        <v/>
      </c>
      <c r="J459" s="25">
        <f>IF($K459="","",IF(INDEX('Prospect Tracker'!$L$5:$L$554,$K459)="","",INDEX('Prospect Tracker'!$L$5:$L$554,$K459)))</f>
        <v/>
      </c>
      <c r="K459" s="19">
        <f>IFERROR(MATCH(SMALL('Prospect Tracker'!$X$5:$X$554,ROW()-4),'Prospect Tracker'!$X$5:$X$554,0),"")</f>
        <v/>
      </c>
    </row>
    <row r="460" ht="15" customHeight="1" s="20">
      <c r="A460" s="30">
        <f>IF($K460="","",IF(INDEX('Prospect Tracker'!$W$5:$W$554,$K460)="","",INDEX('Prospect Tracker'!$W$5:$W$554,$K460)))</f>
        <v/>
      </c>
      <c r="B460" s="30">
        <f>IF($K460="","",IF(INDEX('Prospect Tracker'!$A$5:$A$554,$K460)="","",INDEX('Prospect Tracker'!$A$5:$A$554,$K460)))</f>
        <v/>
      </c>
      <c r="C460" s="30">
        <f>IF($K460="","",IF(INDEX('Prospect Tracker'!$B$5:$B$554,$K460)="","",INDEX('Prospect Tracker'!$B$5:$B$554,$K460)))</f>
        <v/>
      </c>
      <c r="D460" s="30">
        <f>IF($K460="","",IF(INDEX('Prospect Tracker'!$M$5:$M$554,$K460)="","",INDEX('Prospect Tracker'!$M$5:$M$554,$K460)))</f>
        <v/>
      </c>
      <c r="E460" s="30">
        <f>IF($K460="","",IF(INDEX('Prospect Tracker'!$R$5:$R$554,$K460)="","",INDEX('Prospect Tracker'!$R$5:$R$554,$K460)))</f>
        <v/>
      </c>
      <c r="F460" s="30">
        <f>IF($K460="","",IF(INDEX('Prospect Tracker'!$J$5:$J$554,$K460)="","",INDEX('Prospect Tracker'!$J$5:$J$554,$K460)))</f>
        <v/>
      </c>
      <c r="G460" s="30">
        <f>IF($K460="","",IF(INDEX('Prospect Tracker'!$H$5:$H$554,$K460)="","",INDEX('Prospect Tracker'!$H$5:$H$554,$K460)))</f>
        <v/>
      </c>
      <c r="H460" s="31">
        <f>IF($K460="","",IF(INDEX('Prospect Tracker'!$K$5:$K$554,$K460)="","",INDEX('Prospect Tracker'!$K$5:$K$554,$K460)))</f>
        <v/>
      </c>
      <c r="I460" s="30">
        <f>IF($K460="","",IF(INDEX('Prospect Tracker'!$T$5:$T$554,$K460)="","",INDEX('Prospect Tracker'!$T$5:$T$554,$K460)))</f>
        <v/>
      </c>
      <c r="J460" s="30">
        <f>IF($K460="","",IF(INDEX('Prospect Tracker'!$L$5:$L$554,$K460)="","",INDEX('Prospect Tracker'!$L$5:$L$554,$K460)))</f>
        <v/>
      </c>
      <c r="K460" s="19">
        <f>IFERROR(MATCH(SMALL('Prospect Tracker'!$X$5:$X$554,ROW()-4),'Prospect Tracker'!$X$5:$X$554,0),"")</f>
        <v/>
      </c>
    </row>
    <row r="461" ht="15" customHeight="1" s="20">
      <c r="A461" s="25">
        <f>IF($K461="","",IF(INDEX('Prospect Tracker'!$W$5:$W$554,$K461)="","",INDEX('Prospect Tracker'!$W$5:$W$554,$K461)))</f>
        <v/>
      </c>
      <c r="B461" s="25">
        <f>IF($K461="","",IF(INDEX('Prospect Tracker'!$A$5:$A$554,$K461)="","",INDEX('Prospect Tracker'!$A$5:$A$554,$K461)))</f>
        <v/>
      </c>
      <c r="C461" s="25">
        <f>IF($K461="","",IF(INDEX('Prospect Tracker'!$B$5:$B$554,$K461)="","",INDEX('Prospect Tracker'!$B$5:$B$554,$K461)))</f>
        <v/>
      </c>
      <c r="D461" s="25">
        <f>IF($K461="","",IF(INDEX('Prospect Tracker'!$M$5:$M$554,$K461)="","",INDEX('Prospect Tracker'!$M$5:$M$554,$K461)))</f>
        <v/>
      </c>
      <c r="E461" s="25">
        <f>IF($K461="","",IF(INDEX('Prospect Tracker'!$R$5:$R$554,$K461)="","",INDEX('Prospect Tracker'!$R$5:$R$554,$K461)))</f>
        <v/>
      </c>
      <c r="F461" s="25">
        <f>IF($K461="","",IF(INDEX('Prospect Tracker'!$J$5:$J$554,$K461)="","",INDEX('Prospect Tracker'!$J$5:$J$554,$K461)))</f>
        <v/>
      </c>
      <c r="G461" s="25">
        <f>IF($K461="","",IF(INDEX('Prospect Tracker'!$H$5:$H$554,$K461)="","",INDEX('Prospect Tracker'!$H$5:$H$554,$K461)))</f>
        <v/>
      </c>
      <c r="H461" s="26">
        <f>IF($K461="","",IF(INDEX('Prospect Tracker'!$K$5:$K$554,$K461)="","",INDEX('Prospect Tracker'!$K$5:$K$554,$K461)))</f>
        <v/>
      </c>
      <c r="I461" s="25">
        <f>IF($K461="","",IF(INDEX('Prospect Tracker'!$T$5:$T$554,$K461)="","",INDEX('Prospect Tracker'!$T$5:$T$554,$K461)))</f>
        <v/>
      </c>
      <c r="J461" s="25">
        <f>IF($K461="","",IF(INDEX('Prospect Tracker'!$L$5:$L$554,$K461)="","",INDEX('Prospect Tracker'!$L$5:$L$554,$K461)))</f>
        <v/>
      </c>
      <c r="K461" s="19">
        <f>IFERROR(MATCH(SMALL('Prospect Tracker'!$X$5:$X$554,ROW()-4),'Prospect Tracker'!$X$5:$X$554,0),"")</f>
        <v/>
      </c>
    </row>
    <row r="462" ht="15" customHeight="1" s="20">
      <c r="A462" s="30">
        <f>IF($K462="","",IF(INDEX('Prospect Tracker'!$W$5:$W$554,$K462)="","",INDEX('Prospect Tracker'!$W$5:$W$554,$K462)))</f>
        <v/>
      </c>
      <c r="B462" s="30">
        <f>IF($K462="","",IF(INDEX('Prospect Tracker'!$A$5:$A$554,$K462)="","",INDEX('Prospect Tracker'!$A$5:$A$554,$K462)))</f>
        <v/>
      </c>
      <c r="C462" s="30">
        <f>IF($K462="","",IF(INDEX('Prospect Tracker'!$B$5:$B$554,$K462)="","",INDEX('Prospect Tracker'!$B$5:$B$554,$K462)))</f>
        <v/>
      </c>
      <c r="D462" s="30">
        <f>IF($K462="","",IF(INDEX('Prospect Tracker'!$M$5:$M$554,$K462)="","",INDEX('Prospect Tracker'!$M$5:$M$554,$K462)))</f>
        <v/>
      </c>
      <c r="E462" s="30">
        <f>IF($K462="","",IF(INDEX('Prospect Tracker'!$R$5:$R$554,$K462)="","",INDEX('Prospect Tracker'!$R$5:$R$554,$K462)))</f>
        <v/>
      </c>
      <c r="F462" s="30">
        <f>IF($K462="","",IF(INDEX('Prospect Tracker'!$J$5:$J$554,$K462)="","",INDEX('Prospect Tracker'!$J$5:$J$554,$K462)))</f>
        <v/>
      </c>
      <c r="G462" s="30">
        <f>IF($K462="","",IF(INDEX('Prospect Tracker'!$H$5:$H$554,$K462)="","",INDEX('Prospect Tracker'!$H$5:$H$554,$K462)))</f>
        <v/>
      </c>
      <c r="H462" s="31">
        <f>IF($K462="","",IF(INDEX('Prospect Tracker'!$K$5:$K$554,$K462)="","",INDEX('Prospect Tracker'!$K$5:$K$554,$K462)))</f>
        <v/>
      </c>
      <c r="I462" s="30">
        <f>IF($K462="","",IF(INDEX('Prospect Tracker'!$T$5:$T$554,$K462)="","",INDEX('Prospect Tracker'!$T$5:$T$554,$K462)))</f>
        <v/>
      </c>
      <c r="J462" s="30">
        <f>IF($K462="","",IF(INDEX('Prospect Tracker'!$L$5:$L$554,$K462)="","",INDEX('Prospect Tracker'!$L$5:$L$554,$K462)))</f>
        <v/>
      </c>
      <c r="K462" s="19">
        <f>IFERROR(MATCH(SMALL('Prospect Tracker'!$X$5:$X$554,ROW()-4),'Prospect Tracker'!$X$5:$X$554,0),"")</f>
        <v/>
      </c>
    </row>
    <row r="463" ht="15" customHeight="1" s="20">
      <c r="A463" s="25">
        <f>IF($K463="","",IF(INDEX('Prospect Tracker'!$W$5:$W$554,$K463)="","",INDEX('Prospect Tracker'!$W$5:$W$554,$K463)))</f>
        <v/>
      </c>
      <c r="B463" s="25">
        <f>IF($K463="","",IF(INDEX('Prospect Tracker'!$A$5:$A$554,$K463)="","",INDEX('Prospect Tracker'!$A$5:$A$554,$K463)))</f>
        <v/>
      </c>
      <c r="C463" s="25">
        <f>IF($K463="","",IF(INDEX('Prospect Tracker'!$B$5:$B$554,$K463)="","",INDEX('Prospect Tracker'!$B$5:$B$554,$K463)))</f>
        <v/>
      </c>
      <c r="D463" s="25">
        <f>IF($K463="","",IF(INDEX('Prospect Tracker'!$M$5:$M$554,$K463)="","",INDEX('Prospect Tracker'!$M$5:$M$554,$K463)))</f>
        <v/>
      </c>
      <c r="E463" s="25">
        <f>IF($K463="","",IF(INDEX('Prospect Tracker'!$R$5:$R$554,$K463)="","",INDEX('Prospect Tracker'!$R$5:$R$554,$K463)))</f>
        <v/>
      </c>
      <c r="F463" s="25">
        <f>IF($K463="","",IF(INDEX('Prospect Tracker'!$J$5:$J$554,$K463)="","",INDEX('Prospect Tracker'!$J$5:$J$554,$K463)))</f>
        <v/>
      </c>
      <c r="G463" s="25">
        <f>IF($K463="","",IF(INDEX('Prospect Tracker'!$H$5:$H$554,$K463)="","",INDEX('Prospect Tracker'!$H$5:$H$554,$K463)))</f>
        <v/>
      </c>
      <c r="H463" s="26">
        <f>IF($K463="","",IF(INDEX('Prospect Tracker'!$K$5:$K$554,$K463)="","",INDEX('Prospect Tracker'!$K$5:$K$554,$K463)))</f>
        <v/>
      </c>
      <c r="I463" s="25">
        <f>IF($K463="","",IF(INDEX('Prospect Tracker'!$T$5:$T$554,$K463)="","",INDEX('Prospect Tracker'!$T$5:$T$554,$K463)))</f>
        <v/>
      </c>
      <c r="J463" s="25">
        <f>IF($K463="","",IF(INDEX('Prospect Tracker'!$L$5:$L$554,$K463)="","",INDEX('Prospect Tracker'!$L$5:$L$554,$K463)))</f>
        <v/>
      </c>
      <c r="K463" s="19">
        <f>IFERROR(MATCH(SMALL('Prospect Tracker'!$X$5:$X$554,ROW()-4),'Prospect Tracker'!$X$5:$X$554,0),"")</f>
        <v/>
      </c>
    </row>
    <row r="464" ht="15" customHeight="1" s="20">
      <c r="A464" s="30">
        <f>IF($K464="","",IF(INDEX('Prospect Tracker'!$W$5:$W$554,$K464)="","",INDEX('Prospect Tracker'!$W$5:$W$554,$K464)))</f>
        <v/>
      </c>
      <c r="B464" s="30">
        <f>IF($K464="","",IF(INDEX('Prospect Tracker'!$A$5:$A$554,$K464)="","",INDEX('Prospect Tracker'!$A$5:$A$554,$K464)))</f>
        <v/>
      </c>
      <c r="C464" s="30">
        <f>IF($K464="","",IF(INDEX('Prospect Tracker'!$B$5:$B$554,$K464)="","",INDEX('Prospect Tracker'!$B$5:$B$554,$K464)))</f>
        <v/>
      </c>
      <c r="D464" s="30">
        <f>IF($K464="","",IF(INDEX('Prospect Tracker'!$M$5:$M$554,$K464)="","",INDEX('Prospect Tracker'!$M$5:$M$554,$K464)))</f>
        <v/>
      </c>
      <c r="E464" s="30">
        <f>IF($K464="","",IF(INDEX('Prospect Tracker'!$R$5:$R$554,$K464)="","",INDEX('Prospect Tracker'!$R$5:$R$554,$K464)))</f>
        <v/>
      </c>
      <c r="F464" s="30">
        <f>IF($K464="","",IF(INDEX('Prospect Tracker'!$J$5:$J$554,$K464)="","",INDEX('Prospect Tracker'!$J$5:$J$554,$K464)))</f>
        <v/>
      </c>
      <c r="G464" s="30">
        <f>IF($K464="","",IF(INDEX('Prospect Tracker'!$H$5:$H$554,$K464)="","",INDEX('Prospect Tracker'!$H$5:$H$554,$K464)))</f>
        <v/>
      </c>
      <c r="H464" s="31">
        <f>IF($K464="","",IF(INDEX('Prospect Tracker'!$K$5:$K$554,$K464)="","",INDEX('Prospect Tracker'!$K$5:$K$554,$K464)))</f>
        <v/>
      </c>
      <c r="I464" s="30">
        <f>IF($K464="","",IF(INDEX('Prospect Tracker'!$T$5:$T$554,$K464)="","",INDEX('Prospect Tracker'!$T$5:$T$554,$K464)))</f>
        <v/>
      </c>
      <c r="J464" s="30">
        <f>IF($K464="","",IF(INDEX('Prospect Tracker'!$L$5:$L$554,$K464)="","",INDEX('Prospect Tracker'!$L$5:$L$554,$K464)))</f>
        <v/>
      </c>
      <c r="K464" s="19">
        <f>IFERROR(MATCH(SMALL('Prospect Tracker'!$X$5:$X$554,ROW()-4),'Prospect Tracker'!$X$5:$X$554,0),"")</f>
        <v/>
      </c>
    </row>
    <row r="465" ht="15" customHeight="1" s="20">
      <c r="A465" s="25">
        <f>IF($K465="","",IF(INDEX('Prospect Tracker'!$W$5:$W$554,$K465)="","",INDEX('Prospect Tracker'!$W$5:$W$554,$K465)))</f>
        <v/>
      </c>
      <c r="B465" s="25">
        <f>IF($K465="","",IF(INDEX('Prospect Tracker'!$A$5:$A$554,$K465)="","",INDEX('Prospect Tracker'!$A$5:$A$554,$K465)))</f>
        <v/>
      </c>
      <c r="C465" s="25">
        <f>IF($K465="","",IF(INDEX('Prospect Tracker'!$B$5:$B$554,$K465)="","",INDEX('Prospect Tracker'!$B$5:$B$554,$K465)))</f>
        <v/>
      </c>
      <c r="D465" s="25">
        <f>IF($K465="","",IF(INDEX('Prospect Tracker'!$M$5:$M$554,$K465)="","",INDEX('Prospect Tracker'!$M$5:$M$554,$K465)))</f>
        <v/>
      </c>
      <c r="E465" s="25">
        <f>IF($K465="","",IF(INDEX('Prospect Tracker'!$R$5:$R$554,$K465)="","",INDEX('Prospect Tracker'!$R$5:$R$554,$K465)))</f>
        <v/>
      </c>
      <c r="F465" s="25">
        <f>IF($K465="","",IF(INDEX('Prospect Tracker'!$J$5:$J$554,$K465)="","",INDEX('Prospect Tracker'!$J$5:$J$554,$K465)))</f>
        <v/>
      </c>
      <c r="G465" s="25">
        <f>IF($K465="","",IF(INDEX('Prospect Tracker'!$H$5:$H$554,$K465)="","",INDEX('Prospect Tracker'!$H$5:$H$554,$K465)))</f>
        <v/>
      </c>
      <c r="H465" s="26">
        <f>IF($K465="","",IF(INDEX('Prospect Tracker'!$K$5:$K$554,$K465)="","",INDEX('Prospect Tracker'!$K$5:$K$554,$K465)))</f>
        <v/>
      </c>
      <c r="I465" s="25">
        <f>IF($K465="","",IF(INDEX('Prospect Tracker'!$T$5:$T$554,$K465)="","",INDEX('Prospect Tracker'!$T$5:$T$554,$K465)))</f>
        <v/>
      </c>
      <c r="J465" s="25">
        <f>IF($K465="","",IF(INDEX('Prospect Tracker'!$L$5:$L$554,$K465)="","",INDEX('Prospect Tracker'!$L$5:$L$554,$K465)))</f>
        <v/>
      </c>
      <c r="K465" s="19">
        <f>IFERROR(MATCH(SMALL('Prospect Tracker'!$X$5:$X$554,ROW()-4),'Prospect Tracker'!$X$5:$X$554,0),"")</f>
        <v/>
      </c>
    </row>
    <row r="466" ht="15" customHeight="1" s="20">
      <c r="A466" s="30">
        <f>IF($K466="","",IF(INDEX('Prospect Tracker'!$W$5:$W$554,$K466)="","",INDEX('Prospect Tracker'!$W$5:$W$554,$K466)))</f>
        <v/>
      </c>
      <c r="B466" s="30">
        <f>IF($K466="","",IF(INDEX('Prospect Tracker'!$A$5:$A$554,$K466)="","",INDEX('Prospect Tracker'!$A$5:$A$554,$K466)))</f>
        <v/>
      </c>
      <c r="C466" s="30">
        <f>IF($K466="","",IF(INDEX('Prospect Tracker'!$B$5:$B$554,$K466)="","",INDEX('Prospect Tracker'!$B$5:$B$554,$K466)))</f>
        <v/>
      </c>
      <c r="D466" s="30">
        <f>IF($K466="","",IF(INDEX('Prospect Tracker'!$M$5:$M$554,$K466)="","",INDEX('Prospect Tracker'!$M$5:$M$554,$K466)))</f>
        <v/>
      </c>
      <c r="E466" s="30">
        <f>IF($K466="","",IF(INDEX('Prospect Tracker'!$R$5:$R$554,$K466)="","",INDEX('Prospect Tracker'!$R$5:$R$554,$K466)))</f>
        <v/>
      </c>
      <c r="F466" s="30">
        <f>IF($K466="","",IF(INDEX('Prospect Tracker'!$J$5:$J$554,$K466)="","",INDEX('Prospect Tracker'!$J$5:$J$554,$K466)))</f>
        <v/>
      </c>
      <c r="G466" s="30">
        <f>IF($K466="","",IF(INDEX('Prospect Tracker'!$H$5:$H$554,$K466)="","",INDEX('Prospect Tracker'!$H$5:$H$554,$K466)))</f>
        <v/>
      </c>
      <c r="H466" s="31">
        <f>IF($K466="","",IF(INDEX('Prospect Tracker'!$K$5:$K$554,$K466)="","",INDEX('Prospect Tracker'!$K$5:$K$554,$K466)))</f>
        <v/>
      </c>
      <c r="I466" s="30">
        <f>IF($K466="","",IF(INDEX('Prospect Tracker'!$T$5:$T$554,$K466)="","",INDEX('Prospect Tracker'!$T$5:$T$554,$K466)))</f>
        <v/>
      </c>
      <c r="J466" s="30">
        <f>IF($K466="","",IF(INDEX('Prospect Tracker'!$L$5:$L$554,$K466)="","",INDEX('Prospect Tracker'!$L$5:$L$554,$K466)))</f>
        <v/>
      </c>
      <c r="K466" s="19">
        <f>IFERROR(MATCH(SMALL('Prospect Tracker'!$X$5:$X$554,ROW()-4),'Prospect Tracker'!$X$5:$X$554,0),"")</f>
        <v/>
      </c>
    </row>
    <row r="467" ht="15" customHeight="1" s="20">
      <c r="A467" s="25">
        <f>IF($K467="","",IF(INDEX('Prospect Tracker'!$W$5:$W$554,$K467)="","",INDEX('Prospect Tracker'!$W$5:$W$554,$K467)))</f>
        <v/>
      </c>
      <c r="B467" s="25">
        <f>IF($K467="","",IF(INDEX('Prospect Tracker'!$A$5:$A$554,$K467)="","",INDEX('Prospect Tracker'!$A$5:$A$554,$K467)))</f>
        <v/>
      </c>
      <c r="C467" s="25">
        <f>IF($K467="","",IF(INDEX('Prospect Tracker'!$B$5:$B$554,$K467)="","",INDEX('Prospect Tracker'!$B$5:$B$554,$K467)))</f>
        <v/>
      </c>
      <c r="D467" s="25">
        <f>IF($K467="","",IF(INDEX('Prospect Tracker'!$M$5:$M$554,$K467)="","",INDEX('Prospect Tracker'!$M$5:$M$554,$K467)))</f>
        <v/>
      </c>
      <c r="E467" s="25">
        <f>IF($K467="","",IF(INDEX('Prospect Tracker'!$R$5:$R$554,$K467)="","",INDEX('Prospect Tracker'!$R$5:$R$554,$K467)))</f>
        <v/>
      </c>
      <c r="F467" s="25">
        <f>IF($K467="","",IF(INDEX('Prospect Tracker'!$J$5:$J$554,$K467)="","",INDEX('Prospect Tracker'!$J$5:$J$554,$K467)))</f>
        <v/>
      </c>
      <c r="G467" s="25">
        <f>IF($K467="","",IF(INDEX('Prospect Tracker'!$H$5:$H$554,$K467)="","",INDEX('Prospect Tracker'!$H$5:$H$554,$K467)))</f>
        <v/>
      </c>
      <c r="H467" s="26">
        <f>IF($K467="","",IF(INDEX('Prospect Tracker'!$K$5:$K$554,$K467)="","",INDEX('Prospect Tracker'!$K$5:$K$554,$K467)))</f>
        <v/>
      </c>
      <c r="I467" s="25">
        <f>IF($K467="","",IF(INDEX('Prospect Tracker'!$T$5:$T$554,$K467)="","",INDEX('Prospect Tracker'!$T$5:$T$554,$K467)))</f>
        <v/>
      </c>
      <c r="J467" s="25">
        <f>IF($K467="","",IF(INDEX('Prospect Tracker'!$L$5:$L$554,$K467)="","",INDEX('Prospect Tracker'!$L$5:$L$554,$K467)))</f>
        <v/>
      </c>
      <c r="K467" s="19">
        <f>IFERROR(MATCH(SMALL('Prospect Tracker'!$X$5:$X$554,ROW()-4),'Prospect Tracker'!$X$5:$X$554,0),"")</f>
        <v/>
      </c>
    </row>
    <row r="468" ht="15" customHeight="1" s="20">
      <c r="A468" s="30">
        <f>IF($K468="","",IF(INDEX('Prospect Tracker'!$W$5:$W$554,$K468)="","",INDEX('Prospect Tracker'!$W$5:$W$554,$K468)))</f>
        <v/>
      </c>
      <c r="B468" s="30">
        <f>IF($K468="","",IF(INDEX('Prospect Tracker'!$A$5:$A$554,$K468)="","",INDEX('Prospect Tracker'!$A$5:$A$554,$K468)))</f>
        <v/>
      </c>
      <c r="C468" s="30">
        <f>IF($K468="","",IF(INDEX('Prospect Tracker'!$B$5:$B$554,$K468)="","",INDEX('Prospect Tracker'!$B$5:$B$554,$K468)))</f>
        <v/>
      </c>
      <c r="D468" s="30">
        <f>IF($K468="","",IF(INDEX('Prospect Tracker'!$M$5:$M$554,$K468)="","",INDEX('Prospect Tracker'!$M$5:$M$554,$K468)))</f>
        <v/>
      </c>
      <c r="E468" s="30">
        <f>IF($K468="","",IF(INDEX('Prospect Tracker'!$R$5:$R$554,$K468)="","",INDEX('Prospect Tracker'!$R$5:$R$554,$K468)))</f>
        <v/>
      </c>
      <c r="F468" s="30">
        <f>IF($K468="","",IF(INDEX('Prospect Tracker'!$J$5:$J$554,$K468)="","",INDEX('Prospect Tracker'!$J$5:$J$554,$K468)))</f>
        <v/>
      </c>
      <c r="G468" s="30">
        <f>IF($K468="","",IF(INDEX('Prospect Tracker'!$H$5:$H$554,$K468)="","",INDEX('Prospect Tracker'!$H$5:$H$554,$K468)))</f>
        <v/>
      </c>
      <c r="H468" s="31">
        <f>IF($K468="","",IF(INDEX('Prospect Tracker'!$K$5:$K$554,$K468)="","",INDEX('Prospect Tracker'!$K$5:$K$554,$K468)))</f>
        <v/>
      </c>
      <c r="I468" s="30">
        <f>IF($K468="","",IF(INDEX('Prospect Tracker'!$T$5:$T$554,$K468)="","",INDEX('Prospect Tracker'!$T$5:$T$554,$K468)))</f>
        <v/>
      </c>
      <c r="J468" s="30">
        <f>IF($K468="","",IF(INDEX('Prospect Tracker'!$L$5:$L$554,$K468)="","",INDEX('Prospect Tracker'!$L$5:$L$554,$K468)))</f>
        <v/>
      </c>
      <c r="K468" s="19">
        <f>IFERROR(MATCH(SMALL('Prospect Tracker'!$X$5:$X$554,ROW()-4),'Prospect Tracker'!$X$5:$X$554,0),"")</f>
        <v/>
      </c>
    </row>
    <row r="469" ht="15" customHeight="1" s="20">
      <c r="A469" s="25">
        <f>IF($K469="","",IF(INDEX('Prospect Tracker'!$W$5:$W$554,$K469)="","",INDEX('Prospect Tracker'!$W$5:$W$554,$K469)))</f>
        <v/>
      </c>
      <c r="B469" s="25">
        <f>IF($K469="","",IF(INDEX('Prospect Tracker'!$A$5:$A$554,$K469)="","",INDEX('Prospect Tracker'!$A$5:$A$554,$K469)))</f>
        <v/>
      </c>
      <c r="C469" s="25">
        <f>IF($K469="","",IF(INDEX('Prospect Tracker'!$B$5:$B$554,$K469)="","",INDEX('Prospect Tracker'!$B$5:$B$554,$K469)))</f>
        <v/>
      </c>
      <c r="D469" s="25">
        <f>IF($K469="","",IF(INDEX('Prospect Tracker'!$M$5:$M$554,$K469)="","",INDEX('Prospect Tracker'!$M$5:$M$554,$K469)))</f>
        <v/>
      </c>
      <c r="E469" s="25">
        <f>IF($K469="","",IF(INDEX('Prospect Tracker'!$R$5:$R$554,$K469)="","",INDEX('Prospect Tracker'!$R$5:$R$554,$K469)))</f>
        <v/>
      </c>
      <c r="F469" s="25">
        <f>IF($K469="","",IF(INDEX('Prospect Tracker'!$J$5:$J$554,$K469)="","",INDEX('Prospect Tracker'!$J$5:$J$554,$K469)))</f>
        <v/>
      </c>
      <c r="G469" s="25">
        <f>IF($K469="","",IF(INDEX('Prospect Tracker'!$H$5:$H$554,$K469)="","",INDEX('Prospect Tracker'!$H$5:$H$554,$K469)))</f>
        <v/>
      </c>
      <c r="H469" s="26">
        <f>IF($K469="","",IF(INDEX('Prospect Tracker'!$K$5:$K$554,$K469)="","",INDEX('Prospect Tracker'!$K$5:$K$554,$K469)))</f>
        <v/>
      </c>
      <c r="I469" s="25">
        <f>IF($K469="","",IF(INDEX('Prospect Tracker'!$T$5:$T$554,$K469)="","",INDEX('Prospect Tracker'!$T$5:$T$554,$K469)))</f>
        <v/>
      </c>
      <c r="J469" s="25">
        <f>IF($K469="","",IF(INDEX('Prospect Tracker'!$L$5:$L$554,$K469)="","",INDEX('Prospect Tracker'!$L$5:$L$554,$K469)))</f>
        <v/>
      </c>
      <c r="K469" s="19">
        <f>IFERROR(MATCH(SMALL('Prospect Tracker'!$X$5:$X$554,ROW()-4),'Prospect Tracker'!$X$5:$X$554,0),"")</f>
        <v/>
      </c>
    </row>
    <row r="470" ht="15" customHeight="1" s="20">
      <c r="A470" s="30">
        <f>IF($K470="","",IF(INDEX('Prospect Tracker'!$W$5:$W$554,$K470)="","",INDEX('Prospect Tracker'!$W$5:$W$554,$K470)))</f>
        <v/>
      </c>
      <c r="B470" s="30">
        <f>IF($K470="","",IF(INDEX('Prospect Tracker'!$A$5:$A$554,$K470)="","",INDEX('Prospect Tracker'!$A$5:$A$554,$K470)))</f>
        <v/>
      </c>
      <c r="C470" s="30">
        <f>IF($K470="","",IF(INDEX('Prospect Tracker'!$B$5:$B$554,$K470)="","",INDEX('Prospect Tracker'!$B$5:$B$554,$K470)))</f>
        <v/>
      </c>
      <c r="D470" s="30">
        <f>IF($K470="","",IF(INDEX('Prospect Tracker'!$M$5:$M$554,$K470)="","",INDEX('Prospect Tracker'!$M$5:$M$554,$K470)))</f>
        <v/>
      </c>
      <c r="E470" s="30">
        <f>IF($K470="","",IF(INDEX('Prospect Tracker'!$R$5:$R$554,$K470)="","",INDEX('Prospect Tracker'!$R$5:$R$554,$K470)))</f>
        <v/>
      </c>
      <c r="F470" s="30">
        <f>IF($K470="","",IF(INDEX('Prospect Tracker'!$J$5:$J$554,$K470)="","",INDEX('Prospect Tracker'!$J$5:$J$554,$K470)))</f>
        <v/>
      </c>
      <c r="G470" s="30">
        <f>IF($K470="","",IF(INDEX('Prospect Tracker'!$H$5:$H$554,$K470)="","",INDEX('Prospect Tracker'!$H$5:$H$554,$K470)))</f>
        <v/>
      </c>
      <c r="H470" s="31">
        <f>IF($K470="","",IF(INDEX('Prospect Tracker'!$K$5:$K$554,$K470)="","",INDEX('Prospect Tracker'!$K$5:$K$554,$K470)))</f>
        <v/>
      </c>
      <c r="I470" s="30">
        <f>IF($K470="","",IF(INDEX('Prospect Tracker'!$T$5:$T$554,$K470)="","",INDEX('Prospect Tracker'!$T$5:$T$554,$K470)))</f>
        <v/>
      </c>
      <c r="J470" s="30">
        <f>IF($K470="","",IF(INDEX('Prospect Tracker'!$L$5:$L$554,$K470)="","",INDEX('Prospect Tracker'!$L$5:$L$554,$K470)))</f>
        <v/>
      </c>
      <c r="K470" s="19">
        <f>IFERROR(MATCH(SMALL('Prospect Tracker'!$X$5:$X$554,ROW()-4),'Prospect Tracker'!$X$5:$X$554,0),"")</f>
        <v/>
      </c>
    </row>
    <row r="471" ht="15" customHeight="1" s="20">
      <c r="A471" s="25">
        <f>IF($K471="","",IF(INDEX('Prospect Tracker'!$W$5:$W$554,$K471)="","",INDEX('Prospect Tracker'!$W$5:$W$554,$K471)))</f>
        <v/>
      </c>
      <c r="B471" s="25">
        <f>IF($K471="","",IF(INDEX('Prospect Tracker'!$A$5:$A$554,$K471)="","",INDEX('Prospect Tracker'!$A$5:$A$554,$K471)))</f>
        <v/>
      </c>
      <c r="C471" s="25">
        <f>IF($K471="","",IF(INDEX('Prospect Tracker'!$B$5:$B$554,$K471)="","",INDEX('Prospect Tracker'!$B$5:$B$554,$K471)))</f>
        <v/>
      </c>
      <c r="D471" s="25">
        <f>IF($K471="","",IF(INDEX('Prospect Tracker'!$M$5:$M$554,$K471)="","",INDEX('Prospect Tracker'!$M$5:$M$554,$K471)))</f>
        <v/>
      </c>
      <c r="E471" s="25">
        <f>IF($K471="","",IF(INDEX('Prospect Tracker'!$R$5:$R$554,$K471)="","",INDEX('Prospect Tracker'!$R$5:$R$554,$K471)))</f>
        <v/>
      </c>
      <c r="F471" s="25">
        <f>IF($K471="","",IF(INDEX('Prospect Tracker'!$J$5:$J$554,$K471)="","",INDEX('Prospect Tracker'!$J$5:$J$554,$K471)))</f>
        <v/>
      </c>
      <c r="G471" s="25">
        <f>IF($K471="","",IF(INDEX('Prospect Tracker'!$H$5:$H$554,$K471)="","",INDEX('Prospect Tracker'!$H$5:$H$554,$K471)))</f>
        <v/>
      </c>
      <c r="H471" s="26">
        <f>IF($K471="","",IF(INDEX('Prospect Tracker'!$K$5:$K$554,$K471)="","",INDEX('Prospect Tracker'!$K$5:$K$554,$K471)))</f>
        <v/>
      </c>
      <c r="I471" s="25">
        <f>IF($K471="","",IF(INDEX('Prospect Tracker'!$T$5:$T$554,$K471)="","",INDEX('Prospect Tracker'!$T$5:$T$554,$K471)))</f>
        <v/>
      </c>
      <c r="J471" s="25">
        <f>IF($K471="","",IF(INDEX('Prospect Tracker'!$L$5:$L$554,$K471)="","",INDEX('Prospect Tracker'!$L$5:$L$554,$K471)))</f>
        <v/>
      </c>
      <c r="K471" s="19">
        <f>IFERROR(MATCH(SMALL('Prospect Tracker'!$X$5:$X$554,ROW()-4),'Prospect Tracker'!$X$5:$X$554,0),"")</f>
        <v/>
      </c>
    </row>
    <row r="472" ht="15" customHeight="1" s="20">
      <c r="A472" s="30">
        <f>IF($K472="","",IF(INDEX('Prospect Tracker'!$W$5:$W$554,$K472)="","",INDEX('Prospect Tracker'!$W$5:$W$554,$K472)))</f>
        <v/>
      </c>
      <c r="B472" s="30">
        <f>IF($K472="","",IF(INDEX('Prospect Tracker'!$A$5:$A$554,$K472)="","",INDEX('Prospect Tracker'!$A$5:$A$554,$K472)))</f>
        <v/>
      </c>
      <c r="C472" s="30">
        <f>IF($K472="","",IF(INDEX('Prospect Tracker'!$B$5:$B$554,$K472)="","",INDEX('Prospect Tracker'!$B$5:$B$554,$K472)))</f>
        <v/>
      </c>
      <c r="D472" s="30">
        <f>IF($K472="","",IF(INDEX('Prospect Tracker'!$M$5:$M$554,$K472)="","",INDEX('Prospect Tracker'!$M$5:$M$554,$K472)))</f>
        <v/>
      </c>
      <c r="E472" s="30">
        <f>IF($K472="","",IF(INDEX('Prospect Tracker'!$R$5:$R$554,$K472)="","",INDEX('Prospect Tracker'!$R$5:$R$554,$K472)))</f>
        <v/>
      </c>
      <c r="F472" s="30">
        <f>IF($K472="","",IF(INDEX('Prospect Tracker'!$J$5:$J$554,$K472)="","",INDEX('Prospect Tracker'!$J$5:$J$554,$K472)))</f>
        <v/>
      </c>
      <c r="G472" s="30">
        <f>IF($K472="","",IF(INDEX('Prospect Tracker'!$H$5:$H$554,$K472)="","",INDEX('Prospect Tracker'!$H$5:$H$554,$K472)))</f>
        <v/>
      </c>
      <c r="H472" s="31">
        <f>IF($K472="","",IF(INDEX('Prospect Tracker'!$K$5:$K$554,$K472)="","",INDEX('Prospect Tracker'!$K$5:$K$554,$K472)))</f>
        <v/>
      </c>
      <c r="I472" s="30">
        <f>IF($K472="","",IF(INDEX('Prospect Tracker'!$T$5:$T$554,$K472)="","",INDEX('Prospect Tracker'!$T$5:$T$554,$K472)))</f>
        <v/>
      </c>
      <c r="J472" s="30">
        <f>IF($K472="","",IF(INDEX('Prospect Tracker'!$L$5:$L$554,$K472)="","",INDEX('Prospect Tracker'!$L$5:$L$554,$K472)))</f>
        <v/>
      </c>
      <c r="K472" s="19">
        <f>IFERROR(MATCH(SMALL('Prospect Tracker'!$X$5:$X$554,ROW()-4),'Prospect Tracker'!$X$5:$X$554,0),"")</f>
        <v/>
      </c>
    </row>
    <row r="473" ht="15" customHeight="1" s="20">
      <c r="A473" s="25">
        <f>IF($K473="","",IF(INDEX('Prospect Tracker'!$W$5:$W$554,$K473)="","",INDEX('Prospect Tracker'!$W$5:$W$554,$K473)))</f>
        <v/>
      </c>
      <c r="B473" s="25">
        <f>IF($K473="","",IF(INDEX('Prospect Tracker'!$A$5:$A$554,$K473)="","",INDEX('Prospect Tracker'!$A$5:$A$554,$K473)))</f>
        <v/>
      </c>
      <c r="C473" s="25">
        <f>IF($K473="","",IF(INDEX('Prospect Tracker'!$B$5:$B$554,$K473)="","",INDEX('Prospect Tracker'!$B$5:$B$554,$K473)))</f>
        <v/>
      </c>
      <c r="D473" s="25">
        <f>IF($K473="","",IF(INDEX('Prospect Tracker'!$M$5:$M$554,$K473)="","",INDEX('Prospect Tracker'!$M$5:$M$554,$K473)))</f>
        <v/>
      </c>
      <c r="E473" s="25">
        <f>IF($K473="","",IF(INDEX('Prospect Tracker'!$R$5:$R$554,$K473)="","",INDEX('Prospect Tracker'!$R$5:$R$554,$K473)))</f>
        <v/>
      </c>
      <c r="F473" s="25">
        <f>IF($K473="","",IF(INDEX('Prospect Tracker'!$J$5:$J$554,$K473)="","",INDEX('Prospect Tracker'!$J$5:$J$554,$K473)))</f>
        <v/>
      </c>
      <c r="G473" s="25">
        <f>IF($K473="","",IF(INDEX('Prospect Tracker'!$H$5:$H$554,$K473)="","",INDEX('Prospect Tracker'!$H$5:$H$554,$K473)))</f>
        <v/>
      </c>
      <c r="H473" s="26">
        <f>IF($K473="","",IF(INDEX('Prospect Tracker'!$K$5:$K$554,$K473)="","",INDEX('Prospect Tracker'!$K$5:$K$554,$K473)))</f>
        <v/>
      </c>
      <c r="I473" s="25">
        <f>IF($K473="","",IF(INDEX('Prospect Tracker'!$T$5:$T$554,$K473)="","",INDEX('Prospect Tracker'!$T$5:$T$554,$K473)))</f>
        <v/>
      </c>
      <c r="J473" s="25">
        <f>IF($K473="","",IF(INDEX('Prospect Tracker'!$L$5:$L$554,$K473)="","",INDEX('Prospect Tracker'!$L$5:$L$554,$K473)))</f>
        <v/>
      </c>
      <c r="K473" s="19">
        <f>IFERROR(MATCH(SMALL('Prospect Tracker'!$X$5:$X$554,ROW()-4),'Prospect Tracker'!$X$5:$X$554,0),"")</f>
        <v/>
      </c>
    </row>
    <row r="474" ht="15" customHeight="1" s="20">
      <c r="A474" s="30">
        <f>IF($K474="","",IF(INDEX('Prospect Tracker'!$W$5:$W$554,$K474)="","",INDEX('Prospect Tracker'!$W$5:$W$554,$K474)))</f>
        <v/>
      </c>
      <c r="B474" s="30">
        <f>IF($K474="","",IF(INDEX('Prospect Tracker'!$A$5:$A$554,$K474)="","",INDEX('Prospect Tracker'!$A$5:$A$554,$K474)))</f>
        <v/>
      </c>
      <c r="C474" s="30">
        <f>IF($K474="","",IF(INDEX('Prospect Tracker'!$B$5:$B$554,$K474)="","",INDEX('Prospect Tracker'!$B$5:$B$554,$K474)))</f>
        <v/>
      </c>
      <c r="D474" s="30">
        <f>IF($K474="","",IF(INDEX('Prospect Tracker'!$M$5:$M$554,$K474)="","",INDEX('Prospect Tracker'!$M$5:$M$554,$K474)))</f>
        <v/>
      </c>
      <c r="E474" s="30">
        <f>IF($K474="","",IF(INDEX('Prospect Tracker'!$R$5:$R$554,$K474)="","",INDEX('Prospect Tracker'!$R$5:$R$554,$K474)))</f>
        <v/>
      </c>
      <c r="F474" s="30">
        <f>IF($K474="","",IF(INDEX('Prospect Tracker'!$J$5:$J$554,$K474)="","",INDEX('Prospect Tracker'!$J$5:$J$554,$K474)))</f>
        <v/>
      </c>
      <c r="G474" s="30">
        <f>IF($K474="","",IF(INDEX('Prospect Tracker'!$H$5:$H$554,$K474)="","",INDEX('Prospect Tracker'!$H$5:$H$554,$K474)))</f>
        <v/>
      </c>
      <c r="H474" s="31">
        <f>IF($K474="","",IF(INDEX('Prospect Tracker'!$K$5:$K$554,$K474)="","",INDEX('Prospect Tracker'!$K$5:$K$554,$K474)))</f>
        <v/>
      </c>
      <c r="I474" s="30">
        <f>IF($K474="","",IF(INDEX('Prospect Tracker'!$T$5:$T$554,$K474)="","",INDEX('Prospect Tracker'!$T$5:$T$554,$K474)))</f>
        <v/>
      </c>
      <c r="J474" s="30">
        <f>IF($K474="","",IF(INDEX('Prospect Tracker'!$L$5:$L$554,$K474)="","",INDEX('Prospect Tracker'!$L$5:$L$554,$K474)))</f>
        <v/>
      </c>
      <c r="K474" s="19">
        <f>IFERROR(MATCH(SMALL('Prospect Tracker'!$X$5:$X$554,ROW()-4),'Prospect Tracker'!$X$5:$X$554,0),"")</f>
        <v/>
      </c>
    </row>
    <row r="475" ht="15" customHeight="1" s="20">
      <c r="A475" s="25">
        <f>IF($K475="","",IF(INDEX('Prospect Tracker'!$W$5:$W$554,$K475)="","",INDEX('Prospect Tracker'!$W$5:$W$554,$K475)))</f>
        <v/>
      </c>
      <c r="B475" s="25">
        <f>IF($K475="","",IF(INDEX('Prospect Tracker'!$A$5:$A$554,$K475)="","",INDEX('Prospect Tracker'!$A$5:$A$554,$K475)))</f>
        <v/>
      </c>
      <c r="C475" s="25">
        <f>IF($K475="","",IF(INDEX('Prospect Tracker'!$B$5:$B$554,$K475)="","",INDEX('Prospect Tracker'!$B$5:$B$554,$K475)))</f>
        <v/>
      </c>
      <c r="D475" s="25">
        <f>IF($K475="","",IF(INDEX('Prospect Tracker'!$M$5:$M$554,$K475)="","",INDEX('Prospect Tracker'!$M$5:$M$554,$K475)))</f>
        <v/>
      </c>
      <c r="E475" s="25">
        <f>IF($K475="","",IF(INDEX('Prospect Tracker'!$R$5:$R$554,$K475)="","",INDEX('Prospect Tracker'!$R$5:$R$554,$K475)))</f>
        <v/>
      </c>
      <c r="F475" s="25">
        <f>IF($K475="","",IF(INDEX('Prospect Tracker'!$J$5:$J$554,$K475)="","",INDEX('Prospect Tracker'!$J$5:$J$554,$K475)))</f>
        <v/>
      </c>
      <c r="G475" s="25">
        <f>IF($K475="","",IF(INDEX('Prospect Tracker'!$H$5:$H$554,$K475)="","",INDEX('Prospect Tracker'!$H$5:$H$554,$K475)))</f>
        <v/>
      </c>
      <c r="H475" s="26">
        <f>IF($K475="","",IF(INDEX('Prospect Tracker'!$K$5:$K$554,$K475)="","",INDEX('Prospect Tracker'!$K$5:$K$554,$K475)))</f>
        <v/>
      </c>
      <c r="I475" s="25">
        <f>IF($K475="","",IF(INDEX('Prospect Tracker'!$T$5:$T$554,$K475)="","",INDEX('Prospect Tracker'!$T$5:$T$554,$K475)))</f>
        <v/>
      </c>
      <c r="J475" s="25">
        <f>IF($K475="","",IF(INDEX('Prospect Tracker'!$L$5:$L$554,$K475)="","",INDEX('Prospect Tracker'!$L$5:$L$554,$K475)))</f>
        <v/>
      </c>
      <c r="K475" s="19">
        <f>IFERROR(MATCH(SMALL('Prospect Tracker'!$X$5:$X$554,ROW()-4),'Prospect Tracker'!$X$5:$X$554,0),"")</f>
        <v/>
      </c>
    </row>
    <row r="476" ht="15" customHeight="1" s="20">
      <c r="A476" s="30">
        <f>IF($K476="","",IF(INDEX('Prospect Tracker'!$W$5:$W$554,$K476)="","",INDEX('Prospect Tracker'!$W$5:$W$554,$K476)))</f>
        <v/>
      </c>
      <c r="B476" s="30">
        <f>IF($K476="","",IF(INDEX('Prospect Tracker'!$A$5:$A$554,$K476)="","",INDEX('Prospect Tracker'!$A$5:$A$554,$K476)))</f>
        <v/>
      </c>
      <c r="C476" s="30">
        <f>IF($K476="","",IF(INDEX('Prospect Tracker'!$B$5:$B$554,$K476)="","",INDEX('Prospect Tracker'!$B$5:$B$554,$K476)))</f>
        <v/>
      </c>
      <c r="D476" s="30">
        <f>IF($K476="","",IF(INDEX('Prospect Tracker'!$M$5:$M$554,$K476)="","",INDEX('Prospect Tracker'!$M$5:$M$554,$K476)))</f>
        <v/>
      </c>
      <c r="E476" s="30">
        <f>IF($K476="","",IF(INDEX('Prospect Tracker'!$R$5:$R$554,$K476)="","",INDEX('Prospect Tracker'!$R$5:$R$554,$K476)))</f>
        <v/>
      </c>
      <c r="F476" s="30">
        <f>IF($K476="","",IF(INDEX('Prospect Tracker'!$J$5:$J$554,$K476)="","",INDEX('Prospect Tracker'!$J$5:$J$554,$K476)))</f>
        <v/>
      </c>
      <c r="G476" s="30">
        <f>IF($K476="","",IF(INDEX('Prospect Tracker'!$H$5:$H$554,$K476)="","",INDEX('Prospect Tracker'!$H$5:$H$554,$K476)))</f>
        <v/>
      </c>
      <c r="H476" s="31">
        <f>IF($K476="","",IF(INDEX('Prospect Tracker'!$K$5:$K$554,$K476)="","",INDEX('Prospect Tracker'!$K$5:$K$554,$K476)))</f>
        <v/>
      </c>
      <c r="I476" s="30">
        <f>IF($K476="","",IF(INDEX('Prospect Tracker'!$T$5:$T$554,$K476)="","",INDEX('Prospect Tracker'!$T$5:$T$554,$K476)))</f>
        <v/>
      </c>
      <c r="J476" s="30">
        <f>IF($K476="","",IF(INDEX('Prospect Tracker'!$L$5:$L$554,$K476)="","",INDEX('Prospect Tracker'!$L$5:$L$554,$K476)))</f>
        <v/>
      </c>
      <c r="K476" s="19">
        <f>IFERROR(MATCH(SMALL('Prospect Tracker'!$X$5:$X$554,ROW()-4),'Prospect Tracker'!$X$5:$X$554,0),"")</f>
        <v/>
      </c>
    </row>
    <row r="477" ht="15" customHeight="1" s="20">
      <c r="A477" s="25">
        <f>IF($K477="","",IF(INDEX('Prospect Tracker'!$W$5:$W$554,$K477)="","",INDEX('Prospect Tracker'!$W$5:$W$554,$K477)))</f>
        <v/>
      </c>
      <c r="B477" s="25">
        <f>IF($K477="","",IF(INDEX('Prospect Tracker'!$A$5:$A$554,$K477)="","",INDEX('Prospect Tracker'!$A$5:$A$554,$K477)))</f>
        <v/>
      </c>
      <c r="C477" s="25">
        <f>IF($K477="","",IF(INDEX('Prospect Tracker'!$B$5:$B$554,$K477)="","",INDEX('Prospect Tracker'!$B$5:$B$554,$K477)))</f>
        <v/>
      </c>
      <c r="D477" s="25">
        <f>IF($K477="","",IF(INDEX('Prospect Tracker'!$M$5:$M$554,$K477)="","",INDEX('Prospect Tracker'!$M$5:$M$554,$K477)))</f>
        <v/>
      </c>
      <c r="E477" s="25">
        <f>IF($K477="","",IF(INDEX('Prospect Tracker'!$R$5:$R$554,$K477)="","",INDEX('Prospect Tracker'!$R$5:$R$554,$K477)))</f>
        <v/>
      </c>
      <c r="F477" s="25">
        <f>IF($K477="","",IF(INDEX('Prospect Tracker'!$J$5:$J$554,$K477)="","",INDEX('Prospect Tracker'!$J$5:$J$554,$K477)))</f>
        <v/>
      </c>
      <c r="G477" s="25">
        <f>IF($K477="","",IF(INDEX('Prospect Tracker'!$H$5:$H$554,$K477)="","",INDEX('Prospect Tracker'!$H$5:$H$554,$K477)))</f>
        <v/>
      </c>
      <c r="H477" s="26">
        <f>IF($K477="","",IF(INDEX('Prospect Tracker'!$K$5:$K$554,$K477)="","",INDEX('Prospect Tracker'!$K$5:$K$554,$K477)))</f>
        <v/>
      </c>
      <c r="I477" s="25">
        <f>IF($K477="","",IF(INDEX('Prospect Tracker'!$T$5:$T$554,$K477)="","",INDEX('Prospect Tracker'!$T$5:$T$554,$K477)))</f>
        <v/>
      </c>
      <c r="J477" s="25">
        <f>IF($K477="","",IF(INDEX('Prospect Tracker'!$L$5:$L$554,$K477)="","",INDEX('Prospect Tracker'!$L$5:$L$554,$K477)))</f>
        <v/>
      </c>
      <c r="K477" s="19">
        <f>IFERROR(MATCH(SMALL('Prospect Tracker'!$X$5:$X$554,ROW()-4),'Prospect Tracker'!$X$5:$X$554,0),"")</f>
        <v/>
      </c>
    </row>
    <row r="478" ht="15" customHeight="1" s="20">
      <c r="A478" s="30">
        <f>IF($K478="","",IF(INDEX('Prospect Tracker'!$W$5:$W$554,$K478)="","",INDEX('Prospect Tracker'!$W$5:$W$554,$K478)))</f>
        <v/>
      </c>
      <c r="B478" s="30">
        <f>IF($K478="","",IF(INDEX('Prospect Tracker'!$A$5:$A$554,$K478)="","",INDEX('Prospect Tracker'!$A$5:$A$554,$K478)))</f>
        <v/>
      </c>
      <c r="C478" s="30">
        <f>IF($K478="","",IF(INDEX('Prospect Tracker'!$B$5:$B$554,$K478)="","",INDEX('Prospect Tracker'!$B$5:$B$554,$K478)))</f>
        <v/>
      </c>
      <c r="D478" s="30">
        <f>IF($K478="","",IF(INDEX('Prospect Tracker'!$M$5:$M$554,$K478)="","",INDEX('Prospect Tracker'!$M$5:$M$554,$K478)))</f>
        <v/>
      </c>
      <c r="E478" s="30">
        <f>IF($K478="","",IF(INDEX('Prospect Tracker'!$R$5:$R$554,$K478)="","",INDEX('Prospect Tracker'!$R$5:$R$554,$K478)))</f>
        <v/>
      </c>
      <c r="F478" s="30">
        <f>IF($K478="","",IF(INDEX('Prospect Tracker'!$J$5:$J$554,$K478)="","",INDEX('Prospect Tracker'!$J$5:$J$554,$K478)))</f>
        <v/>
      </c>
      <c r="G478" s="30">
        <f>IF($K478="","",IF(INDEX('Prospect Tracker'!$H$5:$H$554,$K478)="","",INDEX('Prospect Tracker'!$H$5:$H$554,$K478)))</f>
        <v/>
      </c>
      <c r="H478" s="31">
        <f>IF($K478="","",IF(INDEX('Prospect Tracker'!$K$5:$K$554,$K478)="","",INDEX('Prospect Tracker'!$K$5:$K$554,$K478)))</f>
        <v/>
      </c>
      <c r="I478" s="30">
        <f>IF($K478="","",IF(INDEX('Prospect Tracker'!$T$5:$T$554,$K478)="","",INDEX('Prospect Tracker'!$T$5:$T$554,$K478)))</f>
        <v/>
      </c>
      <c r="J478" s="30">
        <f>IF($K478="","",IF(INDEX('Prospect Tracker'!$L$5:$L$554,$K478)="","",INDEX('Prospect Tracker'!$L$5:$L$554,$K478)))</f>
        <v/>
      </c>
      <c r="K478" s="19">
        <f>IFERROR(MATCH(SMALL('Prospect Tracker'!$X$5:$X$554,ROW()-4),'Prospect Tracker'!$X$5:$X$554,0),"")</f>
        <v/>
      </c>
    </row>
    <row r="479" ht="15" customHeight="1" s="20">
      <c r="A479" s="25">
        <f>IF($K479="","",IF(INDEX('Prospect Tracker'!$W$5:$W$554,$K479)="","",INDEX('Prospect Tracker'!$W$5:$W$554,$K479)))</f>
        <v/>
      </c>
      <c r="B479" s="25">
        <f>IF($K479="","",IF(INDEX('Prospect Tracker'!$A$5:$A$554,$K479)="","",INDEX('Prospect Tracker'!$A$5:$A$554,$K479)))</f>
        <v/>
      </c>
      <c r="C479" s="25">
        <f>IF($K479="","",IF(INDEX('Prospect Tracker'!$B$5:$B$554,$K479)="","",INDEX('Prospect Tracker'!$B$5:$B$554,$K479)))</f>
        <v/>
      </c>
      <c r="D479" s="25">
        <f>IF($K479="","",IF(INDEX('Prospect Tracker'!$M$5:$M$554,$K479)="","",INDEX('Prospect Tracker'!$M$5:$M$554,$K479)))</f>
        <v/>
      </c>
      <c r="E479" s="25">
        <f>IF($K479="","",IF(INDEX('Prospect Tracker'!$R$5:$R$554,$K479)="","",INDEX('Prospect Tracker'!$R$5:$R$554,$K479)))</f>
        <v/>
      </c>
      <c r="F479" s="25">
        <f>IF($K479="","",IF(INDEX('Prospect Tracker'!$J$5:$J$554,$K479)="","",INDEX('Prospect Tracker'!$J$5:$J$554,$K479)))</f>
        <v/>
      </c>
      <c r="G479" s="25">
        <f>IF($K479="","",IF(INDEX('Prospect Tracker'!$H$5:$H$554,$K479)="","",INDEX('Prospect Tracker'!$H$5:$H$554,$K479)))</f>
        <v/>
      </c>
      <c r="H479" s="26">
        <f>IF($K479="","",IF(INDEX('Prospect Tracker'!$K$5:$K$554,$K479)="","",INDEX('Prospect Tracker'!$K$5:$K$554,$K479)))</f>
        <v/>
      </c>
      <c r="I479" s="25">
        <f>IF($K479="","",IF(INDEX('Prospect Tracker'!$T$5:$T$554,$K479)="","",INDEX('Prospect Tracker'!$T$5:$T$554,$K479)))</f>
        <v/>
      </c>
      <c r="J479" s="25">
        <f>IF($K479="","",IF(INDEX('Prospect Tracker'!$L$5:$L$554,$K479)="","",INDEX('Prospect Tracker'!$L$5:$L$554,$K479)))</f>
        <v/>
      </c>
      <c r="K479" s="19">
        <f>IFERROR(MATCH(SMALL('Prospect Tracker'!$X$5:$X$554,ROW()-4),'Prospect Tracker'!$X$5:$X$554,0),"")</f>
        <v/>
      </c>
    </row>
    <row r="480" ht="15" customHeight="1" s="20">
      <c r="A480" s="30">
        <f>IF($K480="","",IF(INDEX('Prospect Tracker'!$W$5:$W$554,$K480)="","",INDEX('Prospect Tracker'!$W$5:$W$554,$K480)))</f>
        <v/>
      </c>
      <c r="B480" s="30">
        <f>IF($K480="","",IF(INDEX('Prospect Tracker'!$A$5:$A$554,$K480)="","",INDEX('Prospect Tracker'!$A$5:$A$554,$K480)))</f>
        <v/>
      </c>
      <c r="C480" s="30">
        <f>IF($K480="","",IF(INDEX('Prospect Tracker'!$B$5:$B$554,$K480)="","",INDEX('Prospect Tracker'!$B$5:$B$554,$K480)))</f>
        <v/>
      </c>
      <c r="D480" s="30">
        <f>IF($K480="","",IF(INDEX('Prospect Tracker'!$M$5:$M$554,$K480)="","",INDEX('Prospect Tracker'!$M$5:$M$554,$K480)))</f>
        <v/>
      </c>
      <c r="E480" s="30">
        <f>IF($K480="","",IF(INDEX('Prospect Tracker'!$R$5:$R$554,$K480)="","",INDEX('Prospect Tracker'!$R$5:$R$554,$K480)))</f>
        <v/>
      </c>
      <c r="F480" s="30">
        <f>IF($K480="","",IF(INDEX('Prospect Tracker'!$J$5:$J$554,$K480)="","",INDEX('Prospect Tracker'!$J$5:$J$554,$K480)))</f>
        <v/>
      </c>
      <c r="G480" s="30">
        <f>IF($K480="","",IF(INDEX('Prospect Tracker'!$H$5:$H$554,$K480)="","",INDEX('Prospect Tracker'!$H$5:$H$554,$K480)))</f>
        <v/>
      </c>
      <c r="H480" s="31">
        <f>IF($K480="","",IF(INDEX('Prospect Tracker'!$K$5:$K$554,$K480)="","",INDEX('Prospect Tracker'!$K$5:$K$554,$K480)))</f>
        <v/>
      </c>
      <c r="I480" s="30">
        <f>IF($K480="","",IF(INDEX('Prospect Tracker'!$T$5:$T$554,$K480)="","",INDEX('Prospect Tracker'!$T$5:$T$554,$K480)))</f>
        <v/>
      </c>
      <c r="J480" s="30">
        <f>IF($K480="","",IF(INDEX('Prospect Tracker'!$L$5:$L$554,$K480)="","",INDEX('Prospect Tracker'!$L$5:$L$554,$K480)))</f>
        <v/>
      </c>
      <c r="K480" s="19">
        <f>IFERROR(MATCH(SMALL('Prospect Tracker'!$X$5:$X$554,ROW()-4),'Prospect Tracker'!$X$5:$X$554,0),"")</f>
        <v/>
      </c>
    </row>
    <row r="481" ht="15" customHeight="1" s="20">
      <c r="A481" s="25">
        <f>IF($K481="","",IF(INDEX('Prospect Tracker'!$W$5:$W$554,$K481)="","",INDEX('Prospect Tracker'!$W$5:$W$554,$K481)))</f>
        <v/>
      </c>
      <c r="B481" s="25">
        <f>IF($K481="","",IF(INDEX('Prospect Tracker'!$A$5:$A$554,$K481)="","",INDEX('Prospect Tracker'!$A$5:$A$554,$K481)))</f>
        <v/>
      </c>
      <c r="C481" s="25">
        <f>IF($K481="","",IF(INDEX('Prospect Tracker'!$B$5:$B$554,$K481)="","",INDEX('Prospect Tracker'!$B$5:$B$554,$K481)))</f>
        <v/>
      </c>
      <c r="D481" s="25">
        <f>IF($K481="","",IF(INDEX('Prospect Tracker'!$M$5:$M$554,$K481)="","",INDEX('Prospect Tracker'!$M$5:$M$554,$K481)))</f>
        <v/>
      </c>
      <c r="E481" s="25">
        <f>IF($K481="","",IF(INDEX('Prospect Tracker'!$R$5:$R$554,$K481)="","",INDEX('Prospect Tracker'!$R$5:$R$554,$K481)))</f>
        <v/>
      </c>
      <c r="F481" s="25">
        <f>IF($K481="","",IF(INDEX('Prospect Tracker'!$J$5:$J$554,$K481)="","",INDEX('Prospect Tracker'!$J$5:$J$554,$K481)))</f>
        <v/>
      </c>
      <c r="G481" s="25">
        <f>IF($K481="","",IF(INDEX('Prospect Tracker'!$H$5:$H$554,$K481)="","",INDEX('Prospect Tracker'!$H$5:$H$554,$K481)))</f>
        <v/>
      </c>
      <c r="H481" s="26">
        <f>IF($K481="","",IF(INDEX('Prospect Tracker'!$K$5:$K$554,$K481)="","",INDEX('Prospect Tracker'!$K$5:$K$554,$K481)))</f>
        <v/>
      </c>
      <c r="I481" s="25">
        <f>IF($K481="","",IF(INDEX('Prospect Tracker'!$T$5:$T$554,$K481)="","",INDEX('Prospect Tracker'!$T$5:$T$554,$K481)))</f>
        <v/>
      </c>
      <c r="J481" s="25">
        <f>IF($K481="","",IF(INDEX('Prospect Tracker'!$L$5:$L$554,$K481)="","",INDEX('Prospect Tracker'!$L$5:$L$554,$K481)))</f>
        <v/>
      </c>
      <c r="K481" s="19">
        <f>IFERROR(MATCH(SMALL('Prospect Tracker'!$X$5:$X$554,ROW()-4),'Prospect Tracker'!$X$5:$X$554,0),"")</f>
        <v/>
      </c>
    </row>
    <row r="482" ht="15" customHeight="1" s="20">
      <c r="A482" s="30">
        <f>IF($K482="","",IF(INDEX('Prospect Tracker'!$W$5:$W$554,$K482)="","",INDEX('Prospect Tracker'!$W$5:$W$554,$K482)))</f>
        <v/>
      </c>
      <c r="B482" s="30">
        <f>IF($K482="","",IF(INDEX('Prospect Tracker'!$A$5:$A$554,$K482)="","",INDEX('Prospect Tracker'!$A$5:$A$554,$K482)))</f>
        <v/>
      </c>
      <c r="C482" s="30">
        <f>IF($K482="","",IF(INDEX('Prospect Tracker'!$B$5:$B$554,$K482)="","",INDEX('Prospect Tracker'!$B$5:$B$554,$K482)))</f>
        <v/>
      </c>
      <c r="D482" s="30">
        <f>IF($K482="","",IF(INDEX('Prospect Tracker'!$M$5:$M$554,$K482)="","",INDEX('Prospect Tracker'!$M$5:$M$554,$K482)))</f>
        <v/>
      </c>
      <c r="E482" s="30">
        <f>IF($K482="","",IF(INDEX('Prospect Tracker'!$R$5:$R$554,$K482)="","",INDEX('Prospect Tracker'!$R$5:$R$554,$K482)))</f>
        <v/>
      </c>
      <c r="F482" s="30">
        <f>IF($K482="","",IF(INDEX('Prospect Tracker'!$J$5:$J$554,$K482)="","",INDEX('Prospect Tracker'!$J$5:$J$554,$K482)))</f>
        <v/>
      </c>
      <c r="G482" s="30">
        <f>IF($K482="","",IF(INDEX('Prospect Tracker'!$H$5:$H$554,$K482)="","",INDEX('Prospect Tracker'!$H$5:$H$554,$K482)))</f>
        <v/>
      </c>
      <c r="H482" s="31">
        <f>IF($K482="","",IF(INDEX('Prospect Tracker'!$K$5:$K$554,$K482)="","",INDEX('Prospect Tracker'!$K$5:$K$554,$K482)))</f>
        <v/>
      </c>
      <c r="I482" s="30">
        <f>IF($K482="","",IF(INDEX('Prospect Tracker'!$T$5:$T$554,$K482)="","",INDEX('Prospect Tracker'!$T$5:$T$554,$K482)))</f>
        <v/>
      </c>
      <c r="J482" s="30">
        <f>IF($K482="","",IF(INDEX('Prospect Tracker'!$L$5:$L$554,$K482)="","",INDEX('Prospect Tracker'!$L$5:$L$554,$K482)))</f>
        <v/>
      </c>
      <c r="K482" s="19">
        <f>IFERROR(MATCH(SMALL('Prospect Tracker'!$X$5:$X$554,ROW()-4),'Prospect Tracker'!$X$5:$X$554,0),"")</f>
        <v/>
      </c>
    </row>
    <row r="483" ht="15" customHeight="1" s="20">
      <c r="A483" s="25">
        <f>IF($K483="","",IF(INDEX('Prospect Tracker'!$W$5:$W$554,$K483)="","",INDEX('Prospect Tracker'!$W$5:$W$554,$K483)))</f>
        <v/>
      </c>
      <c r="B483" s="25">
        <f>IF($K483="","",IF(INDEX('Prospect Tracker'!$A$5:$A$554,$K483)="","",INDEX('Prospect Tracker'!$A$5:$A$554,$K483)))</f>
        <v/>
      </c>
      <c r="C483" s="25">
        <f>IF($K483="","",IF(INDEX('Prospect Tracker'!$B$5:$B$554,$K483)="","",INDEX('Prospect Tracker'!$B$5:$B$554,$K483)))</f>
        <v/>
      </c>
      <c r="D483" s="25">
        <f>IF($K483="","",IF(INDEX('Prospect Tracker'!$M$5:$M$554,$K483)="","",INDEX('Prospect Tracker'!$M$5:$M$554,$K483)))</f>
        <v/>
      </c>
      <c r="E483" s="25">
        <f>IF($K483="","",IF(INDEX('Prospect Tracker'!$R$5:$R$554,$K483)="","",INDEX('Prospect Tracker'!$R$5:$R$554,$K483)))</f>
        <v/>
      </c>
      <c r="F483" s="25">
        <f>IF($K483="","",IF(INDEX('Prospect Tracker'!$J$5:$J$554,$K483)="","",INDEX('Prospect Tracker'!$J$5:$J$554,$K483)))</f>
        <v/>
      </c>
      <c r="G483" s="25">
        <f>IF($K483="","",IF(INDEX('Prospect Tracker'!$H$5:$H$554,$K483)="","",INDEX('Prospect Tracker'!$H$5:$H$554,$K483)))</f>
        <v/>
      </c>
      <c r="H483" s="26">
        <f>IF($K483="","",IF(INDEX('Prospect Tracker'!$K$5:$K$554,$K483)="","",INDEX('Prospect Tracker'!$K$5:$K$554,$K483)))</f>
        <v/>
      </c>
      <c r="I483" s="25">
        <f>IF($K483="","",IF(INDEX('Prospect Tracker'!$T$5:$T$554,$K483)="","",INDEX('Prospect Tracker'!$T$5:$T$554,$K483)))</f>
        <v/>
      </c>
      <c r="J483" s="25">
        <f>IF($K483="","",IF(INDEX('Prospect Tracker'!$L$5:$L$554,$K483)="","",INDEX('Prospect Tracker'!$L$5:$L$554,$K483)))</f>
        <v/>
      </c>
      <c r="K483" s="19">
        <f>IFERROR(MATCH(SMALL('Prospect Tracker'!$X$5:$X$554,ROW()-4),'Prospect Tracker'!$X$5:$X$554,0),"")</f>
        <v/>
      </c>
    </row>
    <row r="484" ht="15" customHeight="1" s="20">
      <c r="A484" s="30">
        <f>IF($K484="","",IF(INDEX('Prospect Tracker'!$W$5:$W$554,$K484)="","",INDEX('Prospect Tracker'!$W$5:$W$554,$K484)))</f>
        <v/>
      </c>
      <c r="B484" s="30">
        <f>IF($K484="","",IF(INDEX('Prospect Tracker'!$A$5:$A$554,$K484)="","",INDEX('Prospect Tracker'!$A$5:$A$554,$K484)))</f>
        <v/>
      </c>
      <c r="C484" s="30">
        <f>IF($K484="","",IF(INDEX('Prospect Tracker'!$B$5:$B$554,$K484)="","",INDEX('Prospect Tracker'!$B$5:$B$554,$K484)))</f>
        <v/>
      </c>
      <c r="D484" s="30">
        <f>IF($K484="","",IF(INDEX('Prospect Tracker'!$M$5:$M$554,$K484)="","",INDEX('Prospect Tracker'!$M$5:$M$554,$K484)))</f>
        <v/>
      </c>
      <c r="E484" s="30">
        <f>IF($K484="","",IF(INDEX('Prospect Tracker'!$R$5:$R$554,$K484)="","",INDEX('Prospect Tracker'!$R$5:$R$554,$K484)))</f>
        <v/>
      </c>
      <c r="F484" s="30">
        <f>IF($K484="","",IF(INDEX('Prospect Tracker'!$J$5:$J$554,$K484)="","",INDEX('Prospect Tracker'!$J$5:$J$554,$K484)))</f>
        <v/>
      </c>
      <c r="G484" s="30">
        <f>IF($K484="","",IF(INDEX('Prospect Tracker'!$H$5:$H$554,$K484)="","",INDEX('Prospect Tracker'!$H$5:$H$554,$K484)))</f>
        <v/>
      </c>
      <c r="H484" s="31">
        <f>IF($K484="","",IF(INDEX('Prospect Tracker'!$K$5:$K$554,$K484)="","",INDEX('Prospect Tracker'!$K$5:$K$554,$K484)))</f>
        <v/>
      </c>
      <c r="I484" s="30">
        <f>IF($K484="","",IF(INDEX('Prospect Tracker'!$T$5:$T$554,$K484)="","",INDEX('Prospect Tracker'!$T$5:$T$554,$K484)))</f>
        <v/>
      </c>
      <c r="J484" s="30">
        <f>IF($K484="","",IF(INDEX('Prospect Tracker'!$L$5:$L$554,$K484)="","",INDEX('Prospect Tracker'!$L$5:$L$554,$K484)))</f>
        <v/>
      </c>
      <c r="K484" s="19">
        <f>IFERROR(MATCH(SMALL('Prospect Tracker'!$X$5:$X$554,ROW()-4),'Prospect Tracker'!$X$5:$X$554,0),"")</f>
        <v/>
      </c>
    </row>
    <row r="485" ht="15" customHeight="1" s="20">
      <c r="A485" s="25">
        <f>IF($K485="","",IF(INDEX('Prospect Tracker'!$W$5:$W$554,$K485)="","",INDEX('Prospect Tracker'!$W$5:$W$554,$K485)))</f>
        <v/>
      </c>
      <c r="B485" s="25">
        <f>IF($K485="","",IF(INDEX('Prospect Tracker'!$A$5:$A$554,$K485)="","",INDEX('Prospect Tracker'!$A$5:$A$554,$K485)))</f>
        <v/>
      </c>
      <c r="C485" s="25">
        <f>IF($K485="","",IF(INDEX('Prospect Tracker'!$B$5:$B$554,$K485)="","",INDEX('Prospect Tracker'!$B$5:$B$554,$K485)))</f>
        <v/>
      </c>
      <c r="D485" s="25">
        <f>IF($K485="","",IF(INDEX('Prospect Tracker'!$M$5:$M$554,$K485)="","",INDEX('Prospect Tracker'!$M$5:$M$554,$K485)))</f>
        <v/>
      </c>
      <c r="E485" s="25">
        <f>IF($K485="","",IF(INDEX('Prospect Tracker'!$R$5:$R$554,$K485)="","",INDEX('Prospect Tracker'!$R$5:$R$554,$K485)))</f>
        <v/>
      </c>
      <c r="F485" s="25">
        <f>IF($K485="","",IF(INDEX('Prospect Tracker'!$J$5:$J$554,$K485)="","",INDEX('Prospect Tracker'!$J$5:$J$554,$K485)))</f>
        <v/>
      </c>
      <c r="G485" s="25">
        <f>IF($K485="","",IF(INDEX('Prospect Tracker'!$H$5:$H$554,$K485)="","",INDEX('Prospect Tracker'!$H$5:$H$554,$K485)))</f>
        <v/>
      </c>
      <c r="H485" s="26">
        <f>IF($K485="","",IF(INDEX('Prospect Tracker'!$K$5:$K$554,$K485)="","",INDEX('Prospect Tracker'!$K$5:$K$554,$K485)))</f>
        <v/>
      </c>
      <c r="I485" s="25">
        <f>IF($K485="","",IF(INDEX('Prospect Tracker'!$T$5:$T$554,$K485)="","",INDEX('Prospect Tracker'!$T$5:$T$554,$K485)))</f>
        <v/>
      </c>
      <c r="J485" s="25">
        <f>IF($K485="","",IF(INDEX('Prospect Tracker'!$L$5:$L$554,$K485)="","",INDEX('Prospect Tracker'!$L$5:$L$554,$K485)))</f>
        <v/>
      </c>
      <c r="K485" s="19">
        <f>IFERROR(MATCH(SMALL('Prospect Tracker'!$X$5:$X$554,ROW()-4),'Prospect Tracker'!$X$5:$X$554,0),"")</f>
        <v/>
      </c>
    </row>
    <row r="486" ht="15" customHeight="1" s="20">
      <c r="A486" s="30">
        <f>IF($K486="","",IF(INDEX('Prospect Tracker'!$W$5:$W$554,$K486)="","",INDEX('Prospect Tracker'!$W$5:$W$554,$K486)))</f>
        <v/>
      </c>
      <c r="B486" s="30">
        <f>IF($K486="","",IF(INDEX('Prospect Tracker'!$A$5:$A$554,$K486)="","",INDEX('Prospect Tracker'!$A$5:$A$554,$K486)))</f>
        <v/>
      </c>
      <c r="C486" s="30">
        <f>IF($K486="","",IF(INDEX('Prospect Tracker'!$B$5:$B$554,$K486)="","",INDEX('Prospect Tracker'!$B$5:$B$554,$K486)))</f>
        <v/>
      </c>
      <c r="D486" s="30">
        <f>IF($K486="","",IF(INDEX('Prospect Tracker'!$M$5:$M$554,$K486)="","",INDEX('Prospect Tracker'!$M$5:$M$554,$K486)))</f>
        <v/>
      </c>
      <c r="E486" s="30">
        <f>IF($K486="","",IF(INDEX('Prospect Tracker'!$R$5:$R$554,$K486)="","",INDEX('Prospect Tracker'!$R$5:$R$554,$K486)))</f>
        <v/>
      </c>
      <c r="F486" s="30">
        <f>IF($K486="","",IF(INDEX('Prospect Tracker'!$J$5:$J$554,$K486)="","",INDEX('Prospect Tracker'!$J$5:$J$554,$K486)))</f>
        <v/>
      </c>
      <c r="G486" s="30">
        <f>IF($K486="","",IF(INDEX('Prospect Tracker'!$H$5:$H$554,$K486)="","",INDEX('Prospect Tracker'!$H$5:$H$554,$K486)))</f>
        <v/>
      </c>
      <c r="H486" s="31">
        <f>IF($K486="","",IF(INDEX('Prospect Tracker'!$K$5:$K$554,$K486)="","",INDEX('Prospect Tracker'!$K$5:$K$554,$K486)))</f>
        <v/>
      </c>
      <c r="I486" s="30">
        <f>IF($K486="","",IF(INDEX('Prospect Tracker'!$T$5:$T$554,$K486)="","",INDEX('Prospect Tracker'!$T$5:$T$554,$K486)))</f>
        <v/>
      </c>
      <c r="J486" s="30">
        <f>IF($K486="","",IF(INDEX('Prospect Tracker'!$L$5:$L$554,$K486)="","",INDEX('Prospect Tracker'!$L$5:$L$554,$K486)))</f>
        <v/>
      </c>
      <c r="K486" s="19">
        <f>IFERROR(MATCH(SMALL('Prospect Tracker'!$X$5:$X$554,ROW()-4),'Prospect Tracker'!$X$5:$X$554,0),"")</f>
        <v/>
      </c>
    </row>
    <row r="487" ht="15" customHeight="1" s="20">
      <c r="A487" s="25">
        <f>IF($K487="","",IF(INDEX('Prospect Tracker'!$W$5:$W$554,$K487)="","",INDEX('Prospect Tracker'!$W$5:$W$554,$K487)))</f>
        <v/>
      </c>
      <c r="B487" s="25">
        <f>IF($K487="","",IF(INDEX('Prospect Tracker'!$A$5:$A$554,$K487)="","",INDEX('Prospect Tracker'!$A$5:$A$554,$K487)))</f>
        <v/>
      </c>
      <c r="C487" s="25">
        <f>IF($K487="","",IF(INDEX('Prospect Tracker'!$B$5:$B$554,$K487)="","",INDEX('Prospect Tracker'!$B$5:$B$554,$K487)))</f>
        <v/>
      </c>
      <c r="D487" s="25">
        <f>IF($K487="","",IF(INDEX('Prospect Tracker'!$M$5:$M$554,$K487)="","",INDEX('Prospect Tracker'!$M$5:$M$554,$K487)))</f>
        <v/>
      </c>
      <c r="E487" s="25">
        <f>IF($K487="","",IF(INDEX('Prospect Tracker'!$R$5:$R$554,$K487)="","",INDEX('Prospect Tracker'!$R$5:$R$554,$K487)))</f>
        <v/>
      </c>
      <c r="F487" s="25">
        <f>IF($K487="","",IF(INDEX('Prospect Tracker'!$J$5:$J$554,$K487)="","",INDEX('Prospect Tracker'!$J$5:$J$554,$K487)))</f>
        <v/>
      </c>
      <c r="G487" s="25">
        <f>IF($K487="","",IF(INDEX('Prospect Tracker'!$H$5:$H$554,$K487)="","",INDEX('Prospect Tracker'!$H$5:$H$554,$K487)))</f>
        <v/>
      </c>
      <c r="H487" s="26">
        <f>IF($K487="","",IF(INDEX('Prospect Tracker'!$K$5:$K$554,$K487)="","",INDEX('Prospect Tracker'!$K$5:$K$554,$K487)))</f>
        <v/>
      </c>
      <c r="I487" s="25">
        <f>IF($K487="","",IF(INDEX('Prospect Tracker'!$T$5:$T$554,$K487)="","",INDEX('Prospect Tracker'!$T$5:$T$554,$K487)))</f>
        <v/>
      </c>
      <c r="J487" s="25">
        <f>IF($K487="","",IF(INDEX('Prospect Tracker'!$L$5:$L$554,$K487)="","",INDEX('Prospect Tracker'!$L$5:$L$554,$K487)))</f>
        <v/>
      </c>
      <c r="K487" s="19">
        <f>IFERROR(MATCH(SMALL('Prospect Tracker'!$X$5:$X$554,ROW()-4),'Prospect Tracker'!$X$5:$X$554,0),"")</f>
        <v/>
      </c>
    </row>
    <row r="488" ht="15" customHeight="1" s="20">
      <c r="A488" s="30">
        <f>IF($K488="","",IF(INDEX('Prospect Tracker'!$W$5:$W$554,$K488)="","",INDEX('Prospect Tracker'!$W$5:$W$554,$K488)))</f>
        <v/>
      </c>
      <c r="B488" s="30">
        <f>IF($K488="","",IF(INDEX('Prospect Tracker'!$A$5:$A$554,$K488)="","",INDEX('Prospect Tracker'!$A$5:$A$554,$K488)))</f>
        <v/>
      </c>
      <c r="C488" s="30">
        <f>IF($K488="","",IF(INDEX('Prospect Tracker'!$B$5:$B$554,$K488)="","",INDEX('Prospect Tracker'!$B$5:$B$554,$K488)))</f>
        <v/>
      </c>
      <c r="D488" s="30">
        <f>IF($K488="","",IF(INDEX('Prospect Tracker'!$M$5:$M$554,$K488)="","",INDEX('Prospect Tracker'!$M$5:$M$554,$K488)))</f>
        <v/>
      </c>
      <c r="E488" s="30">
        <f>IF($K488="","",IF(INDEX('Prospect Tracker'!$R$5:$R$554,$K488)="","",INDEX('Prospect Tracker'!$R$5:$R$554,$K488)))</f>
        <v/>
      </c>
      <c r="F488" s="30">
        <f>IF($K488="","",IF(INDEX('Prospect Tracker'!$J$5:$J$554,$K488)="","",INDEX('Prospect Tracker'!$J$5:$J$554,$K488)))</f>
        <v/>
      </c>
      <c r="G488" s="30">
        <f>IF($K488="","",IF(INDEX('Prospect Tracker'!$H$5:$H$554,$K488)="","",INDEX('Prospect Tracker'!$H$5:$H$554,$K488)))</f>
        <v/>
      </c>
      <c r="H488" s="31">
        <f>IF($K488="","",IF(INDEX('Prospect Tracker'!$K$5:$K$554,$K488)="","",INDEX('Prospect Tracker'!$K$5:$K$554,$K488)))</f>
        <v/>
      </c>
      <c r="I488" s="30">
        <f>IF($K488="","",IF(INDEX('Prospect Tracker'!$T$5:$T$554,$K488)="","",INDEX('Prospect Tracker'!$T$5:$T$554,$K488)))</f>
        <v/>
      </c>
      <c r="J488" s="30">
        <f>IF($K488="","",IF(INDEX('Prospect Tracker'!$L$5:$L$554,$K488)="","",INDEX('Prospect Tracker'!$L$5:$L$554,$K488)))</f>
        <v/>
      </c>
      <c r="K488" s="19">
        <f>IFERROR(MATCH(SMALL('Prospect Tracker'!$X$5:$X$554,ROW()-4),'Prospect Tracker'!$X$5:$X$554,0),"")</f>
        <v/>
      </c>
    </row>
    <row r="489" ht="15" customHeight="1" s="20">
      <c r="A489" s="25">
        <f>IF($K489="","",IF(INDEX('Prospect Tracker'!$W$5:$W$554,$K489)="","",INDEX('Prospect Tracker'!$W$5:$W$554,$K489)))</f>
        <v/>
      </c>
      <c r="B489" s="25">
        <f>IF($K489="","",IF(INDEX('Prospect Tracker'!$A$5:$A$554,$K489)="","",INDEX('Prospect Tracker'!$A$5:$A$554,$K489)))</f>
        <v/>
      </c>
      <c r="C489" s="25">
        <f>IF($K489="","",IF(INDEX('Prospect Tracker'!$B$5:$B$554,$K489)="","",INDEX('Prospect Tracker'!$B$5:$B$554,$K489)))</f>
        <v/>
      </c>
      <c r="D489" s="25">
        <f>IF($K489="","",IF(INDEX('Prospect Tracker'!$M$5:$M$554,$K489)="","",INDEX('Prospect Tracker'!$M$5:$M$554,$K489)))</f>
        <v/>
      </c>
      <c r="E489" s="25">
        <f>IF($K489="","",IF(INDEX('Prospect Tracker'!$R$5:$R$554,$K489)="","",INDEX('Prospect Tracker'!$R$5:$R$554,$K489)))</f>
        <v/>
      </c>
      <c r="F489" s="25">
        <f>IF($K489="","",IF(INDEX('Prospect Tracker'!$J$5:$J$554,$K489)="","",INDEX('Prospect Tracker'!$J$5:$J$554,$K489)))</f>
        <v/>
      </c>
      <c r="G489" s="25">
        <f>IF($K489="","",IF(INDEX('Prospect Tracker'!$H$5:$H$554,$K489)="","",INDEX('Prospect Tracker'!$H$5:$H$554,$K489)))</f>
        <v/>
      </c>
      <c r="H489" s="26">
        <f>IF($K489="","",IF(INDEX('Prospect Tracker'!$K$5:$K$554,$K489)="","",INDEX('Prospect Tracker'!$K$5:$K$554,$K489)))</f>
        <v/>
      </c>
      <c r="I489" s="25">
        <f>IF($K489="","",IF(INDEX('Prospect Tracker'!$T$5:$T$554,$K489)="","",INDEX('Prospect Tracker'!$T$5:$T$554,$K489)))</f>
        <v/>
      </c>
      <c r="J489" s="25">
        <f>IF($K489="","",IF(INDEX('Prospect Tracker'!$L$5:$L$554,$K489)="","",INDEX('Prospect Tracker'!$L$5:$L$554,$K489)))</f>
        <v/>
      </c>
      <c r="K489" s="19">
        <f>IFERROR(MATCH(SMALL('Prospect Tracker'!$X$5:$X$554,ROW()-4),'Prospect Tracker'!$X$5:$X$554,0),"")</f>
        <v/>
      </c>
    </row>
    <row r="490" ht="15" customHeight="1" s="20">
      <c r="A490" s="30">
        <f>IF($K490="","",IF(INDEX('Prospect Tracker'!$W$5:$W$554,$K490)="","",INDEX('Prospect Tracker'!$W$5:$W$554,$K490)))</f>
        <v/>
      </c>
      <c r="B490" s="30">
        <f>IF($K490="","",IF(INDEX('Prospect Tracker'!$A$5:$A$554,$K490)="","",INDEX('Prospect Tracker'!$A$5:$A$554,$K490)))</f>
        <v/>
      </c>
      <c r="C490" s="30">
        <f>IF($K490="","",IF(INDEX('Prospect Tracker'!$B$5:$B$554,$K490)="","",INDEX('Prospect Tracker'!$B$5:$B$554,$K490)))</f>
        <v/>
      </c>
      <c r="D490" s="30">
        <f>IF($K490="","",IF(INDEX('Prospect Tracker'!$M$5:$M$554,$K490)="","",INDEX('Prospect Tracker'!$M$5:$M$554,$K490)))</f>
        <v/>
      </c>
      <c r="E490" s="30">
        <f>IF($K490="","",IF(INDEX('Prospect Tracker'!$R$5:$R$554,$K490)="","",INDEX('Prospect Tracker'!$R$5:$R$554,$K490)))</f>
        <v/>
      </c>
      <c r="F490" s="30">
        <f>IF($K490="","",IF(INDEX('Prospect Tracker'!$J$5:$J$554,$K490)="","",INDEX('Prospect Tracker'!$J$5:$J$554,$K490)))</f>
        <v/>
      </c>
      <c r="G490" s="30">
        <f>IF($K490="","",IF(INDEX('Prospect Tracker'!$H$5:$H$554,$K490)="","",INDEX('Prospect Tracker'!$H$5:$H$554,$K490)))</f>
        <v/>
      </c>
      <c r="H490" s="31">
        <f>IF($K490="","",IF(INDEX('Prospect Tracker'!$K$5:$K$554,$K490)="","",INDEX('Prospect Tracker'!$K$5:$K$554,$K490)))</f>
        <v/>
      </c>
      <c r="I490" s="30">
        <f>IF($K490="","",IF(INDEX('Prospect Tracker'!$T$5:$T$554,$K490)="","",INDEX('Prospect Tracker'!$T$5:$T$554,$K490)))</f>
        <v/>
      </c>
      <c r="J490" s="30">
        <f>IF($K490="","",IF(INDEX('Prospect Tracker'!$L$5:$L$554,$K490)="","",INDEX('Prospect Tracker'!$L$5:$L$554,$K490)))</f>
        <v/>
      </c>
      <c r="K490" s="19">
        <f>IFERROR(MATCH(SMALL('Prospect Tracker'!$X$5:$X$554,ROW()-4),'Prospect Tracker'!$X$5:$X$554,0),"")</f>
        <v/>
      </c>
    </row>
    <row r="491" ht="15" customHeight="1" s="20">
      <c r="A491" s="25">
        <f>IF($K491="","",IF(INDEX('Prospect Tracker'!$W$5:$W$554,$K491)="","",INDEX('Prospect Tracker'!$W$5:$W$554,$K491)))</f>
        <v/>
      </c>
      <c r="B491" s="25">
        <f>IF($K491="","",IF(INDEX('Prospect Tracker'!$A$5:$A$554,$K491)="","",INDEX('Prospect Tracker'!$A$5:$A$554,$K491)))</f>
        <v/>
      </c>
      <c r="C491" s="25">
        <f>IF($K491="","",IF(INDEX('Prospect Tracker'!$B$5:$B$554,$K491)="","",INDEX('Prospect Tracker'!$B$5:$B$554,$K491)))</f>
        <v/>
      </c>
      <c r="D491" s="25">
        <f>IF($K491="","",IF(INDEX('Prospect Tracker'!$M$5:$M$554,$K491)="","",INDEX('Prospect Tracker'!$M$5:$M$554,$K491)))</f>
        <v/>
      </c>
      <c r="E491" s="25">
        <f>IF($K491="","",IF(INDEX('Prospect Tracker'!$R$5:$R$554,$K491)="","",INDEX('Prospect Tracker'!$R$5:$R$554,$K491)))</f>
        <v/>
      </c>
      <c r="F491" s="25">
        <f>IF($K491="","",IF(INDEX('Prospect Tracker'!$J$5:$J$554,$K491)="","",INDEX('Prospect Tracker'!$J$5:$J$554,$K491)))</f>
        <v/>
      </c>
      <c r="G491" s="25">
        <f>IF($K491="","",IF(INDEX('Prospect Tracker'!$H$5:$H$554,$K491)="","",INDEX('Prospect Tracker'!$H$5:$H$554,$K491)))</f>
        <v/>
      </c>
      <c r="H491" s="26">
        <f>IF($K491="","",IF(INDEX('Prospect Tracker'!$K$5:$K$554,$K491)="","",INDEX('Prospect Tracker'!$K$5:$K$554,$K491)))</f>
        <v/>
      </c>
      <c r="I491" s="25">
        <f>IF($K491="","",IF(INDEX('Prospect Tracker'!$T$5:$T$554,$K491)="","",INDEX('Prospect Tracker'!$T$5:$T$554,$K491)))</f>
        <v/>
      </c>
      <c r="J491" s="25">
        <f>IF($K491="","",IF(INDEX('Prospect Tracker'!$L$5:$L$554,$K491)="","",INDEX('Prospect Tracker'!$L$5:$L$554,$K491)))</f>
        <v/>
      </c>
      <c r="K491" s="19">
        <f>IFERROR(MATCH(SMALL('Prospect Tracker'!$X$5:$X$554,ROW()-4),'Prospect Tracker'!$X$5:$X$554,0),"")</f>
        <v/>
      </c>
    </row>
    <row r="492" ht="15" customHeight="1" s="20">
      <c r="A492" s="30">
        <f>IF($K492="","",IF(INDEX('Prospect Tracker'!$W$5:$W$554,$K492)="","",INDEX('Prospect Tracker'!$W$5:$W$554,$K492)))</f>
        <v/>
      </c>
      <c r="B492" s="30">
        <f>IF($K492="","",IF(INDEX('Prospect Tracker'!$A$5:$A$554,$K492)="","",INDEX('Prospect Tracker'!$A$5:$A$554,$K492)))</f>
        <v/>
      </c>
      <c r="C492" s="30">
        <f>IF($K492="","",IF(INDEX('Prospect Tracker'!$B$5:$B$554,$K492)="","",INDEX('Prospect Tracker'!$B$5:$B$554,$K492)))</f>
        <v/>
      </c>
      <c r="D492" s="30">
        <f>IF($K492="","",IF(INDEX('Prospect Tracker'!$M$5:$M$554,$K492)="","",INDEX('Prospect Tracker'!$M$5:$M$554,$K492)))</f>
        <v/>
      </c>
      <c r="E492" s="30">
        <f>IF($K492="","",IF(INDEX('Prospect Tracker'!$R$5:$R$554,$K492)="","",INDEX('Prospect Tracker'!$R$5:$R$554,$K492)))</f>
        <v/>
      </c>
      <c r="F492" s="30">
        <f>IF($K492="","",IF(INDEX('Prospect Tracker'!$J$5:$J$554,$K492)="","",INDEX('Prospect Tracker'!$J$5:$J$554,$K492)))</f>
        <v/>
      </c>
      <c r="G492" s="30">
        <f>IF($K492="","",IF(INDEX('Prospect Tracker'!$H$5:$H$554,$K492)="","",INDEX('Prospect Tracker'!$H$5:$H$554,$K492)))</f>
        <v/>
      </c>
      <c r="H492" s="31">
        <f>IF($K492="","",IF(INDEX('Prospect Tracker'!$K$5:$K$554,$K492)="","",INDEX('Prospect Tracker'!$K$5:$K$554,$K492)))</f>
        <v/>
      </c>
      <c r="I492" s="30">
        <f>IF($K492="","",IF(INDEX('Prospect Tracker'!$T$5:$T$554,$K492)="","",INDEX('Prospect Tracker'!$T$5:$T$554,$K492)))</f>
        <v/>
      </c>
      <c r="J492" s="30">
        <f>IF($K492="","",IF(INDEX('Prospect Tracker'!$L$5:$L$554,$K492)="","",INDEX('Prospect Tracker'!$L$5:$L$554,$K492)))</f>
        <v/>
      </c>
      <c r="K492" s="19">
        <f>IFERROR(MATCH(SMALL('Prospect Tracker'!$X$5:$X$554,ROW()-4),'Prospect Tracker'!$X$5:$X$554,0),"")</f>
        <v/>
      </c>
    </row>
    <row r="493" ht="15" customHeight="1" s="20">
      <c r="A493" s="25">
        <f>IF($K493="","",IF(INDEX('Prospect Tracker'!$W$5:$W$554,$K493)="","",INDEX('Prospect Tracker'!$W$5:$W$554,$K493)))</f>
        <v/>
      </c>
      <c r="B493" s="25">
        <f>IF($K493="","",IF(INDEX('Prospect Tracker'!$A$5:$A$554,$K493)="","",INDEX('Prospect Tracker'!$A$5:$A$554,$K493)))</f>
        <v/>
      </c>
      <c r="C493" s="25">
        <f>IF($K493="","",IF(INDEX('Prospect Tracker'!$B$5:$B$554,$K493)="","",INDEX('Prospect Tracker'!$B$5:$B$554,$K493)))</f>
        <v/>
      </c>
      <c r="D493" s="25">
        <f>IF($K493="","",IF(INDEX('Prospect Tracker'!$M$5:$M$554,$K493)="","",INDEX('Prospect Tracker'!$M$5:$M$554,$K493)))</f>
        <v/>
      </c>
      <c r="E493" s="25">
        <f>IF($K493="","",IF(INDEX('Prospect Tracker'!$R$5:$R$554,$K493)="","",INDEX('Prospect Tracker'!$R$5:$R$554,$K493)))</f>
        <v/>
      </c>
      <c r="F493" s="25">
        <f>IF($K493="","",IF(INDEX('Prospect Tracker'!$J$5:$J$554,$K493)="","",INDEX('Prospect Tracker'!$J$5:$J$554,$K493)))</f>
        <v/>
      </c>
      <c r="G493" s="25">
        <f>IF($K493="","",IF(INDEX('Prospect Tracker'!$H$5:$H$554,$K493)="","",INDEX('Prospect Tracker'!$H$5:$H$554,$K493)))</f>
        <v/>
      </c>
      <c r="H493" s="26">
        <f>IF($K493="","",IF(INDEX('Prospect Tracker'!$K$5:$K$554,$K493)="","",INDEX('Prospect Tracker'!$K$5:$K$554,$K493)))</f>
        <v/>
      </c>
      <c r="I493" s="25">
        <f>IF($K493="","",IF(INDEX('Prospect Tracker'!$T$5:$T$554,$K493)="","",INDEX('Prospect Tracker'!$T$5:$T$554,$K493)))</f>
        <v/>
      </c>
      <c r="J493" s="25">
        <f>IF($K493="","",IF(INDEX('Prospect Tracker'!$L$5:$L$554,$K493)="","",INDEX('Prospect Tracker'!$L$5:$L$554,$K493)))</f>
        <v/>
      </c>
      <c r="K493" s="19">
        <f>IFERROR(MATCH(SMALL('Prospect Tracker'!$X$5:$X$554,ROW()-4),'Prospect Tracker'!$X$5:$X$554,0),"")</f>
        <v/>
      </c>
    </row>
    <row r="494" ht="15" customHeight="1" s="20">
      <c r="A494" s="30">
        <f>IF($K494="","",IF(INDEX('Prospect Tracker'!$W$5:$W$554,$K494)="","",INDEX('Prospect Tracker'!$W$5:$W$554,$K494)))</f>
        <v/>
      </c>
      <c r="B494" s="30">
        <f>IF($K494="","",IF(INDEX('Prospect Tracker'!$A$5:$A$554,$K494)="","",INDEX('Prospect Tracker'!$A$5:$A$554,$K494)))</f>
        <v/>
      </c>
      <c r="C494" s="30">
        <f>IF($K494="","",IF(INDEX('Prospect Tracker'!$B$5:$B$554,$K494)="","",INDEX('Prospect Tracker'!$B$5:$B$554,$K494)))</f>
        <v/>
      </c>
      <c r="D494" s="30">
        <f>IF($K494="","",IF(INDEX('Prospect Tracker'!$M$5:$M$554,$K494)="","",INDEX('Prospect Tracker'!$M$5:$M$554,$K494)))</f>
        <v/>
      </c>
      <c r="E494" s="30">
        <f>IF($K494="","",IF(INDEX('Prospect Tracker'!$R$5:$R$554,$K494)="","",INDEX('Prospect Tracker'!$R$5:$R$554,$K494)))</f>
        <v/>
      </c>
      <c r="F494" s="30">
        <f>IF($K494="","",IF(INDEX('Prospect Tracker'!$J$5:$J$554,$K494)="","",INDEX('Prospect Tracker'!$J$5:$J$554,$K494)))</f>
        <v/>
      </c>
      <c r="G494" s="30">
        <f>IF($K494="","",IF(INDEX('Prospect Tracker'!$H$5:$H$554,$K494)="","",INDEX('Prospect Tracker'!$H$5:$H$554,$K494)))</f>
        <v/>
      </c>
      <c r="H494" s="31">
        <f>IF($K494="","",IF(INDEX('Prospect Tracker'!$K$5:$K$554,$K494)="","",INDEX('Prospect Tracker'!$K$5:$K$554,$K494)))</f>
        <v/>
      </c>
      <c r="I494" s="30">
        <f>IF($K494="","",IF(INDEX('Prospect Tracker'!$T$5:$T$554,$K494)="","",INDEX('Prospect Tracker'!$T$5:$T$554,$K494)))</f>
        <v/>
      </c>
      <c r="J494" s="30">
        <f>IF($K494="","",IF(INDEX('Prospect Tracker'!$L$5:$L$554,$K494)="","",INDEX('Prospect Tracker'!$L$5:$L$554,$K494)))</f>
        <v/>
      </c>
      <c r="K494" s="19">
        <f>IFERROR(MATCH(SMALL('Prospect Tracker'!$X$5:$X$554,ROW()-4),'Prospect Tracker'!$X$5:$X$554,0),"")</f>
        <v/>
      </c>
    </row>
    <row r="495" ht="15" customHeight="1" s="20">
      <c r="A495" s="25">
        <f>IF($K495="","",IF(INDEX('Prospect Tracker'!$W$5:$W$554,$K495)="","",INDEX('Prospect Tracker'!$W$5:$W$554,$K495)))</f>
        <v/>
      </c>
      <c r="B495" s="25">
        <f>IF($K495="","",IF(INDEX('Prospect Tracker'!$A$5:$A$554,$K495)="","",INDEX('Prospect Tracker'!$A$5:$A$554,$K495)))</f>
        <v/>
      </c>
      <c r="C495" s="25">
        <f>IF($K495="","",IF(INDEX('Prospect Tracker'!$B$5:$B$554,$K495)="","",INDEX('Prospect Tracker'!$B$5:$B$554,$K495)))</f>
        <v/>
      </c>
      <c r="D495" s="25">
        <f>IF($K495="","",IF(INDEX('Prospect Tracker'!$M$5:$M$554,$K495)="","",INDEX('Prospect Tracker'!$M$5:$M$554,$K495)))</f>
        <v/>
      </c>
      <c r="E495" s="25">
        <f>IF($K495="","",IF(INDEX('Prospect Tracker'!$R$5:$R$554,$K495)="","",INDEX('Prospect Tracker'!$R$5:$R$554,$K495)))</f>
        <v/>
      </c>
      <c r="F495" s="25">
        <f>IF($K495="","",IF(INDEX('Prospect Tracker'!$J$5:$J$554,$K495)="","",INDEX('Prospect Tracker'!$J$5:$J$554,$K495)))</f>
        <v/>
      </c>
      <c r="G495" s="25">
        <f>IF($K495="","",IF(INDEX('Prospect Tracker'!$H$5:$H$554,$K495)="","",INDEX('Prospect Tracker'!$H$5:$H$554,$K495)))</f>
        <v/>
      </c>
      <c r="H495" s="26">
        <f>IF($K495="","",IF(INDEX('Prospect Tracker'!$K$5:$K$554,$K495)="","",INDEX('Prospect Tracker'!$K$5:$K$554,$K495)))</f>
        <v/>
      </c>
      <c r="I495" s="25">
        <f>IF($K495="","",IF(INDEX('Prospect Tracker'!$T$5:$T$554,$K495)="","",INDEX('Prospect Tracker'!$T$5:$T$554,$K495)))</f>
        <v/>
      </c>
      <c r="J495" s="25">
        <f>IF($K495="","",IF(INDEX('Prospect Tracker'!$L$5:$L$554,$K495)="","",INDEX('Prospect Tracker'!$L$5:$L$554,$K495)))</f>
        <v/>
      </c>
      <c r="K495" s="19">
        <f>IFERROR(MATCH(SMALL('Prospect Tracker'!$X$5:$X$554,ROW()-4),'Prospect Tracker'!$X$5:$X$554,0),"")</f>
        <v/>
      </c>
    </row>
    <row r="496" ht="15" customHeight="1" s="20">
      <c r="A496" s="30">
        <f>IF($K496="","",IF(INDEX('Prospect Tracker'!$W$5:$W$554,$K496)="","",INDEX('Prospect Tracker'!$W$5:$W$554,$K496)))</f>
        <v/>
      </c>
      <c r="B496" s="30">
        <f>IF($K496="","",IF(INDEX('Prospect Tracker'!$A$5:$A$554,$K496)="","",INDEX('Prospect Tracker'!$A$5:$A$554,$K496)))</f>
        <v/>
      </c>
      <c r="C496" s="30">
        <f>IF($K496="","",IF(INDEX('Prospect Tracker'!$B$5:$B$554,$K496)="","",INDEX('Prospect Tracker'!$B$5:$B$554,$K496)))</f>
        <v/>
      </c>
      <c r="D496" s="30">
        <f>IF($K496="","",IF(INDEX('Prospect Tracker'!$M$5:$M$554,$K496)="","",INDEX('Prospect Tracker'!$M$5:$M$554,$K496)))</f>
        <v/>
      </c>
      <c r="E496" s="30">
        <f>IF($K496="","",IF(INDEX('Prospect Tracker'!$R$5:$R$554,$K496)="","",INDEX('Prospect Tracker'!$R$5:$R$554,$K496)))</f>
        <v/>
      </c>
      <c r="F496" s="30">
        <f>IF($K496="","",IF(INDEX('Prospect Tracker'!$J$5:$J$554,$K496)="","",INDEX('Prospect Tracker'!$J$5:$J$554,$K496)))</f>
        <v/>
      </c>
      <c r="G496" s="30">
        <f>IF($K496="","",IF(INDEX('Prospect Tracker'!$H$5:$H$554,$K496)="","",INDEX('Prospect Tracker'!$H$5:$H$554,$K496)))</f>
        <v/>
      </c>
      <c r="H496" s="31">
        <f>IF($K496="","",IF(INDEX('Prospect Tracker'!$K$5:$K$554,$K496)="","",INDEX('Prospect Tracker'!$K$5:$K$554,$K496)))</f>
        <v/>
      </c>
      <c r="I496" s="30">
        <f>IF($K496="","",IF(INDEX('Prospect Tracker'!$T$5:$T$554,$K496)="","",INDEX('Prospect Tracker'!$T$5:$T$554,$K496)))</f>
        <v/>
      </c>
      <c r="J496" s="30">
        <f>IF($K496="","",IF(INDEX('Prospect Tracker'!$L$5:$L$554,$K496)="","",INDEX('Prospect Tracker'!$L$5:$L$554,$K496)))</f>
        <v/>
      </c>
      <c r="K496" s="19">
        <f>IFERROR(MATCH(SMALL('Prospect Tracker'!$X$5:$X$554,ROW()-4),'Prospect Tracker'!$X$5:$X$554,0),"")</f>
        <v/>
      </c>
    </row>
    <row r="497" ht="15" customHeight="1" s="20">
      <c r="A497" s="25">
        <f>IF($K497="","",IF(INDEX('Prospect Tracker'!$W$5:$W$554,$K497)="","",INDEX('Prospect Tracker'!$W$5:$W$554,$K497)))</f>
        <v/>
      </c>
      <c r="B497" s="25">
        <f>IF($K497="","",IF(INDEX('Prospect Tracker'!$A$5:$A$554,$K497)="","",INDEX('Prospect Tracker'!$A$5:$A$554,$K497)))</f>
        <v/>
      </c>
      <c r="C497" s="25">
        <f>IF($K497="","",IF(INDEX('Prospect Tracker'!$B$5:$B$554,$K497)="","",INDEX('Prospect Tracker'!$B$5:$B$554,$K497)))</f>
        <v/>
      </c>
      <c r="D497" s="25">
        <f>IF($K497="","",IF(INDEX('Prospect Tracker'!$M$5:$M$554,$K497)="","",INDEX('Prospect Tracker'!$M$5:$M$554,$K497)))</f>
        <v/>
      </c>
      <c r="E497" s="25">
        <f>IF($K497="","",IF(INDEX('Prospect Tracker'!$R$5:$R$554,$K497)="","",INDEX('Prospect Tracker'!$R$5:$R$554,$K497)))</f>
        <v/>
      </c>
      <c r="F497" s="25">
        <f>IF($K497="","",IF(INDEX('Prospect Tracker'!$J$5:$J$554,$K497)="","",INDEX('Prospect Tracker'!$J$5:$J$554,$K497)))</f>
        <v/>
      </c>
      <c r="G497" s="25">
        <f>IF($K497="","",IF(INDEX('Prospect Tracker'!$H$5:$H$554,$K497)="","",INDEX('Prospect Tracker'!$H$5:$H$554,$K497)))</f>
        <v/>
      </c>
      <c r="H497" s="26">
        <f>IF($K497="","",IF(INDEX('Prospect Tracker'!$K$5:$K$554,$K497)="","",INDEX('Prospect Tracker'!$K$5:$K$554,$K497)))</f>
        <v/>
      </c>
      <c r="I497" s="25">
        <f>IF($K497="","",IF(INDEX('Prospect Tracker'!$T$5:$T$554,$K497)="","",INDEX('Prospect Tracker'!$T$5:$T$554,$K497)))</f>
        <v/>
      </c>
      <c r="J497" s="25">
        <f>IF($K497="","",IF(INDEX('Prospect Tracker'!$L$5:$L$554,$K497)="","",INDEX('Prospect Tracker'!$L$5:$L$554,$K497)))</f>
        <v/>
      </c>
      <c r="K497" s="19">
        <f>IFERROR(MATCH(SMALL('Prospect Tracker'!$X$5:$X$554,ROW()-4),'Prospect Tracker'!$X$5:$X$554,0),"")</f>
        <v/>
      </c>
    </row>
    <row r="498" ht="15" customHeight="1" s="20">
      <c r="A498" s="30">
        <f>IF($K498="","",IF(INDEX('Prospect Tracker'!$W$5:$W$554,$K498)="","",INDEX('Prospect Tracker'!$W$5:$W$554,$K498)))</f>
        <v/>
      </c>
      <c r="B498" s="30">
        <f>IF($K498="","",IF(INDEX('Prospect Tracker'!$A$5:$A$554,$K498)="","",INDEX('Prospect Tracker'!$A$5:$A$554,$K498)))</f>
        <v/>
      </c>
      <c r="C498" s="30">
        <f>IF($K498="","",IF(INDEX('Prospect Tracker'!$B$5:$B$554,$K498)="","",INDEX('Prospect Tracker'!$B$5:$B$554,$K498)))</f>
        <v/>
      </c>
      <c r="D498" s="30">
        <f>IF($K498="","",IF(INDEX('Prospect Tracker'!$M$5:$M$554,$K498)="","",INDEX('Prospect Tracker'!$M$5:$M$554,$K498)))</f>
        <v/>
      </c>
      <c r="E498" s="30">
        <f>IF($K498="","",IF(INDEX('Prospect Tracker'!$R$5:$R$554,$K498)="","",INDEX('Prospect Tracker'!$R$5:$R$554,$K498)))</f>
        <v/>
      </c>
      <c r="F498" s="30">
        <f>IF($K498="","",IF(INDEX('Prospect Tracker'!$J$5:$J$554,$K498)="","",INDEX('Prospect Tracker'!$J$5:$J$554,$K498)))</f>
        <v/>
      </c>
      <c r="G498" s="30">
        <f>IF($K498="","",IF(INDEX('Prospect Tracker'!$H$5:$H$554,$K498)="","",INDEX('Prospect Tracker'!$H$5:$H$554,$K498)))</f>
        <v/>
      </c>
      <c r="H498" s="31">
        <f>IF($K498="","",IF(INDEX('Prospect Tracker'!$K$5:$K$554,$K498)="","",INDEX('Prospect Tracker'!$K$5:$K$554,$K498)))</f>
        <v/>
      </c>
      <c r="I498" s="30">
        <f>IF($K498="","",IF(INDEX('Prospect Tracker'!$T$5:$T$554,$K498)="","",INDEX('Prospect Tracker'!$T$5:$T$554,$K498)))</f>
        <v/>
      </c>
      <c r="J498" s="30">
        <f>IF($K498="","",IF(INDEX('Prospect Tracker'!$L$5:$L$554,$K498)="","",INDEX('Prospect Tracker'!$L$5:$L$554,$K498)))</f>
        <v/>
      </c>
      <c r="K498" s="19">
        <f>IFERROR(MATCH(SMALL('Prospect Tracker'!$X$5:$X$554,ROW()-4),'Prospect Tracker'!$X$5:$X$554,0),"")</f>
        <v/>
      </c>
    </row>
    <row r="499" ht="15" customHeight="1" s="20">
      <c r="A499" s="25">
        <f>IF($K499="","",IF(INDEX('Prospect Tracker'!$W$5:$W$554,$K499)="","",INDEX('Prospect Tracker'!$W$5:$W$554,$K499)))</f>
        <v/>
      </c>
      <c r="B499" s="25">
        <f>IF($K499="","",IF(INDEX('Prospect Tracker'!$A$5:$A$554,$K499)="","",INDEX('Prospect Tracker'!$A$5:$A$554,$K499)))</f>
        <v/>
      </c>
      <c r="C499" s="25">
        <f>IF($K499="","",IF(INDEX('Prospect Tracker'!$B$5:$B$554,$K499)="","",INDEX('Prospect Tracker'!$B$5:$B$554,$K499)))</f>
        <v/>
      </c>
      <c r="D499" s="25">
        <f>IF($K499="","",IF(INDEX('Prospect Tracker'!$M$5:$M$554,$K499)="","",INDEX('Prospect Tracker'!$M$5:$M$554,$K499)))</f>
        <v/>
      </c>
      <c r="E499" s="25">
        <f>IF($K499="","",IF(INDEX('Prospect Tracker'!$R$5:$R$554,$K499)="","",INDEX('Prospect Tracker'!$R$5:$R$554,$K499)))</f>
        <v/>
      </c>
      <c r="F499" s="25">
        <f>IF($K499="","",IF(INDEX('Prospect Tracker'!$J$5:$J$554,$K499)="","",INDEX('Prospect Tracker'!$J$5:$J$554,$K499)))</f>
        <v/>
      </c>
      <c r="G499" s="25">
        <f>IF($K499="","",IF(INDEX('Prospect Tracker'!$H$5:$H$554,$K499)="","",INDEX('Prospect Tracker'!$H$5:$H$554,$K499)))</f>
        <v/>
      </c>
      <c r="H499" s="26">
        <f>IF($K499="","",IF(INDEX('Prospect Tracker'!$K$5:$K$554,$K499)="","",INDEX('Prospect Tracker'!$K$5:$K$554,$K499)))</f>
        <v/>
      </c>
      <c r="I499" s="25">
        <f>IF($K499="","",IF(INDEX('Prospect Tracker'!$T$5:$T$554,$K499)="","",INDEX('Prospect Tracker'!$T$5:$T$554,$K499)))</f>
        <v/>
      </c>
      <c r="J499" s="25">
        <f>IF($K499="","",IF(INDEX('Prospect Tracker'!$L$5:$L$554,$K499)="","",INDEX('Prospect Tracker'!$L$5:$L$554,$K499)))</f>
        <v/>
      </c>
      <c r="K499" s="19">
        <f>IFERROR(MATCH(SMALL('Prospect Tracker'!$X$5:$X$554,ROW()-4),'Prospect Tracker'!$X$5:$X$554,0),"")</f>
        <v/>
      </c>
    </row>
    <row r="500" ht="15" customHeight="1" s="20">
      <c r="A500" s="30">
        <f>IF($K500="","",IF(INDEX('Prospect Tracker'!$W$5:$W$554,$K500)="","",INDEX('Prospect Tracker'!$W$5:$W$554,$K500)))</f>
        <v/>
      </c>
      <c r="B500" s="30">
        <f>IF($K500="","",IF(INDEX('Prospect Tracker'!$A$5:$A$554,$K500)="","",INDEX('Prospect Tracker'!$A$5:$A$554,$K500)))</f>
        <v/>
      </c>
      <c r="C500" s="30">
        <f>IF($K500="","",IF(INDEX('Prospect Tracker'!$B$5:$B$554,$K500)="","",INDEX('Prospect Tracker'!$B$5:$B$554,$K500)))</f>
        <v/>
      </c>
      <c r="D500" s="30">
        <f>IF($K500="","",IF(INDEX('Prospect Tracker'!$M$5:$M$554,$K500)="","",INDEX('Prospect Tracker'!$M$5:$M$554,$K500)))</f>
        <v/>
      </c>
      <c r="E500" s="30">
        <f>IF($K500="","",IF(INDEX('Prospect Tracker'!$R$5:$R$554,$K500)="","",INDEX('Prospect Tracker'!$R$5:$R$554,$K500)))</f>
        <v/>
      </c>
      <c r="F500" s="30">
        <f>IF($K500="","",IF(INDEX('Prospect Tracker'!$J$5:$J$554,$K500)="","",INDEX('Prospect Tracker'!$J$5:$J$554,$K500)))</f>
        <v/>
      </c>
      <c r="G500" s="30">
        <f>IF($K500="","",IF(INDEX('Prospect Tracker'!$H$5:$H$554,$K500)="","",INDEX('Prospect Tracker'!$H$5:$H$554,$K500)))</f>
        <v/>
      </c>
      <c r="H500" s="31">
        <f>IF($K500="","",IF(INDEX('Prospect Tracker'!$K$5:$K$554,$K500)="","",INDEX('Prospect Tracker'!$K$5:$K$554,$K500)))</f>
        <v/>
      </c>
      <c r="I500" s="30">
        <f>IF($K500="","",IF(INDEX('Prospect Tracker'!$T$5:$T$554,$K500)="","",INDEX('Prospect Tracker'!$T$5:$T$554,$K500)))</f>
        <v/>
      </c>
      <c r="J500" s="30">
        <f>IF($K500="","",IF(INDEX('Prospect Tracker'!$L$5:$L$554,$K500)="","",INDEX('Prospect Tracker'!$L$5:$L$554,$K500)))</f>
        <v/>
      </c>
      <c r="K500" s="19">
        <f>IFERROR(MATCH(SMALL('Prospect Tracker'!$X$5:$X$554,ROW()-4),'Prospect Tracker'!$X$5:$X$554,0),"")</f>
        <v/>
      </c>
    </row>
    <row r="501" ht="15" customHeight="1" s="20">
      <c r="A501" s="25">
        <f>IF($K501="","",IF(INDEX('Prospect Tracker'!$W$5:$W$554,$K501)="","",INDEX('Prospect Tracker'!$W$5:$W$554,$K501)))</f>
        <v/>
      </c>
      <c r="B501" s="25">
        <f>IF($K501="","",IF(INDEX('Prospect Tracker'!$A$5:$A$554,$K501)="","",INDEX('Prospect Tracker'!$A$5:$A$554,$K501)))</f>
        <v/>
      </c>
      <c r="C501" s="25">
        <f>IF($K501="","",IF(INDEX('Prospect Tracker'!$B$5:$B$554,$K501)="","",INDEX('Prospect Tracker'!$B$5:$B$554,$K501)))</f>
        <v/>
      </c>
      <c r="D501" s="25">
        <f>IF($K501="","",IF(INDEX('Prospect Tracker'!$M$5:$M$554,$K501)="","",INDEX('Prospect Tracker'!$M$5:$M$554,$K501)))</f>
        <v/>
      </c>
      <c r="E501" s="25">
        <f>IF($K501="","",IF(INDEX('Prospect Tracker'!$R$5:$R$554,$K501)="","",INDEX('Prospect Tracker'!$R$5:$R$554,$K501)))</f>
        <v/>
      </c>
      <c r="F501" s="25">
        <f>IF($K501="","",IF(INDEX('Prospect Tracker'!$J$5:$J$554,$K501)="","",INDEX('Prospect Tracker'!$J$5:$J$554,$K501)))</f>
        <v/>
      </c>
      <c r="G501" s="25">
        <f>IF($K501="","",IF(INDEX('Prospect Tracker'!$H$5:$H$554,$K501)="","",INDEX('Prospect Tracker'!$H$5:$H$554,$K501)))</f>
        <v/>
      </c>
      <c r="H501" s="26">
        <f>IF($K501="","",IF(INDEX('Prospect Tracker'!$K$5:$K$554,$K501)="","",INDEX('Prospect Tracker'!$K$5:$K$554,$K501)))</f>
        <v/>
      </c>
      <c r="I501" s="25">
        <f>IF($K501="","",IF(INDEX('Prospect Tracker'!$T$5:$T$554,$K501)="","",INDEX('Prospect Tracker'!$T$5:$T$554,$K501)))</f>
        <v/>
      </c>
      <c r="J501" s="25">
        <f>IF($K501="","",IF(INDEX('Prospect Tracker'!$L$5:$L$554,$K501)="","",INDEX('Prospect Tracker'!$L$5:$L$554,$K501)))</f>
        <v/>
      </c>
      <c r="K501" s="19">
        <f>IFERROR(MATCH(SMALL('Prospect Tracker'!$X$5:$X$554,ROW()-4),'Prospect Tracker'!$X$5:$X$554,0),"")</f>
        <v/>
      </c>
    </row>
    <row r="502" ht="15" customHeight="1" s="20">
      <c r="A502" s="30">
        <f>IF($K502="","",IF(INDEX('Prospect Tracker'!$W$5:$W$554,$K502)="","",INDEX('Prospect Tracker'!$W$5:$W$554,$K502)))</f>
        <v/>
      </c>
      <c r="B502" s="30">
        <f>IF($K502="","",IF(INDEX('Prospect Tracker'!$A$5:$A$554,$K502)="","",INDEX('Prospect Tracker'!$A$5:$A$554,$K502)))</f>
        <v/>
      </c>
      <c r="C502" s="30">
        <f>IF($K502="","",IF(INDEX('Prospect Tracker'!$B$5:$B$554,$K502)="","",INDEX('Prospect Tracker'!$B$5:$B$554,$K502)))</f>
        <v/>
      </c>
      <c r="D502" s="30">
        <f>IF($K502="","",IF(INDEX('Prospect Tracker'!$M$5:$M$554,$K502)="","",INDEX('Prospect Tracker'!$M$5:$M$554,$K502)))</f>
        <v/>
      </c>
      <c r="E502" s="30">
        <f>IF($K502="","",IF(INDEX('Prospect Tracker'!$R$5:$R$554,$K502)="","",INDEX('Prospect Tracker'!$R$5:$R$554,$K502)))</f>
        <v/>
      </c>
      <c r="F502" s="30">
        <f>IF($K502="","",IF(INDEX('Prospect Tracker'!$J$5:$J$554,$K502)="","",INDEX('Prospect Tracker'!$J$5:$J$554,$K502)))</f>
        <v/>
      </c>
      <c r="G502" s="30">
        <f>IF($K502="","",IF(INDEX('Prospect Tracker'!$H$5:$H$554,$K502)="","",INDEX('Prospect Tracker'!$H$5:$H$554,$K502)))</f>
        <v/>
      </c>
      <c r="H502" s="31">
        <f>IF($K502="","",IF(INDEX('Prospect Tracker'!$K$5:$K$554,$K502)="","",INDEX('Prospect Tracker'!$K$5:$K$554,$K502)))</f>
        <v/>
      </c>
      <c r="I502" s="30">
        <f>IF($K502="","",IF(INDEX('Prospect Tracker'!$T$5:$T$554,$K502)="","",INDEX('Prospect Tracker'!$T$5:$T$554,$K502)))</f>
        <v/>
      </c>
      <c r="J502" s="30">
        <f>IF($K502="","",IF(INDEX('Prospect Tracker'!$L$5:$L$554,$K502)="","",INDEX('Prospect Tracker'!$L$5:$L$554,$K502)))</f>
        <v/>
      </c>
      <c r="K502" s="19">
        <f>IFERROR(MATCH(SMALL('Prospect Tracker'!$X$5:$X$554,ROW()-4),'Prospect Tracker'!$X$5:$X$554,0),"")</f>
        <v/>
      </c>
    </row>
    <row r="503" ht="15" customHeight="1" s="20">
      <c r="A503" s="25">
        <f>IF($K503="","",IF(INDEX('Prospect Tracker'!$W$5:$W$554,$K503)="","",INDEX('Prospect Tracker'!$W$5:$W$554,$K503)))</f>
        <v/>
      </c>
      <c r="B503" s="25">
        <f>IF($K503="","",IF(INDEX('Prospect Tracker'!$A$5:$A$554,$K503)="","",INDEX('Prospect Tracker'!$A$5:$A$554,$K503)))</f>
        <v/>
      </c>
      <c r="C503" s="25">
        <f>IF($K503="","",IF(INDEX('Prospect Tracker'!$B$5:$B$554,$K503)="","",INDEX('Prospect Tracker'!$B$5:$B$554,$K503)))</f>
        <v/>
      </c>
      <c r="D503" s="25">
        <f>IF($K503="","",IF(INDEX('Prospect Tracker'!$M$5:$M$554,$K503)="","",INDEX('Prospect Tracker'!$M$5:$M$554,$K503)))</f>
        <v/>
      </c>
      <c r="E503" s="25">
        <f>IF($K503="","",IF(INDEX('Prospect Tracker'!$R$5:$R$554,$K503)="","",INDEX('Prospect Tracker'!$R$5:$R$554,$K503)))</f>
        <v/>
      </c>
      <c r="F503" s="25">
        <f>IF($K503="","",IF(INDEX('Prospect Tracker'!$J$5:$J$554,$K503)="","",INDEX('Prospect Tracker'!$J$5:$J$554,$K503)))</f>
        <v/>
      </c>
      <c r="G503" s="25">
        <f>IF($K503="","",IF(INDEX('Prospect Tracker'!$H$5:$H$554,$K503)="","",INDEX('Prospect Tracker'!$H$5:$H$554,$K503)))</f>
        <v/>
      </c>
      <c r="H503" s="26">
        <f>IF($K503="","",IF(INDEX('Prospect Tracker'!$K$5:$K$554,$K503)="","",INDEX('Prospect Tracker'!$K$5:$K$554,$K503)))</f>
        <v/>
      </c>
      <c r="I503" s="25">
        <f>IF($K503="","",IF(INDEX('Prospect Tracker'!$T$5:$T$554,$K503)="","",INDEX('Prospect Tracker'!$T$5:$T$554,$K503)))</f>
        <v/>
      </c>
      <c r="J503" s="25">
        <f>IF($K503="","",IF(INDEX('Prospect Tracker'!$L$5:$L$554,$K503)="","",INDEX('Prospect Tracker'!$L$5:$L$554,$K503)))</f>
        <v/>
      </c>
      <c r="K503" s="19">
        <f>IFERROR(MATCH(SMALL('Prospect Tracker'!$X$5:$X$554,ROW()-4),'Prospect Tracker'!$X$5:$X$554,0),"")</f>
        <v/>
      </c>
    </row>
    <row r="504" ht="15" customHeight="1" s="20">
      <c r="A504" s="30">
        <f>IF($K504="","",IF(INDEX('Prospect Tracker'!$W$5:$W$554,$K504)="","",INDEX('Prospect Tracker'!$W$5:$W$554,$K504)))</f>
        <v/>
      </c>
      <c r="B504" s="30">
        <f>IF($K504="","",IF(INDEX('Prospect Tracker'!$A$5:$A$554,$K504)="","",INDEX('Prospect Tracker'!$A$5:$A$554,$K504)))</f>
        <v/>
      </c>
      <c r="C504" s="30">
        <f>IF($K504="","",IF(INDEX('Prospect Tracker'!$B$5:$B$554,$K504)="","",INDEX('Prospect Tracker'!$B$5:$B$554,$K504)))</f>
        <v/>
      </c>
      <c r="D504" s="30">
        <f>IF($K504="","",IF(INDEX('Prospect Tracker'!$M$5:$M$554,$K504)="","",INDEX('Prospect Tracker'!$M$5:$M$554,$K504)))</f>
        <v/>
      </c>
      <c r="E504" s="30">
        <f>IF($K504="","",IF(INDEX('Prospect Tracker'!$R$5:$R$554,$K504)="","",INDEX('Prospect Tracker'!$R$5:$R$554,$K504)))</f>
        <v/>
      </c>
      <c r="F504" s="30">
        <f>IF($K504="","",IF(INDEX('Prospect Tracker'!$J$5:$J$554,$K504)="","",INDEX('Prospect Tracker'!$J$5:$J$554,$K504)))</f>
        <v/>
      </c>
      <c r="G504" s="30">
        <f>IF($K504="","",IF(INDEX('Prospect Tracker'!$H$5:$H$554,$K504)="","",INDEX('Prospect Tracker'!$H$5:$H$554,$K504)))</f>
        <v/>
      </c>
      <c r="H504" s="31">
        <f>IF($K504="","",IF(INDEX('Prospect Tracker'!$K$5:$K$554,$K504)="","",INDEX('Prospect Tracker'!$K$5:$K$554,$K504)))</f>
        <v/>
      </c>
      <c r="I504" s="30">
        <f>IF($K504="","",IF(INDEX('Prospect Tracker'!$T$5:$T$554,$K504)="","",INDEX('Prospect Tracker'!$T$5:$T$554,$K504)))</f>
        <v/>
      </c>
      <c r="J504" s="30">
        <f>IF($K504="","",IF(INDEX('Prospect Tracker'!$L$5:$L$554,$K504)="","",INDEX('Prospect Tracker'!$L$5:$L$554,$K504)))</f>
        <v/>
      </c>
      <c r="K504" s="19">
        <f>IFERROR(MATCH(SMALL('Prospect Tracker'!$X$5:$X$554,ROW()-4),'Prospect Tracker'!$X$5:$X$554,0),"")</f>
        <v/>
      </c>
    </row>
    <row r="505" ht="15" customHeight="1" s="20">
      <c r="A505" s="25">
        <f>IF($K505="","",IF(INDEX('Prospect Tracker'!$W$5:$W$554,$K505)="","",INDEX('Prospect Tracker'!$W$5:$W$554,$K505)))</f>
        <v/>
      </c>
      <c r="B505" s="25">
        <f>IF($K505="","",IF(INDEX('Prospect Tracker'!$A$5:$A$554,$K505)="","",INDEX('Prospect Tracker'!$A$5:$A$554,$K505)))</f>
        <v/>
      </c>
      <c r="C505" s="25">
        <f>IF($K505="","",IF(INDEX('Prospect Tracker'!$B$5:$B$554,$K505)="","",INDEX('Prospect Tracker'!$B$5:$B$554,$K505)))</f>
        <v/>
      </c>
      <c r="D505" s="25">
        <f>IF($K505="","",IF(INDEX('Prospect Tracker'!$M$5:$M$554,$K505)="","",INDEX('Prospect Tracker'!$M$5:$M$554,$K505)))</f>
        <v/>
      </c>
      <c r="E505" s="25">
        <f>IF($K505="","",IF(INDEX('Prospect Tracker'!$R$5:$R$554,$K505)="","",INDEX('Prospect Tracker'!$R$5:$R$554,$K505)))</f>
        <v/>
      </c>
      <c r="F505" s="25">
        <f>IF($K505="","",IF(INDEX('Prospect Tracker'!$J$5:$J$554,$K505)="","",INDEX('Prospect Tracker'!$J$5:$J$554,$K505)))</f>
        <v/>
      </c>
      <c r="G505" s="25">
        <f>IF($K505="","",IF(INDEX('Prospect Tracker'!$H$5:$H$554,$K505)="","",INDEX('Prospect Tracker'!$H$5:$H$554,$K505)))</f>
        <v/>
      </c>
      <c r="H505" s="26">
        <f>IF($K505="","",IF(INDEX('Prospect Tracker'!$K$5:$K$554,$K505)="","",INDEX('Prospect Tracker'!$K$5:$K$554,$K505)))</f>
        <v/>
      </c>
      <c r="I505" s="25">
        <f>IF($K505="","",IF(INDEX('Prospect Tracker'!$T$5:$T$554,$K505)="","",INDEX('Prospect Tracker'!$T$5:$T$554,$K505)))</f>
        <v/>
      </c>
      <c r="J505" s="25">
        <f>IF($K505="","",IF(INDEX('Prospect Tracker'!$L$5:$L$554,$K505)="","",INDEX('Prospect Tracker'!$L$5:$L$554,$K505)))</f>
        <v/>
      </c>
      <c r="K505" s="19">
        <f>IFERROR(MATCH(SMALL('Prospect Tracker'!$X$5:$X$554,ROW()-4),'Prospect Tracker'!$X$5:$X$554,0),"")</f>
        <v/>
      </c>
    </row>
    <row r="506" ht="15" customHeight="1" s="20">
      <c r="A506" s="30">
        <f>IF($K506="","",IF(INDEX('Prospect Tracker'!$W$5:$W$554,$K506)="","",INDEX('Prospect Tracker'!$W$5:$W$554,$K506)))</f>
        <v/>
      </c>
      <c r="B506" s="30">
        <f>IF($K506="","",IF(INDEX('Prospect Tracker'!$A$5:$A$554,$K506)="","",INDEX('Prospect Tracker'!$A$5:$A$554,$K506)))</f>
        <v/>
      </c>
      <c r="C506" s="30">
        <f>IF($K506="","",IF(INDEX('Prospect Tracker'!$B$5:$B$554,$K506)="","",INDEX('Prospect Tracker'!$B$5:$B$554,$K506)))</f>
        <v/>
      </c>
      <c r="D506" s="30">
        <f>IF($K506="","",IF(INDEX('Prospect Tracker'!$M$5:$M$554,$K506)="","",INDEX('Prospect Tracker'!$M$5:$M$554,$K506)))</f>
        <v/>
      </c>
      <c r="E506" s="30">
        <f>IF($K506="","",IF(INDEX('Prospect Tracker'!$R$5:$R$554,$K506)="","",INDEX('Prospect Tracker'!$R$5:$R$554,$K506)))</f>
        <v/>
      </c>
      <c r="F506" s="30">
        <f>IF($K506="","",IF(INDEX('Prospect Tracker'!$J$5:$J$554,$K506)="","",INDEX('Prospect Tracker'!$J$5:$J$554,$K506)))</f>
        <v/>
      </c>
      <c r="G506" s="30">
        <f>IF($K506="","",IF(INDEX('Prospect Tracker'!$H$5:$H$554,$K506)="","",INDEX('Prospect Tracker'!$H$5:$H$554,$K506)))</f>
        <v/>
      </c>
      <c r="H506" s="31">
        <f>IF($K506="","",IF(INDEX('Prospect Tracker'!$K$5:$K$554,$K506)="","",INDEX('Prospect Tracker'!$K$5:$K$554,$K506)))</f>
        <v/>
      </c>
      <c r="I506" s="30">
        <f>IF($K506="","",IF(INDEX('Prospect Tracker'!$T$5:$T$554,$K506)="","",INDEX('Prospect Tracker'!$T$5:$T$554,$K506)))</f>
        <v/>
      </c>
      <c r="J506" s="30">
        <f>IF($K506="","",IF(INDEX('Prospect Tracker'!$L$5:$L$554,$K506)="","",INDEX('Prospect Tracker'!$L$5:$L$554,$K506)))</f>
        <v/>
      </c>
      <c r="K506" s="19">
        <f>IFERROR(MATCH(SMALL('Prospect Tracker'!$X$5:$X$554,ROW()-4),'Prospect Tracker'!$X$5:$X$554,0),"")</f>
        <v/>
      </c>
    </row>
    <row r="507" ht="15" customHeight="1" s="20">
      <c r="A507" s="25">
        <f>IF($K507="","",IF(INDEX('Prospect Tracker'!$W$5:$W$554,$K507)="","",INDEX('Prospect Tracker'!$W$5:$W$554,$K507)))</f>
        <v/>
      </c>
      <c r="B507" s="25">
        <f>IF($K507="","",IF(INDEX('Prospect Tracker'!$A$5:$A$554,$K507)="","",INDEX('Prospect Tracker'!$A$5:$A$554,$K507)))</f>
        <v/>
      </c>
      <c r="C507" s="25">
        <f>IF($K507="","",IF(INDEX('Prospect Tracker'!$B$5:$B$554,$K507)="","",INDEX('Prospect Tracker'!$B$5:$B$554,$K507)))</f>
        <v/>
      </c>
      <c r="D507" s="25">
        <f>IF($K507="","",IF(INDEX('Prospect Tracker'!$M$5:$M$554,$K507)="","",INDEX('Prospect Tracker'!$M$5:$M$554,$K507)))</f>
        <v/>
      </c>
      <c r="E507" s="25">
        <f>IF($K507="","",IF(INDEX('Prospect Tracker'!$R$5:$R$554,$K507)="","",INDEX('Prospect Tracker'!$R$5:$R$554,$K507)))</f>
        <v/>
      </c>
      <c r="F507" s="25">
        <f>IF($K507="","",IF(INDEX('Prospect Tracker'!$J$5:$J$554,$K507)="","",INDEX('Prospect Tracker'!$J$5:$J$554,$K507)))</f>
        <v/>
      </c>
      <c r="G507" s="25">
        <f>IF($K507="","",IF(INDEX('Prospect Tracker'!$H$5:$H$554,$K507)="","",INDEX('Prospect Tracker'!$H$5:$H$554,$K507)))</f>
        <v/>
      </c>
      <c r="H507" s="26">
        <f>IF($K507="","",IF(INDEX('Prospect Tracker'!$K$5:$K$554,$K507)="","",INDEX('Prospect Tracker'!$K$5:$K$554,$K507)))</f>
        <v/>
      </c>
      <c r="I507" s="25">
        <f>IF($K507="","",IF(INDEX('Prospect Tracker'!$T$5:$T$554,$K507)="","",INDEX('Prospect Tracker'!$T$5:$T$554,$K507)))</f>
        <v/>
      </c>
      <c r="J507" s="25">
        <f>IF($K507="","",IF(INDEX('Prospect Tracker'!$L$5:$L$554,$K507)="","",INDEX('Prospect Tracker'!$L$5:$L$554,$K507)))</f>
        <v/>
      </c>
      <c r="K507" s="19">
        <f>IFERROR(MATCH(SMALL('Prospect Tracker'!$X$5:$X$554,ROW()-4),'Prospect Tracker'!$X$5:$X$554,0),"")</f>
        <v/>
      </c>
    </row>
    <row r="508" ht="15" customHeight="1" s="20">
      <c r="A508" s="30">
        <f>IF($K508="","",IF(INDEX('Prospect Tracker'!$W$5:$W$554,$K508)="","",INDEX('Prospect Tracker'!$W$5:$W$554,$K508)))</f>
        <v/>
      </c>
      <c r="B508" s="30">
        <f>IF($K508="","",IF(INDEX('Prospect Tracker'!$A$5:$A$554,$K508)="","",INDEX('Prospect Tracker'!$A$5:$A$554,$K508)))</f>
        <v/>
      </c>
      <c r="C508" s="30">
        <f>IF($K508="","",IF(INDEX('Prospect Tracker'!$B$5:$B$554,$K508)="","",INDEX('Prospect Tracker'!$B$5:$B$554,$K508)))</f>
        <v/>
      </c>
      <c r="D508" s="30">
        <f>IF($K508="","",IF(INDEX('Prospect Tracker'!$M$5:$M$554,$K508)="","",INDEX('Prospect Tracker'!$M$5:$M$554,$K508)))</f>
        <v/>
      </c>
      <c r="E508" s="30">
        <f>IF($K508="","",IF(INDEX('Prospect Tracker'!$R$5:$R$554,$K508)="","",INDEX('Prospect Tracker'!$R$5:$R$554,$K508)))</f>
        <v/>
      </c>
      <c r="F508" s="30">
        <f>IF($K508="","",IF(INDEX('Prospect Tracker'!$J$5:$J$554,$K508)="","",INDEX('Prospect Tracker'!$J$5:$J$554,$K508)))</f>
        <v/>
      </c>
      <c r="G508" s="30">
        <f>IF($K508="","",IF(INDEX('Prospect Tracker'!$H$5:$H$554,$K508)="","",INDEX('Prospect Tracker'!$H$5:$H$554,$K508)))</f>
        <v/>
      </c>
      <c r="H508" s="31">
        <f>IF($K508="","",IF(INDEX('Prospect Tracker'!$K$5:$K$554,$K508)="","",INDEX('Prospect Tracker'!$K$5:$K$554,$K508)))</f>
        <v/>
      </c>
      <c r="I508" s="30">
        <f>IF($K508="","",IF(INDEX('Prospect Tracker'!$T$5:$T$554,$K508)="","",INDEX('Prospect Tracker'!$T$5:$T$554,$K508)))</f>
        <v/>
      </c>
      <c r="J508" s="30">
        <f>IF($K508="","",IF(INDEX('Prospect Tracker'!$L$5:$L$554,$K508)="","",INDEX('Prospect Tracker'!$L$5:$L$554,$K508)))</f>
        <v/>
      </c>
      <c r="K508" s="19">
        <f>IFERROR(MATCH(SMALL('Prospect Tracker'!$X$5:$X$554,ROW()-4),'Prospect Tracker'!$X$5:$X$554,0),"")</f>
        <v/>
      </c>
    </row>
    <row r="509" ht="15" customHeight="1" s="20">
      <c r="A509" s="25">
        <f>IF($K509="","",IF(INDEX('Prospect Tracker'!$W$5:$W$554,$K509)="","",INDEX('Prospect Tracker'!$W$5:$W$554,$K509)))</f>
        <v/>
      </c>
      <c r="B509" s="25">
        <f>IF($K509="","",IF(INDEX('Prospect Tracker'!$A$5:$A$554,$K509)="","",INDEX('Prospect Tracker'!$A$5:$A$554,$K509)))</f>
        <v/>
      </c>
      <c r="C509" s="25">
        <f>IF($K509="","",IF(INDEX('Prospect Tracker'!$B$5:$B$554,$K509)="","",INDEX('Prospect Tracker'!$B$5:$B$554,$K509)))</f>
        <v/>
      </c>
      <c r="D509" s="25">
        <f>IF($K509="","",IF(INDEX('Prospect Tracker'!$M$5:$M$554,$K509)="","",INDEX('Prospect Tracker'!$M$5:$M$554,$K509)))</f>
        <v/>
      </c>
      <c r="E509" s="25">
        <f>IF($K509="","",IF(INDEX('Prospect Tracker'!$R$5:$R$554,$K509)="","",INDEX('Prospect Tracker'!$R$5:$R$554,$K509)))</f>
        <v/>
      </c>
      <c r="F509" s="25">
        <f>IF($K509="","",IF(INDEX('Prospect Tracker'!$J$5:$J$554,$K509)="","",INDEX('Prospect Tracker'!$J$5:$J$554,$K509)))</f>
        <v/>
      </c>
      <c r="G509" s="25">
        <f>IF($K509="","",IF(INDEX('Prospect Tracker'!$H$5:$H$554,$K509)="","",INDEX('Prospect Tracker'!$H$5:$H$554,$K509)))</f>
        <v/>
      </c>
      <c r="H509" s="26">
        <f>IF($K509="","",IF(INDEX('Prospect Tracker'!$K$5:$K$554,$K509)="","",INDEX('Prospect Tracker'!$K$5:$K$554,$K509)))</f>
        <v/>
      </c>
      <c r="I509" s="25">
        <f>IF($K509="","",IF(INDEX('Prospect Tracker'!$T$5:$T$554,$K509)="","",INDEX('Prospect Tracker'!$T$5:$T$554,$K509)))</f>
        <v/>
      </c>
      <c r="J509" s="25">
        <f>IF($K509="","",IF(INDEX('Prospect Tracker'!$L$5:$L$554,$K509)="","",INDEX('Prospect Tracker'!$L$5:$L$554,$K509)))</f>
        <v/>
      </c>
      <c r="K509" s="19">
        <f>IFERROR(MATCH(SMALL('Prospect Tracker'!$X$5:$X$554,ROW()-4),'Prospect Tracker'!$X$5:$X$554,0),"")</f>
        <v/>
      </c>
    </row>
    <row r="510" ht="15" customHeight="1" s="20">
      <c r="A510" s="30">
        <f>IF($K510="","",IF(INDEX('Prospect Tracker'!$W$5:$W$554,$K510)="","",INDEX('Prospect Tracker'!$W$5:$W$554,$K510)))</f>
        <v/>
      </c>
      <c r="B510" s="30">
        <f>IF($K510="","",IF(INDEX('Prospect Tracker'!$A$5:$A$554,$K510)="","",INDEX('Prospect Tracker'!$A$5:$A$554,$K510)))</f>
        <v/>
      </c>
      <c r="C510" s="30">
        <f>IF($K510="","",IF(INDEX('Prospect Tracker'!$B$5:$B$554,$K510)="","",INDEX('Prospect Tracker'!$B$5:$B$554,$K510)))</f>
        <v/>
      </c>
      <c r="D510" s="30">
        <f>IF($K510="","",IF(INDEX('Prospect Tracker'!$M$5:$M$554,$K510)="","",INDEX('Prospect Tracker'!$M$5:$M$554,$K510)))</f>
        <v/>
      </c>
      <c r="E510" s="30">
        <f>IF($K510="","",IF(INDEX('Prospect Tracker'!$R$5:$R$554,$K510)="","",INDEX('Prospect Tracker'!$R$5:$R$554,$K510)))</f>
        <v/>
      </c>
      <c r="F510" s="30">
        <f>IF($K510="","",IF(INDEX('Prospect Tracker'!$J$5:$J$554,$K510)="","",INDEX('Prospect Tracker'!$J$5:$J$554,$K510)))</f>
        <v/>
      </c>
      <c r="G510" s="30">
        <f>IF($K510="","",IF(INDEX('Prospect Tracker'!$H$5:$H$554,$K510)="","",INDEX('Prospect Tracker'!$H$5:$H$554,$K510)))</f>
        <v/>
      </c>
      <c r="H510" s="31">
        <f>IF($K510="","",IF(INDEX('Prospect Tracker'!$K$5:$K$554,$K510)="","",INDEX('Prospect Tracker'!$K$5:$K$554,$K510)))</f>
        <v/>
      </c>
      <c r="I510" s="30">
        <f>IF($K510="","",IF(INDEX('Prospect Tracker'!$T$5:$T$554,$K510)="","",INDEX('Prospect Tracker'!$T$5:$T$554,$K510)))</f>
        <v/>
      </c>
      <c r="J510" s="30">
        <f>IF($K510="","",IF(INDEX('Prospect Tracker'!$L$5:$L$554,$K510)="","",INDEX('Prospect Tracker'!$L$5:$L$554,$K510)))</f>
        <v/>
      </c>
      <c r="K510" s="19">
        <f>IFERROR(MATCH(SMALL('Prospect Tracker'!$X$5:$X$554,ROW()-4),'Prospect Tracker'!$X$5:$X$554,0),"")</f>
        <v/>
      </c>
    </row>
    <row r="511" ht="15" customHeight="1" s="20">
      <c r="A511" s="25">
        <f>IF($K511="","",IF(INDEX('Prospect Tracker'!$W$5:$W$554,$K511)="","",INDEX('Prospect Tracker'!$W$5:$W$554,$K511)))</f>
        <v/>
      </c>
      <c r="B511" s="25">
        <f>IF($K511="","",IF(INDEX('Prospect Tracker'!$A$5:$A$554,$K511)="","",INDEX('Prospect Tracker'!$A$5:$A$554,$K511)))</f>
        <v/>
      </c>
      <c r="C511" s="25">
        <f>IF($K511="","",IF(INDEX('Prospect Tracker'!$B$5:$B$554,$K511)="","",INDEX('Prospect Tracker'!$B$5:$B$554,$K511)))</f>
        <v/>
      </c>
      <c r="D511" s="25">
        <f>IF($K511="","",IF(INDEX('Prospect Tracker'!$M$5:$M$554,$K511)="","",INDEX('Prospect Tracker'!$M$5:$M$554,$K511)))</f>
        <v/>
      </c>
      <c r="E511" s="25">
        <f>IF($K511="","",IF(INDEX('Prospect Tracker'!$R$5:$R$554,$K511)="","",INDEX('Prospect Tracker'!$R$5:$R$554,$K511)))</f>
        <v/>
      </c>
      <c r="F511" s="25">
        <f>IF($K511="","",IF(INDEX('Prospect Tracker'!$J$5:$J$554,$K511)="","",INDEX('Prospect Tracker'!$J$5:$J$554,$K511)))</f>
        <v/>
      </c>
      <c r="G511" s="25">
        <f>IF($K511="","",IF(INDEX('Prospect Tracker'!$H$5:$H$554,$K511)="","",INDEX('Prospect Tracker'!$H$5:$H$554,$K511)))</f>
        <v/>
      </c>
      <c r="H511" s="26">
        <f>IF($K511="","",IF(INDEX('Prospect Tracker'!$K$5:$K$554,$K511)="","",INDEX('Prospect Tracker'!$K$5:$K$554,$K511)))</f>
        <v/>
      </c>
      <c r="I511" s="25">
        <f>IF($K511="","",IF(INDEX('Prospect Tracker'!$T$5:$T$554,$K511)="","",INDEX('Prospect Tracker'!$T$5:$T$554,$K511)))</f>
        <v/>
      </c>
      <c r="J511" s="25">
        <f>IF($K511="","",IF(INDEX('Prospect Tracker'!$L$5:$L$554,$K511)="","",INDEX('Prospect Tracker'!$L$5:$L$554,$K511)))</f>
        <v/>
      </c>
      <c r="K511" s="19">
        <f>IFERROR(MATCH(SMALL('Prospect Tracker'!$X$5:$X$554,ROW()-4),'Prospect Tracker'!$X$5:$X$554,0),"")</f>
        <v/>
      </c>
    </row>
    <row r="512" ht="15" customHeight="1" s="20">
      <c r="A512" s="30">
        <f>IF($K512="","",IF(INDEX('Prospect Tracker'!$W$5:$W$554,$K512)="","",INDEX('Prospect Tracker'!$W$5:$W$554,$K512)))</f>
        <v/>
      </c>
      <c r="B512" s="30">
        <f>IF($K512="","",IF(INDEX('Prospect Tracker'!$A$5:$A$554,$K512)="","",INDEX('Prospect Tracker'!$A$5:$A$554,$K512)))</f>
        <v/>
      </c>
      <c r="C512" s="30">
        <f>IF($K512="","",IF(INDEX('Prospect Tracker'!$B$5:$B$554,$K512)="","",INDEX('Prospect Tracker'!$B$5:$B$554,$K512)))</f>
        <v/>
      </c>
      <c r="D512" s="30">
        <f>IF($K512="","",IF(INDEX('Prospect Tracker'!$M$5:$M$554,$K512)="","",INDEX('Prospect Tracker'!$M$5:$M$554,$K512)))</f>
        <v/>
      </c>
      <c r="E512" s="30">
        <f>IF($K512="","",IF(INDEX('Prospect Tracker'!$R$5:$R$554,$K512)="","",INDEX('Prospect Tracker'!$R$5:$R$554,$K512)))</f>
        <v/>
      </c>
      <c r="F512" s="30">
        <f>IF($K512="","",IF(INDEX('Prospect Tracker'!$J$5:$J$554,$K512)="","",INDEX('Prospect Tracker'!$J$5:$J$554,$K512)))</f>
        <v/>
      </c>
      <c r="G512" s="30">
        <f>IF($K512="","",IF(INDEX('Prospect Tracker'!$H$5:$H$554,$K512)="","",INDEX('Prospect Tracker'!$H$5:$H$554,$K512)))</f>
        <v/>
      </c>
      <c r="H512" s="31">
        <f>IF($K512="","",IF(INDEX('Prospect Tracker'!$K$5:$K$554,$K512)="","",INDEX('Prospect Tracker'!$K$5:$K$554,$K512)))</f>
        <v/>
      </c>
      <c r="I512" s="30">
        <f>IF($K512="","",IF(INDEX('Prospect Tracker'!$T$5:$T$554,$K512)="","",INDEX('Prospect Tracker'!$T$5:$T$554,$K512)))</f>
        <v/>
      </c>
      <c r="J512" s="30">
        <f>IF($K512="","",IF(INDEX('Prospect Tracker'!$L$5:$L$554,$K512)="","",INDEX('Prospect Tracker'!$L$5:$L$554,$K512)))</f>
        <v/>
      </c>
      <c r="K512" s="19">
        <f>IFERROR(MATCH(SMALL('Prospect Tracker'!$X$5:$X$554,ROW()-4),'Prospect Tracker'!$X$5:$X$554,0),"")</f>
        <v/>
      </c>
    </row>
    <row r="513" ht="15" customHeight="1" s="20">
      <c r="A513" s="25">
        <f>IF($K513="","",IF(INDEX('Prospect Tracker'!$W$5:$W$554,$K513)="","",INDEX('Prospect Tracker'!$W$5:$W$554,$K513)))</f>
        <v/>
      </c>
      <c r="B513" s="25">
        <f>IF($K513="","",IF(INDEX('Prospect Tracker'!$A$5:$A$554,$K513)="","",INDEX('Prospect Tracker'!$A$5:$A$554,$K513)))</f>
        <v/>
      </c>
      <c r="C513" s="25">
        <f>IF($K513="","",IF(INDEX('Prospect Tracker'!$B$5:$B$554,$K513)="","",INDEX('Prospect Tracker'!$B$5:$B$554,$K513)))</f>
        <v/>
      </c>
      <c r="D513" s="25">
        <f>IF($K513="","",IF(INDEX('Prospect Tracker'!$M$5:$M$554,$K513)="","",INDEX('Prospect Tracker'!$M$5:$M$554,$K513)))</f>
        <v/>
      </c>
      <c r="E513" s="25">
        <f>IF($K513="","",IF(INDEX('Prospect Tracker'!$R$5:$R$554,$K513)="","",INDEX('Prospect Tracker'!$R$5:$R$554,$K513)))</f>
        <v/>
      </c>
      <c r="F513" s="25">
        <f>IF($K513="","",IF(INDEX('Prospect Tracker'!$J$5:$J$554,$K513)="","",INDEX('Prospect Tracker'!$J$5:$J$554,$K513)))</f>
        <v/>
      </c>
      <c r="G513" s="25">
        <f>IF($K513="","",IF(INDEX('Prospect Tracker'!$H$5:$H$554,$K513)="","",INDEX('Prospect Tracker'!$H$5:$H$554,$K513)))</f>
        <v/>
      </c>
      <c r="H513" s="26">
        <f>IF($K513="","",IF(INDEX('Prospect Tracker'!$K$5:$K$554,$K513)="","",INDEX('Prospect Tracker'!$K$5:$K$554,$K513)))</f>
        <v/>
      </c>
      <c r="I513" s="25">
        <f>IF($K513="","",IF(INDEX('Prospect Tracker'!$T$5:$T$554,$K513)="","",INDEX('Prospect Tracker'!$T$5:$T$554,$K513)))</f>
        <v/>
      </c>
      <c r="J513" s="25">
        <f>IF($K513="","",IF(INDEX('Prospect Tracker'!$L$5:$L$554,$K513)="","",INDEX('Prospect Tracker'!$L$5:$L$554,$K513)))</f>
        <v/>
      </c>
      <c r="K513" s="19">
        <f>IFERROR(MATCH(SMALL('Prospect Tracker'!$X$5:$X$554,ROW()-4),'Prospect Tracker'!$X$5:$X$554,0),"")</f>
        <v/>
      </c>
    </row>
    <row r="514" ht="15" customHeight="1" s="20">
      <c r="A514" s="30">
        <f>IF($K514="","",IF(INDEX('Prospect Tracker'!$W$5:$W$554,$K514)="","",INDEX('Prospect Tracker'!$W$5:$W$554,$K514)))</f>
        <v/>
      </c>
      <c r="B514" s="30">
        <f>IF($K514="","",IF(INDEX('Prospect Tracker'!$A$5:$A$554,$K514)="","",INDEX('Prospect Tracker'!$A$5:$A$554,$K514)))</f>
        <v/>
      </c>
      <c r="C514" s="30">
        <f>IF($K514="","",IF(INDEX('Prospect Tracker'!$B$5:$B$554,$K514)="","",INDEX('Prospect Tracker'!$B$5:$B$554,$K514)))</f>
        <v/>
      </c>
      <c r="D514" s="30">
        <f>IF($K514="","",IF(INDEX('Prospect Tracker'!$M$5:$M$554,$K514)="","",INDEX('Prospect Tracker'!$M$5:$M$554,$K514)))</f>
        <v/>
      </c>
      <c r="E514" s="30">
        <f>IF($K514="","",IF(INDEX('Prospect Tracker'!$R$5:$R$554,$K514)="","",INDEX('Prospect Tracker'!$R$5:$R$554,$K514)))</f>
        <v/>
      </c>
      <c r="F514" s="30">
        <f>IF($K514="","",IF(INDEX('Prospect Tracker'!$J$5:$J$554,$K514)="","",INDEX('Prospect Tracker'!$J$5:$J$554,$K514)))</f>
        <v/>
      </c>
      <c r="G514" s="30">
        <f>IF($K514="","",IF(INDEX('Prospect Tracker'!$H$5:$H$554,$K514)="","",INDEX('Prospect Tracker'!$H$5:$H$554,$K514)))</f>
        <v/>
      </c>
      <c r="H514" s="31">
        <f>IF($K514="","",IF(INDEX('Prospect Tracker'!$K$5:$K$554,$K514)="","",INDEX('Prospect Tracker'!$K$5:$K$554,$K514)))</f>
        <v/>
      </c>
      <c r="I514" s="30">
        <f>IF($K514="","",IF(INDEX('Prospect Tracker'!$T$5:$T$554,$K514)="","",INDEX('Prospect Tracker'!$T$5:$T$554,$K514)))</f>
        <v/>
      </c>
      <c r="J514" s="30">
        <f>IF($K514="","",IF(INDEX('Prospect Tracker'!$L$5:$L$554,$K514)="","",INDEX('Prospect Tracker'!$L$5:$L$554,$K514)))</f>
        <v/>
      </c>
      <c r="K514" s="19">
        <f>IFERROR(MATCH(SMALL('Prospect Tracker'!$X$5:$X$554,ROW()-4),'Prospect Tracker'!$X$5:$X$554,0),"")</f>
        <v/>
      </c>
    </row>
    <row r="515" ht="15" customHeight="1" s="20">
      <c r="A515" s="25">
        <f>IF($K515="","",IF(INDEX('Prospect Tracker'!$W$5:$W$554,$K515)="","",INDEX('Prospect Tracker'!$W$5:$W$554,$K515)))</f>
        <v/>
      </c>
      <c r="B515" s="25">
        <f>IF($K515="","",IF(INDEX('Prospect Tracker'!$A$5:$A$554,$K515)="","",INDEX('Prospect Tracker'!$A$5:$A$554,$K515)))</f>
        <v/>
      </c>
      <c r="C515" s="25">
        <f>IF($K515="","",IF(INDEX('Prospect Tracker'!$B$5:$B$554,$K515)="","",INDEX('Prospect Tracker'!$B$5:$B$554,$K515)))</f>
        <v/>
      </c>
      <c r="D515" s="25">
        <f>IF($K515="","",IF(INDEX('Prospect Tracker'!$M$5:$M$554,$K515)="","",INDEX('Prospect Tracker'!$M$5:$M$554,$K515)))</f>
        <v/>
      </c>
      <c r="E515" s="25">
        <f>IF($K515="","",IF(INDEX('Prospect Tracker'!$R$5:$R$554,$K515)="","",INDEX('Prospect Tracker'!$R$5:$R$554,$K515)))</f>
        <v/>
      </c>
      <c r="F515" s="25">
        <f>IF($K515="","",IF(INDEX('Prospect Tracker'!$J$5:$J$554,$K515)="","",INDEX('Prospect Tracker'!$J$5:$J$554,$K515)))</f>
        <v/>
      </c>
      <c r="G515" s="25">
        <f>IF($K515="","",IF(INDEX('Prospect Tracker'!$H$5:$H$554,$K515)="","",INDEX('Prospect Tracker'!$H$5:$H$554,$K515)))</f>
        <v/>
      </c>
      <c r="H515" s="26">
        <f>IF($K515="","",IF(INDEX('Prospect Tracker'!$K$5:$K$554,$K515)="","",INDEX('Prospect Tracker'!$K$5:$K$554,$K515)))</f>
        <v/>
      </c>
      <c r="I515" s="25">
        <f>IF($K515="","",IF(INDEX('Prospect Tracker'!$T$5:$T$554,$K515)="","",INDEX('Prospect Tracker'!$T$5:$T$554,$K515)))</f>
        <v/>
      </c>
      <c r="J515" s="25">
        <f>IF($K515="","",IF(INDEX('Prospect Tracker'!$L$5:$L$554,$K515)="","",INDEX('Prospect Tracker'!$L$5:$L$554,$K515)))</f>
        <v/>
      </c>
      <c r="K515" s="19">
        <f>IFERROR(MATCH(SMALL('Prospect Tracker'!$X$5:$X$554,ROW()-4),'Prospect Tracker'!$X$5:$X$554,0),"")</f>
        <v/>
      </c>
    </row>
    <row r="516" ht="15" customHeight="1" s="20">
      <c r="A516" s="30">
        <f>IF($K516="","",IF(INDEX('Prospect Tracker'!$W$5:$W$554,$K516)="","",INDEX('Prospect Tracker'!$W$5:$W$554,$K516)))</f>
        <v/>
      </c>
      <c r="B516" s="30">
        <f>IF($K516="","",IF(INDEX('Prospect Tracker'!$A$5:$A$554,$K516)="","",INDEX('Prospect Tracker'!$A$5:$A$554,$K516)))</f>
        <v/>
      </c>
      <c r="C516" s="30">
        <f>IF($K516="","",IF(INDEX('Prospect Tracker'!$B$5:$B$554,$K516)="","",INDEX('Prospect Tracker'!$B$5:$B$554,$K516)))</f>
        <v/>
      </c>
      <c r="D516" s="30">
        <f>IF($K516="","",IF(INDEX('Prospect Tracker'!$M$5:$M$554,$K516)="","",INDEX('Prospect Tracker'!$M$5:$M$554,$K516)))</f>
        <v/>
      </c>
      <c r="E516" s="30">
        <f>IF($K516="","",IF(INDEX('Prospect Tracker'!$R$5:$R$554,$K516)="","",INDEX('Prospect Tracker'!$R$5:$R$554,$K516)))</f>
        <v/>
      </c>
      <c r="F516" s="30">
        <f>IF($K516="","",IF(INDEX('Prospect Tracker'!$J$5:$J$554,$K516)="","",INDEX('Prospect Tracker'!$J$5:$J$554,$K516)))</f>
        <v/>
      </c>
      <c r="G516" s="30">
        <f>IF($K516="","",IF(INDEX('Prospect Tracker'!$H$5:$H$554,$K516)="","",INDEX('Prospect Tracker'!$H$5:$H$554,$K516)))</f>
        <v/>
      </c>
      <c r="H516" s="31">
        <f>IF($K516="","",IF(INDEX('Prospect Tracker'!$K$5:$K$554,$K516)="","",INDEX('Prospect Tracker'!$K$5:$K$554,$K516)))</f>
        <v/>
      </c>
      <c r="I516" s="30">
        <f>IF($K516="","",IF(INDEX('Prospect Tracker'!$T$5:$T$554,$K516)="","",INDEX('Prospect Tracker'!$T$5:$T$554,$K516)))</f>
        <v/>
      </c>
      <c r="J516" s="30">
        <f>IF($K516="","",IF(INDEX('Prospect Tracker'!$L$5:$L$554,$K516)="","",INDEX('Prospect Tracker'!$L$5:$L$554,$K516)))</f>
        <v/>
      </c>
      <c r="K516" s="19">
        <f>IFERROR(MATCH(SMALL('Prospect Tracker'!$X$5:$X$554,ROW()-4),'Prospect Tracker'!$X$5:$X$554,0),"")</f>
        <v/>
      </c>
    </row>
    <row r="517" ht="15" customHeight="1" s="20">
      <c r="A517" s="25">
        <f>IF($K517="","",IF(INDEX('Prospect Tracker'!$W$5:$W$554,$K517)="","",INDEX('Prospect Tracker'!$W$5:$W$554,$K517)))</f>
        <v/>
      </c>
      <c r="B517" s="25">
        <f>IF($K517="","",IF(INDEX('Prospect Tracker'!$A$5:$A$554,$K517)="","",INDEX('Prospect Tracker'!$A$5:$A$554,$K517)))</f>
        <v/>
      </c>
      <c r="C517" s="25">
        <f>IF($K517="","",IF(INDEX('Prospect Tracker'!$B$5:$B$554,$K517)="","",INDEX('Prospect Tracker'!$B$5:$B$554,$K517)))</f>
        <v/>
      </c>
      <c r="D517" s="25">
        <f>IF($K517="","",IF(INDEX('Prospect Tracker'!$M$5:$M$554,$K517)="","",INDEX('Prospect Tracker'!$M$5:$M$554,$K517)))</f>
        <v/>
      </c>
      <c r="E517" s="25">
        <f>IF($K517="","",IF(INDEX('Prospect Tracker'!$R$5:$R$554,$K517)="","",INDEX('Prospect Tracker'!$R$5:$R$554,$K517)))</f>
        <v/>
      </c>
      <c r="F517" s="25">
        <f>IF($K517="","",IF(INDEX('Prospect Tracker'!$J$5:$J$554,$K517)="","",INDEX('Prospect Tracker'!$J$5:$J$554,$K517)))</f>
        <v/>
      </c>
      <c r="G517" s="25">
        <f>IF($K517="","",IF(INDEX('Prospect Tracker'!$H$5:$H$554,$K517)="","",INDEX('Prospect Tracker'!$H$5:$H$554,$K517)))</f>
        <v/>
      </c>
      <c r="H517" s="26">
        <f>IF($K517="","",IF(INDEX('Prospect Tracker'!$K$5:$K$554,$K517)="","",INDEX('Prospect Tracker'!$K$5:$K$554,$K517)))</f>
        <v/>
      </c>
      <c r="I517" s="25">
        <f>IF($K517="","",IF(INDEX('Prospect Tracker'!$T$5:$T$554,$K517)="","",INDEX('Prospect Tracker'!$T$5:$T$554,$K517)))</f>
        <v/>
      </c>
      <c r="J517" s="25">
        <f>IF($K517="","",IF(INDEX('Prospect Tracker'!$L$5:$L$554,$K517)="","",INDEX('Prospect Tracker'!$L$5:$L$554,$K517)))</f>
        <v/>
      </c>
      <c r="K517" s="19">
        <f>IFERROR(MATCH(SMALL('Prospect Tracker'!$X$5:$X$554,ROW()-4),'Prospect Tracker'!$X$5:$X$554,0),"")</f>
        <v/>
      </c>
    </row>
    <row r="518" ht="15" customHeight="1" s="20">
      <c r="A518" s="30">
        <f>IF($K518="","",IF(INDEX('Prospect Tracker'!$W$5:$W$554,$K518)="","",INDEX('Prospect Tracker'!$W$5:$W$554,$K518)))</f>
        <v/>
      </c>
      <c r="B518" s="30">
        <f>IF($K518="","",IF(INDEX('Prospect Tracker'!$A$5:$A$554,$K518)="","",INDEX('Prospect Tracker'!$A$5:$A$554,$K518)))</f>
        <v/>
      </c>
      <c r="C518" s="30">
        <f>IF($K518="","",IF(INDEX('Prospect Tracker'!$B$5:$B$554,$K518)="","",INDEX('Prospect Tracker'!$B$5:$B$554,$K518)))</f>
        <v/>
      </c>
      <c r="D518" s="30">
        <f>IF($K518="","",IF(INDEX('Prospect Tracker'!$M$5:$M$554,$K518)="","",INDEX('Prospect Tracker'!$M$5:$M$554,$K518)))</f>
        <v/>
      </c>
      <c r="E518" s="30">
        <f>IF($K518="","",IF(INDEX('Prospect Tracker'!$R$5:$R$554,$K518)="","",INDEX('Prospect Tracker'!$R$5:$R$554,$K518)))</f>
        <v/>
      </c>
      <c r="F518" s="30">
        <f>IF($K518="","",IF(INDEX('Prospect Tracker'!$J$5:$J$554,$K518)="","",INDEX('Prospect Tracker'!$J$5:$J$554,$K518)))</f>
        <v/>
      </c>
      <c r="G518" s="30">
        <f>IF($K518="","",IF(INDEX('Prospect Tracker'!$H$5:$H$554,$K518)="","",INDEX('Prospect Tracker'!$H$5:$H$554,$K518)))</f>
        <v/>
      </c>
      <c r="H518" s="31">
        <f>IF($K518="","",IF(INDEX('Prospect Tracker'!$K$5:$K$554,$K518)="","",INDEX('Prospect Tracker'!$K$5:$K$554,$K518)))</f>
        <v/>
      </c>
      <c r="I518" s="30">
        <f>IF($K518="","",IF(INDEX('Prospect Tracker'!$T$5:$T$554,$K518)="","",INDEX('Prospect Tracker'!$T$5:$T$554,$K518)))</f>
        <v/>
      </c>
      <c r="J518" s="30">
        <f>IF($K518="","",IF(INDEX('Prospect Tracker'!$L$5:$L$554,$K518)="","",INDEX('Prospect Tracker'!$L$5:$L$554,$K518)))</f>
        <v/>
      </c>
      <c r="K518" s="19">
        <f>IFERROR(MATCH(SMALL('Prospect Tracker'!$X$5:$X$554,ROW()-4),'Prospect Tracker'!$X$5:$X$554,0),"")</f>
        <v/>
      </c>
    </row>
    <row r="519" ht="15" customHeight="1" s="20">
      <c r="A519" s="25">
        <f>IF($K519="","",IF(INDEX('Prospect Tracker'!$W$5:$W$554,$K519)="","",INDEX('Prospect Tracker'!$W$5:$W$554,$K519)))</f>
        <v/>
      </c>
      <c r="B519" s="25">
        <f>IF($K519="","",IF(INDEX('Prospect Tracker'!$A$5:$A$554,$K519)="","",INDEX('Prospect Tracker'!$A$5:$A$554,$K519)))</f>
        <v/>
      </c>
      <c r="C519" s="25">
        <f>IF($K519="","",IF(INDEX('Prospect Tracker'!$B$5:$B$554,$K519)="","",INDEX('Prospect Tracker'!$B$5:$B$554,$K519)))</f>
        <v/>
      </c>
      <c r="D519" s="25">
        <f>IF($K519="","",IF(INDEX('Prospect Tracker'!$M$5:$M$554,$K519)="","",INDEX('Prospect Tracker'!$M$5:$M$554,$K519)))</f>
        <v/>
      </c>
      <c r="E519" s="25">
        <f>IF($K519="","",IF(INDEX('Prospect Tracker'!$R$5:$R$554,$K519)="","",INDEX('Prospect Tracker'!$R$5:$R$554,$K519)))</f>
        <v/>
      </c>
      <c r="F519" s="25">
        <f>IF($K519="","",IF(INDEX('Prospect Tracker'!$J$5:$J$554,$K519)="","",INDEX('Prospect Tracker'!$J$5:$J$554,$K519)))</f>
        <v/>
      </c>
      <c r="G519" s="25">
        <f>IF($K519="","",IF(INDEX('Prospect Tracker'!$H$5:$H$554,$K519)="","",INDEX('Prospect Tracker'!$H$5:$H$554,$K519)))</f>
        <v/>
      </c>
      <c r="H519" s="26">
        <f>IF($K519="","",IF(INDEX('Prospect Tracker'!$K$5:$K$554,$K519)="","",INDEX('Prospect Tracker'!$K$5:$K$554,$K519)))</f>
        <v/>
      </c>
      <c r="I519" s="25">
        <f>IF($K519="","",IF(INDEX('Prospect Tracker'!$T$5:$T$554,$K519)="","",INDEX('Prospect Tracker'!$T$5:$T$554,$K519)))</f>
        <v/>
      </c>
      <c r="J519" s="25">
        <f>IF($K519="","",IF(INDEX('Prospect Tracker'!$L$5:$L$554,$K519)="","",INDEX('Prospect Tracker'!$L$5:$L$554,$K519)))</f>
        <v/>
      </c>
      <c r="K519" s="19">
        <f>IFERROR(MATCH(SMALL('Prospect Tracker'!$X$5:$X$554,ROW()-4),'Prospect Tracker'!$X$5:$X$554,0),"")</f>
        <v/>
      </c>
    </row>
    <row r="520" ht="15" customHeight="1" s="20">
      <c r="A520" s="30">
        <f>IF($K520="","",IF(INDEX('Prospect Tracker'!$W$5:$W$554,$K520)="","",INDEX('Prospect Tracker'!$W$5:$W$554,$K520)))</f>
        <v/>
      </c>
      <c r="B520" s="30">
        <f>IF($K520="","",IF(INDEX('Prospect Tracker'!$A$5:$A$554,$K520)="","",INDEX('Prospect Tracker'!$A$5:$A$554,$K520)))</f>
        <v/>
      </c>
      <c r="C520" s="30">
        <f>IF($K520="","",IF(INDEX('Prospect Tracker'!$B$5:$B$554,$K520)="","",INDEX('Prospect Tracker'!$B$5:$B$554,$K520)))</f>
        <v/>
      </c>
      <c r="D520" s="30">
        <f>IF($K520="","",IF(INDEX('Prospect Tracker'!$M$5:$M$554,$K520)="","",INDEX('Prospect Tracker'!$M$5:$M$554,$K520)))</f>
        <v/>
      </c>
      <c r="E520" s="30">
        <f>IF($K520="","",IF(INDEX('Prospect Tracker'!$R$5:$R$554,$K520)="","",INDEX('Prospect Tracker'!$R$5:$R$554,$K520)))</f>
        <v/>
      </c>
      <c r="F520" s="30">
        <f>IF($K520="","",IF(INDEX('Prospect Tracker'!$J$5:$J$554,$K520)="","",INDEX('Prospect Tracker'!$J$5:$J$554,$K520)))</f>
        <v/>
      </c>
      <c r="G520" s="30">
        <f>IF($K520="","",IF(INDEX('Prospect Tracker'!$H$5:$H$554,$K520)="","",INDEX('Prospect Tracker'!$H$5:$H$554,$K520)))</f>
        <v/>
      </c>
      <c r="H520" s="31">
        <f>IF($K520="","",IF(INDEX('Prospect Tracker'!$K$5:$K$554,$K520)="","",INDEX('Prospect Tracker'!$K$5:$K$554,$K520)))</f>
        <v/>
      </c>
      <c r="I520" s="30">
        <f>IF($K520="","",IF(INDEX('Prospect Tracker'!$T$5:$T$554,$K520)="","",INDEX('Prospect Tracker'!$T$5:$T$554,$K520)))</f>
        <v/>
      </c>
      <c r="J520" s="30">
        <f>IF($K520="","",IF(INDEX('Prospect Tracker'!$L$5:$L$554,$K520)="","",INDEX('Prospect Tracker'!$L$5:$L$554,$K520)))</f>
        <v/>
      </c>
      <c r="K520" s="19">
        <f>IFERROR(MATCH(SMALL('Prospect Tracker'!$X$5:$X$554,ROW()-4),'Prospect Tracker'!$X$5:$X$554,0),"")</f>
        <v/>
      </c>
    </row>
    <row r="521" ht="15" customHeight="1" s="20">
      <c r="A521" s="25">
        <f>IF($K521="","",IF(INDEX('Prospect Tracker'!$W$5:$W$554,$K521)="","",INDEX('Prospect Tracker'!$W$5:$W$554,$K521)))</f>
        <v/>
      </c>
      <c r="B521" s="25">
        <f>IF($K521="","",IF(INDEX('Prospect Tracker'!$A$5:$A$554,$K521)="","",INDEX('Prospect Tracker'!$A$5:$A$554,$K521)))</f>
        <v/>
      </c>
      <c r="C521" s="25">
        <f>IF($K521="","",IF(INDEX('Prospect Tracker'!$B$5:$B$554,$K521)="","",INDEX('Prospect Tracker'!$B$5:$B$554,$K521)))</f>
        <v/>
      </c>
      <c r="D521" s="25">
        <f>IF($K521="","",IF(INDEX('Prospect Tracker'!$M$5:$M$554,$K521)="","",INDEX('Prospect Tracker'!$M$5:$M$554,$K521)))</f>
        <v/>
      </c>
      <c r="E521" s="25">
        <f>IF($K521="","",IF(INDEX('Prospect Tracker'!$R$5:$R$554,$K521)="","",INDEX('Prospect Tracker'!$R$5:$R$554,$K521)))</f>
        <v/>
      </c>
      <c r="F521" s="25">
        <f>IF($K521="","",IF(INDEX('Prospect Tracker'!$J$5:$J$554,$K521)="","",INDEX('Prospect Tracker'!$J$5:$J$554,$K521)))</f>
        <v/>
      </c>
      <c r="G521" s="25">
        <f>IF($K521="","",IF(INDEX('Prospect Tracker'!$H$5:$H$554,$K521)="","",INDEX('Prospect Tracker'!$H$5:$H$554,$K521)))</f>
        <v/>
      </c>
      <c r="H521" s="26">
        <f>IF($K521="","",IF(INDEX('Prospect Tracker'!$K$5:$K$554,$K521)="","",INDEX('Prospect Tracker'!$K$5:$K$554,$K521)))</f>
        <v/>
      </c>
      <c r="I521" s="25">
        <f>IF($K521="","",IF(INDEX('Prospect Tracker'!$T$5:$T$554,$K521)="","",INDEX('Prospect Tracker'!$T$5:$T$554,$K521)))</f>
        <v/>
      </c>
      <c r="J521" s="25">
        <f>IF($K521="","",IF(INDEX('Prospect Tracker'!$L$5:$L$554,$K521)="","",INDEX('Prospect Tracker'!$L$5:$L$554,$K521)))</f>
        <v/>
      </c>
      <c r="K521" s="19">
        <f>IFERROR(MATCH(SMALL('Prospect Tracker'!$X$5:$X$554,ROW()-4),'Prospect Tracker'!$X$5:$X$554,0),"")</f>
        <v/>
      </c>
    </row>
    <row r="522" ht="15" customHeight="1" s="20">
      <c r="A522" s="30">
        <f>IF($K522="","",IF(INDEX('Prospect Tracker'!$W$5:$W$554,$K522)="","",INDEX('Prospect Tracker'!$W$5:$W$554,$K522)))</f>
        <v/>
      </c>
      <c r="B522" s="30">
        <f>IF($K522="","",IF(INDEX('Prospect Tracker'!$A$5:$A$554,$K522)="","",INDEX('Prospect Tracker'!$A$5:$A$554,$K522)))</f>
        <v/>
      </c>
      <c r="C522" s="30">
        <f>IF($K522="","",IF(INDEX('Prospect Tracker'!$B$5:$B$554,$K522)="","",INDEX('Prospect Tracker'!$B$5:$B$554,$K522)))</f>
        <v/>
      </c>
      <c r="D522" s="30">
        <f>IF($K522="","",IF(INDEX('Prospect Tracker'!$M$5:$M$554,$K522)="","",INDEX('Prospect Tracker'!$M$5:$M$554,$K522)))</f>
        <v/>
      </c>
      <c r="E522" s="30">
        <f>IF($K522="","",IF(INDEX('Prospect Tracker'!$R$5:$R$554,$K522)="","",INDEX('Prospect Tracker'!$R$5:$R$554,$K522)))</f>
        <v/>
      </c>
      <c r="F522" s="30">
        <f>IF($K522="","",IF(INDEX('Prospect Tracker'!$J$5:$J$554,$K522)="","",INDEX('Prospect Tracker'!$J$5:$J$554,$K522)))</f>
        <v/>
      </c>
      <c r="G522" s="30">
        <f>IF($K522="","",IF(INDEX('Prospect Tracker'!$H$5:$H$554,$K522)="","",INDEX('Prospect Tracker'!$H$5:$H$554,$K522)))</f>
        <v/>
      </c>
      <c r="H522" s="31">
        <f>IF($K522="","",IF(INDEX('Prospect Tracker'!$K$5:$K$554,$K522)="","",INDEX('Prospect Tracker'!$K$5:$K$554,$K522)))</f>
        <v/>
      </c>
      <c r="I522" s="30">
        <f>IF($K522="","",IF(INDEX('Prospect Tracker'!$T$5:$T$554,$K522)="","",INDEX('Prospect Tracker'!$T$5:$T$554,$K522)))</f>
        <v/>
      </c>
      <c r="J522" s="30">
        <f>IF($K522="","",IF(INDEX('Prospect Tracker'!$L$5:$L$554,$K522)="","",INDEX('Prospect Tracker'!$L$5:$L$554,$K522)))</f>
        <v/>
      </c>
      <c r="K522" s="19">
        <f>IFERROR(MATCH(SMALL('Prospect Tracker'!$X$5:$X$554,ROW()-4),'Prospect Tracker'!$X$5:$X$554,0),"")</f>
        <v/>
      </c>
    </row>
    <row r="523" ht="15" customHeight="1" s="20">
      <c r="A523" s="25">
        <f>IF($K523="","",IF(INDEX('Prospect Tracker'!$W$5:$W$554,$K523)="","",INDEX('Prospect Tracker'!$W$5:$W$554,$K523)))</f>
        <v/>
      </c>
      <c r="B523" s="25">
        <f>IF($K523="","",IF(INDEX('Prospect Tracker'!$A$5:$A$554,$K523)="","",INDEX('Prospect Tracker'!$A$5:$A$554,$K523)))</f>
        <v/>
      </c>
      <c r="C523" s="25">
        <f>IF($K523="","",IF(INDEX('Prospect Tracker'!$B$5:$B$554,$K523)="","",INDEX('Prospect Tracker'!$B$5:$B$554,$K523)))</f>
        <v/>
      </c>
      <c r="D523" s="25">
        <f>IF($K523="","",IF(INDEX('Prospect Tracker'!$M$5:$M$554,$K523)="","",INDEX('Prospect Tracker'!$M$5:$M$554,$K523)))</f>
        <v/>
      </c>
      <c r="E523" s="25">
        <f>IF($K523="","",IF(INDEX('Prospect Tracker'!$R$5:$R$554,$K523)="","",INDEX('Prospect Tracker'!$R$5:$R$554,$K523)))</f>
        <v/>
      </c>
      <c r="F523" s="25">
        <f>IF($K523="","",IF(INDEX('Prospect Tracker'!$J$5:$J$554,$K523)="","",INDEX('Prospect Tracker'!$J$5:$J$554,$K523)))</f>
        <v/>
      </c>
      <c r="G523" s="25">
        <f>IF($K523="","",IF(INDEX('Prospect Tracker'!$H$5:$H$554,$K523)="","",INDEX('Prospect Tracker'!$H$5:$H$554,$K523)))</f>
        <v/>
      </c>
      <c r="H523" s="26">
        <f>IF($K523="","",IF(INDEX('Prospect Tracker'!$K$5:$K$554,$K523)="","",INDEX('Prospect Tracker'!$K$5:$K$554,$K523)))</f>
        <v/>
      </c>
      <c r="I523" s="25">
        <f>IF($K523="","",IF(INDEX('Prospect Tracker'!$T$5:$T$554,$K523)="","",INDEX('Prospect Tracker'!$T$5:$T$554,$K523)))</f>
        <v/>
      </c>
      <c r="J523" s="25">
        <f>IF($K523="","",IF(INDEX('Prospect Tracker'!$L$5:$L$554,$K523)="","",INDEX('Prospect Tracker'!$L$5:$L$554,$K523)))</f>
        <v/>
      </c>
      <c r="K523" s="19">
        <f>IFERROR(MATCH(SMALL('Prospect Tracker'!$X$5:$X$554,ROW()-4),'Prospect Tracker'!$X$5:$X$554,0),"")</f>
        <v/>
      </c>
    </row>
    <row r="524" ht="15" customHeight="1" s="20">
      <c r="A524" s="30">
        <f>IF($K524="","",IF(INDEX('Prospect Tracker'!$W$5:$W$554,$K524)="","",INDEX('Prospect Tracker'!$W$5:$W$554,$K524)))</f>
        <v/>
      </c>
      <c r="B524" s="30">
        <f>IF($K524="","",IF(INDEX('Prospect Tracker'!$A$5:$A$554,$K524)="","",INDEX('Prospect Tracker'!$A$5:$A$554,$K524)))</f>
        <v/>
      </c>
      <c r="C524" s="30">
        <f>IF($K524="","",IF(INDEX('Prospect Tracker'!$B$5:$B$554,$K524)="","",INDEX('Prospect Tracker'!$B$5:$B$554,$K524)))</f>
        <v/>
      </c>
      <c r="D524" s="30">
        <f>IF($K524="","",IF(INDEX('Prospect Tracker'!$M$5:$M$554,$K524)="","",INDEX('Prospect Tracker'!$M$5:$M$554,$K524)))</f>
        <v/>
      </c>
      <c r="E524" s="30">
        <f>IF($K524="","",IF(INDEX('Prospect Tracker'!$R$5:$R$554,$K524)="","",INDEX('Prospect Tracker'!$R$5:$R$554,$K524)))</f>
        <v/>
      </c>
      <c r="F524" s="30">
        <f>IF($K524="","",IF(INDEX('Prospect Tracker'!$J$5:$J$554,$K524)="","",INDEX('Prospect Tracker'!$J$5:$J$554,$K524)))</f>
        <v/>
      </c>
      <c r="G524" s="30">
        <f>IF($K524="","",IF(INDEX('Prospect Tracker'!$H$5:$H$554,$K524)="","",INDEX('Prospect Tracker'!$H$5:$H$554,$K524)))</f>
        <v/>
      </c>
      <c r="H524" s="31">
        <f>IF($K524="","",IF(INDEX('Prospect Tracker'!$K$5:$K$554,$K524)="","",INDEX('Prospect Tracker'!$K$5:$K$554,$K524)))</f>
        <v/>
      </c>
      <c r="I524" s="30">
        <f>IF($K524="","",IF(INDEX('Prospect Tracker'!$T$5:$T$554,$K524)="","",INDEX('Prospect Tracker'!$T$5:$T$554,$K524)))</f>
        <v/>
      </c>
      <c r="J524" s="30">
        <f>IF($K524="","",IF(INDEX('Prospect Tracker'!$L$5:$L$554,$K524)="","",INDEX('Prospect Tracker'!$L$5:$L$554,$K524)))</f>
        <v/>
      </c>
      <c r="K524" s="19">
        <f>IFERROR(MATCH(SMALL('Prospect Tracker'!$X$5:$X$554,ROW()-4),'Prospect Tracker'!$X$5:$X$554,0),"")</f>
        <v/>
      </c>
    </row>
    <row r="525" ht="15" customHeight="1" s="20">
      <c r="A525" s="25">
        <f>IF($K525="","",IF(INDEX('Prospect Tracker'!$W$5:$W$554,$K525)="","",INDEX('Prospect Tracker'!$W$5:$W$554,$K525)))</f>
        <v/>
      </c>
      <c r="B525" s="25">
        <f>IF($K525="","",IF(INDEX('Prospect Tracker'!$A$5:$A$554,$K525)="","",INDEX('Prospect Tracker'!$A$5:$A$554,$K525)))</f>
        <v/>
      </c>
      <c r="C525" s="25">
        <f>IF($K525="","",IF(INDEX('Prospect Tracker'!$B$5:$B$554,$K525)="","",INDEX('Prospect Tracker'!$B$5:$B$554,$K525)))</f>
        <v/>
      </c>
      <c r="D525" s="25">
        <f>IF($K525="","",IF(INDEX('Prospect Tracker'!$M$5:$M$554,$K525)="","",INDEX('Prospect Tracker'!$M$5:$M$554,$K525)))</f>
        <v/>
      </c>
      <c r="E525" s="25">
        <f>IF($K525="","",IF(INDEX('Prospect Tracker'!$R$5:$R$554,$K525)="","",INDEX('Prospect Tracker'!$R$5:$R$554,$K525)))</f>
        <v/>
      </c>
      <c r="F525" s="25">
        <f>IF($K525="","",IF(INDEX('Prospect Tracker'!$J$5:$J$554,$K525)="","",INDEX('Prospect Tracker'!$J$5:$J$554,$K525)))</f>
        <v/>
      </c>
      <c r="G525" s="25">
        <f>IF($K525="","",IF(INDEX('Prospect Tracker'!$H$5:$H$554,$K525)="","",INDEX('Prospect Tracker'!$H$5:$H$554,$K525)))</f>
        <v/>
      </c>
      <c r="H525" s="26">
        <f>IF($K525="","",IF(INDEX('Prospect Tracker'!$K$5:$K$554,$K525)="","",INDEX('Prospect Tracker'!$K$5:$K$554,$K525)))</f>
        <v/>
      </c>
      <c r="I525" s="25">
        <f>IF($K525="","",IF(INDEX('Prospect Tracker'!$T$5:$T$554,$K525)="","",INDEX('Prospect Tracker'!$T$5:$T$554,$K525)))</f>
        <v/>
      </c>
      <c r="J525" s="25">
        <f>IF($K525="","",IF(INDEX('Prospect Tracker'!$L$5:$L$554,$K525)="","",INDEX('Prospect Tracker'!$L$5:$L$554,$K525)))</f>
        <v/>
      </c>
      <c r="K525" s="19">
        <f>IFERROR(MATCH(SMALL('Prospect Tracker'!$X$5:$X$554,ROW()-4),'Prospect Tracker'!$X$5:$X$554,0),"")</f>
        <v/>
      </c>
    </row>
    <row r="526" ht="15" customHeight="1" s="20">
      <c r="A526" s="30">
        <f>IF($K526="","",IF(INDEX('Prospect Tracker'!$W$5:$W$554,$K526)="","",INDEX('Prospect Tracker'!$W$5:$W$554,$K526)))</f>
        <v/>
      </c>
      <c r="B526" s="30">
        <f>IF($K526="","",IF(INDEX('Prospect Tracker'!$A$5:$A$554,$K526)="","",INDEX('Prospect Tracker'!$A$5:$A$554,$K526)))</f>
        <v/>
      </c>
      <c r="C526" s="30">
        <f>IF($K526="","",IF(INDEX('Prospect Tracker'!$B$5:$B$554,$K526)="","",INDEX('Prospect Tracker'!$B$5:$B$554,$K526)))</f>
        <v/>
      </c>
      <c r="D526" s="30">
        <f>IF($K526="","",IF(INDEX('Prospect Tracker'!$M$5:$M$554,$K526)="","",INDEX('Prospect Tracker'!$M$5:$M$554,$K526)))</f>
        <v/>
      </c>
      <c r="E526" s="30">
        <f>IF($K526="","",IF(INDEX('Prospect Tracker'!$R$5:$R$554,$K526)="","",INDEX('Prospect Tracker'!$R$5:$R$554,$K526)))</f>
        <v/>
      </c>
      <c r="F526" s="30">
        <f>IF($K526="","",IF(INDEX('Prospect Tracker'!$J$5:$J$554,$K526)="","",INDEX('Prospect Tracker'!$J$5:$J$554,$K526)))</f>
        <v/>
      </c>
      <c r="G526" s="30">
        <f>IF($K526="","",IF(INDEX('Prospect Tracker'!$H$5:$H$554,$K526)="","",INDEX('Prospect Tracker'!$H$5:$H$554,$K526)))</f>
        <v/>
      </c>
      <c r="H526" s="31">
        <f>IF($K526="","",IF(INDEX('Prospect Tracker'!$K$5:$K$554,$K526)="","",INDEX('Prospect Tracker'!$K$5:$K$554,$K526)))</f>
        <v/>
      </c>
      <c r="I526" s="30">
        <f>IF($K526="","",IF(INDEX('Prospect Tracker'!$T$5:$T$554,$K526)="","",INDEX('Prospect Tracker'!$T$5:$T$554,$K526)))</f>
        <v/>
      </c>
      <c r="J526" s="30">
        <f>IF($K526="","",IF(INDEX('Prospect Tracker'!$L$5:$L$554,$K526)="","",INDEX('Prospect Tracker'!$L$5:$L$554,$K526)))</f>
        <v/>
      </c>
      <c r="K526" s="19">
        <f>IFERROR(MATCH(SMALL('Prospect Tracker'!$X$5:$X$554,ROW()-4),'Prospect Tracker'!$X$5:$X$554,0),"")</f>
        <v/>
      </c>
    </row>
    <row r="527" ht="15" customHeight="1" s="20">
      <c r="A527" s="25">
        <f>IF($K527="","",IF(INDEX('Prospect Tracker'!$W$5:$W$554,$K527)="","",INDEX('Prospect Tracker'!$W$5:$W$554,$K527)))</f>
        <v/>
      </c>
      <c r="B527" s="25">
        <f>IF($K527="","",IF(INDEX('Prospect Tracker'!$A$5:$A$554,$K527)="","",INDEX('Prospect Tracker'!$A$5:$A$554,$K527)))</f>
        <v/>
      </c>
      <c r="C527" s="25">
        <f>IF($K527="","",IF(INDEX('Prospect Tracker'!$B$5:$B$554,$K527)="","",INDEX('Prospect Tracker'!$B$5:$B$554,$K527)))</f>
        <v/>
      </c>
      <c r="D527" s="25">
        <f>IF($K527="","",IF(INDEX('Prospect Tracker'!$M$5:$M$554,$K527)="","",INDEX('Prospect Tracker'!$M$5:$M$554,$K527)))</f>
        <v/>
      </c>
      <c r="E527" s="25">
        <f>IF($K527="","",IF(INDEX('Prospect Tracker'!$R$5:$R$554,$K527)="","",INDEX('Prospect Tracker'!$R$5:$R$554,$K527)))</f>
        <v/>
      </c>
      <c r="F527" s="25">
        <f>IF($K527="","",IF(INDEX('Prospect Tracker'!$J$5:$J$554,$K527)="","",INDEX('Prospect Tracker'!$J$5:$J$554,$K527)))</f>
        <v/>
      </c>
      <c r="G527" s="25">
        <f>IF($K527="","",IF(INDEX('Prospect Tracker'!$H$5:$H$554,$K527)="","",INDEX('Prospect Tracker'!$H$5:$H$554,$K527)))</f>
        <v/>
      </c>
      <c r="H527" s="26">
        <f>IF($K527="","",IF(INDEX('Prospect Tracker'!$K$5:$K$554,$K527)="","",INDEX('Prospect Tracker'!$K$5:$K$554,$K527)))</f>
        <v/>
      </c>
      <c r="I527" s="25">
        <f>IF($K527="","",IF(INDEX('Prospect Tracker'!$T$5:$T$554,$K527)="","",INDEX('Prospect Tracker'!$T$5:$T$554,$K527)))</f>
        <v/>
      </c>
      <c r="J527" s="25">
        <f>IF($K527="","",IF(INDEX('Prospect Tracker'!$L$5:$L$554,$K527)="","",INDEX('Prospect Tracker'!$L$5:$L$554,$K527)))</f>
        <v/>
      </c>
      <c r="K527" s="19">
        <f>IFERROR(MATCH(SMALL('Prospect Tracker'!$X$5:$X$554,ROW()-4),'Prospect Tracker'!$X$5:$X$554,0),"")</f>
        <v/>
      </c>
    </row>
    <row r="528" ht="15" customHeight="1" s="20">
      <c r="A528" s="30">
        <f>IF($K528="","",IF(INDEX('Prospect Tracker'!$W$5:$W$554,$K528)="","",INDEX('Prospect Tracker'!$W$5:$W$554,$K528)))</f>
        <v/>
      </c>
      <c r="B528" s="30">
        <f>IF($K528="","",IF(INDEX('Prospect Tracker'!$A$5:$A$554,$K528)="","",INDEX('Prospect Tracker'!$A$5:$A$554,$K528)))</f>
        <v/>
      </c>
      <c r="C528" s="30">
        <f>IF($K528="","",IF(INDEX('Prospect Tracker'!$B$5:$B$554,$K528)="","",INDEX('Prospect Tracker'!$B$5:$B$554,$K528)))</f>
        <v/>
      </c>
      <c r="D528" s="30">
        <f>IF($K528="","",IF(INDEX('Prospect Tracker'!$M$5:$M$554,$K528)="","",INDEX('Prospect Tracker'!$M$5:$M$554,$K528)))</f>
        <v/>
      </c>
      <c r="E528" s="30">
        <f>IF($K528="","",IF(INDEX('Prospect Tracker'!$R$5:$R$554,$K528)="","",INDEX('Prospect Tracker'!$R$5:$R$554,$K528)))</f>
        <v/>
      </c>
      <c r="F528" s="30">
        <f>IF($K528="","",IF(INDEX('Prospect Tracker'!$J$5:$J$554,$K528)="","",INDEX('Prospect Tracker'!$J$5:$J$554,$K528)))</f>
        <v/>
      </c>
      <c r="G528" s="30">
        <f>IF($K528="","",IF(INDEX('Prospect Tracker'!$H$5:$H$554,$K528)="","",INDEX('Prospect Tracker'!$H$5:$H$554,$K528)))</f>
        <v/>
      </c>
      <c r="H528" s="31">
        <f>IF($K528="","",IF(INDEX('Prospect Tracker'!$K$5:$K$554,$K528)="","",INDEX('Prospect Tracker'!$K$5:$K$554,$K528)))</f>
        <v/>
      </c>
      <c r="I528" s="30">
        <f>IF($K528="","",IF(INDEX('Prospect Tracker'!$T$5:$T$554,$K528)="","",INDEX('Prospect Tracker'!$T$5:$T$554,$K528)))</f>
        <v/>
      </c>
      <c r="J528" s="30">
        <f>IF($K528="","",IF(INDEX('Prospect Tracker'!$L$5:$L$554,$K528)="","",INDEX('Prospect Tracker'!$L$5:$L$554,$K528)))</f>
        <v/>
      </c>
      <c r="K528" s="19">
        <f>IFERROR(MATCH(SMALL('Prospect Tracker'!$X$5:$X$554,ROW()-4),'Prospect Tracker'!$X$5:$X$554,0),"")</f>
        <v/>
      </c>
    </row>
    <row r="529" ht="15" customHeight="1" s="20">
      <c r="A529" s="25">
        <f>IF($K529="","",IF(INDEX('Prospect Tracker'!$W$5:$W$554,$K529)="","",INDEX('Prospect Tracker'!$W$5:$W$554,$K529)))</f>
        <v/>
      </c>
      <c r="B529" s="25">
        <f>IF($K529="","",IF(INDEX('Prospect Tracker'!$A$5:$A$554,$K529)="","",INDEX('Prospect Tracker'!$A$5:$A$554,$K529)))</f>
        <v/>
      </c>
      <c r="C529" s="25">
        <f>IF($K529="","",IF(INDEX('Prospect Tracker'!$B$5:$B$554,$K529)="","",INDEX('Prospect Tracker'!$B$5:$B$554,$K529)))</f>
        <v/>
      </c>
      <c r="D529" s="25">
        <f>IF($K529="","",IF(INDEX('Prospect Tracker'!$M$5:$M$554,$K529)="","",INDEX('Prospect Tracker'!$M$5:$M$554,$K529)))</f>
        <v/>
      </c>
      <c r="E529" s="25">
        <f>IF($K529="","",IF(INDEX('Prospect Tracker'!$R$5:$R$554,$K529)="","",INDEX('Prospect Tracker'!$R$5:$R$554,$K529)))</f>
        <v/>
      </c>
      <c r="F529" s="25">
        <f>IF($K529="","",IF(INDEX('Prospect Tracker'!$J$5:$J$554,$K529)="","",INDEX('Prospect Tracker'!$J$5:$J$554,$K529)))</f>
        <v/>
      </c>
      <c r="G529" s="25">
        <f>IF($K529="","",IF(INDEX('Prospect Tracker'!$H$5:$H$554,$K529)="","",INDEX('Prospect Tracker'!$H$5:$H$554,$K529)))</f>
        <v/>
      </c>
      <c r="H529" s="26">
        <f>IF($K529="","",IF(INDEX('Prospect Tracker'!$K$5:$K$554,$K529)="","",INDEX('Prospect Tracker'!$K$5:$K$554,$K529)))</f>
        <v/>
      </c>
      <c r="I529" s="25">
        <f>IF($K529="","",IF(INDEX('Prospect Tracker'!$T$5:$T$554,$K529)="","",INDEX('Prospect Tracker'!$T$5:$T$554,$K529)))</f>
        <v/>
      </c>
      <c r="J529" s="25">
        <f>IF($K529="","",IF(INDEX('Prospect Tracker'!$L$5:$L$554,$K529)="","",INDEX('Prospect Tracker'!$L$5:$L$554,$K529)))</f>
        <v/>
      </c>
      <c r="K529" s="19">
        <f>IFERROR(MATCH(SMALL('Prospect Tracker'!$X$5:$X$554,ROW()-4),'Prospect Tracker'!$X$5:$X$554,0),"")</f>
        <v/>
      </c>
    </row>
    <row r="530" ht="15" customHeight="1" s="20">
      <c r="A530" s="30">
        <f>IF($K530="","",IF(INDEX('Prospect Tracker'!$W$5:$W$554,$K530)="","",INDEX('Prospect Tracker'!$W$5:$W$554,$K530)))</f>
        <v/>
      </c>
      <c r="B530" s="30">
        <f>IF($K530="","",IF(INDEX('Prospect Tracker'!$A$5:$A$554,$K530)="","",INDEX('Prospect Tracker'!$A$5:$A$554,$K530)))</f>
        <v/>
      </c>
      <c r="C530" s="30">
        <f>IF($K530="","",IF(INDEX('Prospect Tracker'!$B$5:$B$554,$K530)="","",INDEX('Prospect Tracker'!$B$5:$B$554,$K530)))</f>
        <v/>
      </c>
      <c r="D530" s="30">
        <f>IF($K530="","",IF(INDEX('Prospect Tracker'!$M$5:$M$554,$K530)="","",INDEX('Prospect Tracker'!$M$5:$M$554,$K530)))</f>
        <v/>
      </c>
      <c r="E530" s="30">
        <f>IF($K530="","",IF(INDEX('Prospect Tracker'!$R$5:$R$554,$K530)="","",INDEX('Prospect Tracker'!$R$5:$R$554,$K530)))</f>
        <v/>
      </c>
      <c r="F530" s="30">
        <f>IF($K530="","",IF(INDEX('Prospect Tracker'!$J$5:$J$554,$K530)="","",INDEX('Prospect Tracker'!$J$5:$J$554,$K530)))</f>
        <v/>
      </c>
      <c r="G530" s="30">
        <f>IF($K530="","",IF(INDEX('Prospect Tracker'!$H$5:$H$554,$K530)="","",INDEX('Prospect Tracker'!$H$5:$H$554,$K530)))</f>
        <v/>
      </c>
      <c r="H530" s="31">
        <f>IF($K530="","",IF(INDEX('Prospect Tracker'!$K$5:$K$554,$K530)="","",INDEX('Prospect Tracker'!$K$5:$K$554,$K530)))</f>
        <v/>
      </c>
      <c r="I530" s="30">
        <f>IF($K530="","",IF(INDEX('Prospect Tracker'!$T$5:$T$554,$K530)="","",INDEX('Prospect Tracker'!$T$5:$T$554,$K530)))</f>
        <v/>
      </c>
      <c r="J530" s="30">
        <f>IF($K530="","",IF(INDEX('Prospect Tracker'!$L$5:$L$554,$K530)="","",INDEX('Prospect Tracker'!$L$5:$L$554,$K530)))</f>
        <v/>
      </c>
      <c r="K530" s="19">
        <f>IFERROR(MATCH(SMALL('Prospect Tracker'!$X$5:$X$554,ROW()-4),'Prospect Tracker'!$X$5:$X$554,0),"")</f>
        <v/>
      </c>
    </row>
    <row r="531" ht="15" customHeight="1" s="20">
      <c r="A531" s="25">
        <f>IF($K531="","",IF(INDEX('Prospect Tracker'!$W$5:$W$554,$K531)="","",INDEX('Prospect Tracker'!$W$5:$W$554,$K531)))</f>
        <v/>
      </c>
      <c r="B531" s="25">
        <f>IF($K531="","",IF(INDEX('Prospect Tracker'!$A$5:$A$554,$K531)="","",INDEX('Prospect Tracker'!$A$5:$A$554,$K531)))</f>
        <v/>
      </c>
      <c r="C531" s="25">
        <f>IF($K531="","",IF(INDEX('Prospect Tracker'!$B$5:$B$554,$K531)="","",INDEX('Prospect Tracker'!$B$5:$B$554,$K531)))</f>
        <v/>
      </c>
      <c r="D531" s="25">
        <f>IF($K531="","",IF(INDEX('Prospect Tracker'!$M$5:$M$554,$K531)="","",INDEX('Prospect Tracker'!$M$5:$M$554,$K531)))</f>
        <v/>
      </c>
      <c r="E531" s="25">
        <f>IF($K531="","",IF(INDEX('Prospect Tracker'!$R$5:$R$554,$K531)="","",INDEX('Prospect Tracker'!$R$5:$R$554,$K531)))</f>
        <v/>
      </c>
      <c r="F531" s="25">
        <f>IF($K531="","",IF(INDEX('Prospect Tracker'!$J$5:$J$554,$K531)="","",INDEX('Prospect Tracker'!$J$5:$J$554,$K531)))</f>
        <v/>
      </c>
      <c r="G531" s="25">
        <f>IF($K531="","",IF(INDEX('Prospect Tracker'!$H$5:$H$554,$K531)="","",INDEX('Prospect Tracker'!$H$5:$H$554,$K531)))</f>
        <v/>
      </c>
      <c r="H531" s="26">
        <f>IF($K531="","",IF(INDEX('Prospect Tracker'!$K$5:$K$554,$K531)="","",INDEX('Prospect Tracker'!$K$5:$K$554,$K531)))</f>
        <v/>
      </c>
      <c r="I531" s="25">
        <f>IF($K531="","",IF(INDEX('Prospect Tracker'!$T$5:$T$554,$K531)="","",INDEX('Prospect Tracker'!$T$5:$T$554,$K531)))</f>
        <v/>
      </c>
      <c r="J531" s="25">
        <f>IF($K531="","",IF(INDEX('Prospect Tracker'!$L$5:$L$554,$K531)="","",INDEX('Prospect Tracker'!$L$5:$L$554,$K531)))</f>
        <v/>
      </c>
      <c r="K531" s="19">
        <f>IFERROR(MATCH(SMALL('Prospect Tracker'!$X$5:$X$554,ROW()-4),'Prospect Tracker'!$X$5:$X$554,0),"")</f>
        <v/>
      </c>
    </row>
    <row r="532" ht="15" customHeight="1" s="20">
      <c r="A532" s="30">
        <f>IF($K532="","",IF(INDEX('Prospect Tracker'!$W$5:$W$554,$K532)="","",INDEX('Prospect Tracker'!$W$5:$W$554,$K532)))</f>
        <v/>
      </c>
      <c r="B532" s="30">
        <f>IF($K532="","",IF(INDEX('Prospect Tracker'!$A$5:$A$554,$K532)="","",INDEX('Prospect Tracker'!$A$5:$A$554,$K532)))</f>
        <v/>
      </c>
      <c r="C532" s="30">
        <f>IF($K532="","",IF(INDEX('Prospect Tracker'!$B$5:$B$554,$K532)="","",INDEX('Prospect Tracker'!$B$5:$B$554,$K532)))</f>
        <v/>
      </c>
      <c r="D532" s="30">
        <f>IF($K532="","",IF(INDEX('Prospect Tracker'!$M$5:$M$554,$K532)="","",INDEX('Prospect Tracker'!$M$5:$M$554,$K532)))</f>
        <v/>
      </c>
      <c r="E532" s="30">
        <f>IF($K532="","",IF(INDEX('Prospect Tracker'!$R$5:$R$554,$K532)="","",INDEX('Prospect Tracker'!$R$5:$R$554,$K532)))</f>
        <v/>
      </c>
      <c r="F532" s="30">
        <f>IF($K532="","",IF(INDEX('Prospect Tracker'!$J$5:$J$554,$K532)="","",INDEX('Prospect Tracker'!$J$5:$J$554,$K532)))</f>
        <v/>
      </c>
      <c r="G532" s="30">
        <f>IF($K532="","",IF(INDEX('Prospect Tracker'!$H$5:$H$554,$K532)="","",INDEX('Prospect Tracker'!$H$5:$H$554,$K532)))</f>
        <v/>
      </c>
      <c r="H532" s="31">
        <f>IF($K532="","",IF(INDEX('Prospect Tracker'!$K$5:$K$554,$K532)="","",INDEX('Prospect Tracker'!$K$5:$K$554,$K532)))</f>
        <v/>
      </c>
      <c r="I532" s="30">
        <f>IF($K532="","",IF(INDEX('Prospect Tracker'!$T$5:$T$554,$K532)="","",INDEX('Prospect Tracker'!$T$5:$T$554,$K532)))</f>
        <v/>
      </c>
      <c r="J532" s="30">
        <f>IF($K532="","",IF(INDEX('Prospect Tracker'!$L$5:$L$554,$K532)="","",INDEX('Prospect Tracker'!$L$5:$L$554,$K532)))</f>
        <v/>
      </c>
      <c r="K532" s="19">
        <f>IFERROR(MATCH(SMALL('Prospect Tracker'!$X$5:$X$554,ROW()-4),'Prospect Tracker'!$X$5:$X$554,0),"")</f>
        <v/>
      </c>
    </row>
    <row r="533" ht="15" customHeight="1" s="20">
      <c r="A533" s="25">
        <f>IF($K533="","",IF(INDEX('Prospect Tracker'!$W$5:$W$554,$K533)="","",INDEX('Prospect Tracker'!$W$5:$W$554,$K533)))</f>
        <v/>
      </c>
      <c r="B533" s="25">
        <f>IF($K533="","",IF(INDEX('Prospect Tracker'!$A$5:$A$554,$K533)="","",INDEX('Prospect Tracker'!$A$5:$A$554,$K533)))</f>
        <v/>
      </c>
      <c r="C533" s="25">
        <f>IF($K533="","",IF(INDEX('Prospect Tracker'!$B$5:$B$554,$K533)="","",INDEX('Prospect Tracker'!$B$5:$B$554,$K533)))</f>
        <v/>
      </c>
      <c r="D533" s="25">
        <f>IF($K533="","",IF(INDEX('Prospect Tracker'!$M$5:$M$554,$K533)="","",INDEX('Prospect Tracker'!$M$5:$M$554,$K533)))</f>
        <v/>
      </c>
      <c r="E533" s="25">
        <f>IF($K533="","",IF(INDEX('Prospect Tracker'!$R$5:$R$554,$K533)="","",INDEX('Prospect Tracker'!$R$5:$R$554,$K533)))</f>
        <v/>
      </c>
      <c r="F533" s="25">
        <f>IF($K533="","",IF(INDEX('Prospect Tracker'!$J$5:$J$554,$K533)="","",INDEX('Prospect Tracker'!$J$5:$J$554,$K533)))</f>
        <v/>
      </c>
      <c r="G533" s="25">
        <f>IF($K533="","",IF(INDEX('Prospect Tracker'!$H$5:$H$554,$K533)="","",INDEX('Prospect Tracker'!$H$5:$H$554,$K533)))</f>
        <v/>
      </c>
      <c r="H533" s="26">
        <f>IF($K533="","",IF(INDEX('Prospect Tracker'!$K$5:$K$554,$K533)="","",INDEX('Prospect Tracker'!$K$5:$K$554,$K533)))</f>
        <v/>
      </c>
      <c r="I533" s="25">
        <f>IF($K533="","",IF(INDEX('Prospect Tracker'!$T$5:$T$554,$K533)="","",INDEX('Prospect Tracker'!$T$5:$T$554,$K533)))</f>
        <v/>
      </c>
      <c r="J533" s="25">
        <f>IF($K533="","",IF(INDEX('Prospect Tracker'!$L$5:$L$554,$K533)="","",INDEX('Prospect Tracker'!$L$5:$L$554,$K533)))</f>
        <v/>
      </c>
      <c r="K533" s="19">
        <f>IFERROR(MATCH(SMALL('Prospect Tracker'!$X$5:$X$554,ROW()-4),'Prospect Tracker'!$X$5:$X$554,0),"")</f>
        <v/>
      </c>
    </row>
    <row r="534" ht="15" customHeight="1" s="20">
      <c r="A534" s="30">
        <f>IF($K534="","",IF(INDEX('Prospect Tracker'!$W$5:$W$554,$K534)="","",INDEX('Prospect Tracker'!$W$5:$W$554,$K534)))</f>
        <v/>
      </c>
      <c r="B534" s="30">
        <f>IF($K534="","",IF(INDEX('Prospect Tracker'!$A$5:$A$554,$K534)="","",INDEX('Prospect Tracker'!$A$5:$A$554,$K534)))</f>
        <v/>
      </c>
      <c r="C534" s="30">
        <f>IF($K534="","",IF(INDEX('Prospect Tracker'!$B$5:$B$554,$K534)="","",INDEX('Prospect Tracker'!$B$5:$B$554,$K534)))</f>
        <v/>
      </c>
      <c r="D534" s="30">
        <f>IF($K534="","",IF(INDEX('Prospect Tracker'!$M$5:$M$554,$K534)="","",INDEX('Prospect Tracker'!$M$5:$M$554,$K534)))</f>
        <v/>
      </c>
      <c r="E534" s="30">
        <f>IF($K534="","",IF(INDEX('Prospect Tracker'!$R$5:$R$554,$K534)="","",INDEX('Prospect Tracker'!$R$5:$R$554,$K534)))</f>
        <v/>
      </c>
      <c r="F534" s="30">
        <f>IF($K534="","",IF(INDEX('Prospect Tracker'!$J$5:$J$554,$K534)="","",INDEX('Prospect Tracker'!$J$5:$J$554,$K534)))</f>
        <v/>
      </c>
      <c r="G534" s="30">
        <f>IF($K534="","",IF(INDEX('Prospect Tracker'!$H$5:$H$554,$K534)="","",INDEX('Prospect Tracker'!$H$5:$H$554,$K534)))</f>
        <v/>
      </c>
      <c r="H534" s="31">
        <f>IF($K534="","",IF(INDEX('Prospect Tracker'!$K$5:$K$554,$K534)="","",INDEX('Prospect Tracker'!$K$5:$K$554,$K534)))</f>
        <v/>
      </c>
      <c r="I534" s="30">
        <f>IF($K534="","",IF(INDEX('Prospect Tracker'!$T$5:$T$554,$K534)="","",INDEX('Prospect Tracker'!$T$5:$T$554,$K534)))</f>
        <v/>
      </c>
      <c r="J534" s="30">
        <f>IF($K534="","",IF(INDEX('Prospect Tracker'!$L$5:$L$554,$K534)="","",INDEX('Prospect Tracker'!$L$5:$L$554,$K534)))</f>
        <v/>
      </c>
      <c r="K534" s="19">
        <f>IFERROR(MATCH(SMALL('Prospect Tracker'!$X$5:$X$554,ROW()-4),'Prospect Tracker'!$X$5:$X$554,0),"")</f>
        <v/>
      </c>
    </row>
    <row r="535" ht="15" customHeight="1" s="20">
      <c r="A535" s="25">
        <f>IF($K535="","",IF(INDEX('Prospect Tracker'!$W$5:$W$554,$K535)="","",INDEX('Prospect Tracker'!$W$5:$W$554,$K535)))</f>
        <v/>
      </c>
      <c r="B535" s="25">
        <f>IF($K535="","",IF(INDEX('Prospect Tracker'!$A$5:$A$554,$K535)="","",INDEX('Prospect Tracker'!$A$5:$A$554,$K535)))</f>
        <v/>
      </c>
      <c r="C535" s="25">
        <f>IF($K535="","",IF(INDEX('Prospect Tracker'!$B$5:$B$554,$K535)="","",INDEX('Prospect Tracker'!$B$5:$B$554,$K535)))</f>
        <v/>
      </c>
      <c r="D535" s="25">
        <f>IF($K535="","",IF(INDEX('Prospect Tracker'!$M$5:$M$554,$K535)="","",INDEX('Prospect Tracker'!$M$5:$M$554,$K535)))</f>
        <v/>
      </c>
      <c r="E535" s="25">
        <f>IF($K535="","",IF(INDEX('Prospect Tracker'!$R$5:$R$554,$K535)="","",INDEX('Prospect Tracker'!$R$5:$R$554,$K535)))</f>
        <v/>
      </c>
      <c r="F535" s="25">
        <f>IF($K535="","",IF(INDEX('Prospect Tracker'!$J$5:$J$554,$K535)="","",INDEX('Prospect Tracker'!$J$5:$J$554,$K535)))</f>
        <v/>
      </c>
      <c r="G535" s="25">
        <f>IF($K535="","",IF(INDEX('Prospect Tracker'!$H$5:$H$554,$K535)="","",INDEX('Prospect Tracker'!$H$5:$H$554,$K535)))</f>
        <v/>
      </c>
      <c r="H535" s="26">
        <f>IF($K535="","",IF(INDEX('Prospect Tracker'!$K$5:$K$554,$K535)="","",INDEX('Prospect Tracker'!$K$5:$K$554,$K535)))</f>
        <v/>
      </c>
      <c r="I535" s="25">
        <f>IF($K535="","",IF(INDEX('Prospect Tracker'!$T$5:$T$554,$K535)="","",INDEX('Prospect Tracker'!$T$5:$T$554,$K535)))</f>
        <v/>
      </c>
      <c r="J535" s="25">
        <f>IF($K535="","",IF(INDEX('Prospect Tracker'!$L$5:$L$554,$K535)="","",INDEX('Prospect Tracker'!$L$5:$L$554,$K535)))</f>
        <v/>
      </c>
      <c r="K535" s="19">
        <f>IFERROR(MATCH(SMALL('Prospect Tracker'!$X$5:$X$554,ROW()-4),'Prospect Tracker'!$X$5:$X$554,0),"")</f>
        <v/>
      </c>
    </row>
    <row r="536" ht="15" customHeight="1" s="20">
      <c r="A536" s="30">
        <f>IF($K536="","",IF(INDEX('Prospect Tracker'!$W$5:$W$554,$K536)="","",INDEX('Prospect Tracker'!$W$5:$W$554,$K536)))</f>
        <v/>
      </c>
      <c r="B536" s="30">
        <f>IF($K536="","",IF(INDEX('Prospect Tracker'!$A$5:$A$554,$K536)="","",INDEX('Prospect Tracker'!$A$5:$A$554,$K536)))</f>
        <v/>
      </c>
      <c r="C536" s="30">
        <f>IF($K536="","",IF(INDEX('Prospect Tracker'!$B$5:$B$554,$K536)="","",INDEX('Prospect Tracker'!$B$5:$B$554,$K536)))</f>
        <v/>
      </c>
      <c r="D536" s="30">
        <f>IF($K536="","",IF(INDEX('Prospect Tracker'!$M$5:$M$554,$K536)="","",INDEX('Prospect Tracker'!$M$5:$M$554,$K536)))</f>
        <v/>
      </c>
      <c r="E536" s="30">
        <f>IF($K536="","",IF(INDEX('Prospect Tracker'!$R$5:$R$554,$K536)="","",INDEX('Prospect Tracker'!$R$5:$R$554,$K536)))</f>
        <v/>
      </c>
      <c r="F536" s="30">
        <f>IF($K536="","",IF(INDEX('Prospect Tracker'!$J$5:$J$554,$K536)="","",INDEX('Prospect Tracker'!$J$5:$J$554,$K536)))</f>
        <v/>
      </c>
      <c r="G536" s="30">
        <f>IF($K536="","",IF(INDEX('Prospect Tracker'!$H$5:$H$554,$K536)="","",INDEX('Prospect Tracker'!$H$5:$H$554,$K536)))</f>
        <v/>
      </c>
      <c r="H536" s="31">
        <f>IF($K536="","",IF(INDEX('Prospect Tracker'!$K$5:$K$554,$K536)="","",INDEX('Prospect Tracker'!$K$5:$K$554,$K536)))</f>
        <v/>
      </c>
      <c r="I536" s="30">
        <f>IF($K536="","",IF(INDEX('Prospect Tracker'!$T$5:$T$554,$K536)="","",INDEX('Prospect Tracker'!$T$5:$T$554,$K536)))</f>
        <v/>
      </c>
      <c r="J536" s="30">
        <f>IF($K536="","",IF(INDEX('Prospect Tracker'!$L$5:$L$554,$K536)="","",INDEX('Prospect Tracker'!$L$5:$L$554,$K536)))</f>
        <v/>
      </c>
      <c r="K536" s="19">
        <f>IFERROR(MATCH(SMALL('Prospect Tracker'!$X$5:$X$554,ROW()-4),'Prospect Tracker'!$X$5:$X$554,0),"")</f>
        <v/>
      </c>
    </row>
    <row r="537" ht="15" customHeight="1" s="20">
      <c r="A537" s="25">
        <f>IF($K537="","",IF(INDEX('Prospect Tracker'!$W$5:$W$554,$K537)="","",INDEX('Prospect Tracker'!$W$5:$W$554,$K537)))</f>
        <v/>
      </c>
      <c r="B537" s="25">
        <f>IF($K537="","",IF(INDEX('Prospect Tracker'!$A$5:$A$554,$K537)="","",INDEX('Prospect Tracker'!$A$5:$A$554,$K537)))</f>
        <v/>
      </c>
      <c r="C537" s="25">
        <f>IF($K537="","",IF(INDEX('Prospect Tracker'!$B$5:$B$554,$K537)="","",INDEX('Prospect Tracker'!$B$5:$B$554,$K537)))</f>
        <v/>
      </c>
      <c r="D537" s="25">
        <f>IF($K537="","",IF(INDEX('Prospect Tracker'!$M$5:$M$554,$K537)="","",INDEX('Prospect Tracker'!$M$5:$M$554,$K537)))</f>
        <v/>
      </c>
      <c r="E537" s="25">
        <f>IF($K537="","",IF(INDEX('Prospect Tracker'!$R$5:$R$554,$K537)="","",INDEX('Prospect Tracker'!$R$5:$R$554,$K537)))</f>
        <v/>
      </c>
      <c r="F537" s="25">
        <f>IF($K537="","",IF(INDEX('Prospect Tracker'!$J$5:$J$554,$K537)="","",INDEX('Prospect Tracker'!$J$5:$J$554,$K537)))</f>
        <v/>
      </c>
      <c r="G537" s="25">
        <f>IF($K537="","",IF(INDEX('Prospect Tracker'!$H$5:$H$554,$K537)="","",INDEX('Prospect Tracker'!$H$5:$H$554,$K537)))</f>
        <v/>
      </c>
      <c r="H537" s="26">
        <f>IF($K537="","",IF(INDEX('Prospect Tracker'!$K$5:$K$554,$K537)="","",INDEX('Prospect Tracker'!$K$5:$K$554,$K537)))</f>
        <v/>
      </c>
      <c r="I537" s="25">
        <f>IF($K537="","",IF(INDEX('Prospect Tracker'!$T$5:$T$554,$K537)="","",INDEX('Prospect Tracker'!$T$5:$T$554,$K537)))</f>
        <v/>
      </c>
      <c r="J537" s="25">
        <f>IF($K537="","",IF(INDEX('Prospect Tracker'!$L$5:$L$554,$K537)="","",INDEX('Prospect Tracker'!$L$5:$L$554,$K537)))</f>
        <v/>
      </c>
      <c r="K537" s="19">
        <f>IFERROR(MATCH(SMALL('Prospect Tracker'!$X$5:$X$554,ROW()-4),'Prospect Tracker'!$X$5:$X$554,0),"")</f>
        <v/>
      </c>
    </row>
    <row r="538" ht="15" customHeight="1" s="20">
      <c r="A538" s="30">
        <f>IF($K538="","",IF(INDEX('Prospect Tracker'!$W$5:$W$554,$K538)="","",INDEX('Prospect Tracker'!$W$5:$W$554,$K538)))</f>
        <v/>
      </c>
      <c r="B538" s="30">
        <f>IF($K538="","",IF(INDEX('Prospect Tracker'!$A$5:$A$554,$K538)="","",INDEX('Prospect Tracker'!$A$5:$A$554,$K538)))</f>
        <v/>
      </c>
      <c r="C538" s="30">
        <f>IF($K538="","",IF(INDEX('Prospect Tracker'!$B$5:$B$554,$K538)="","",INDEX('Prospect Tracker'!$B$5:$B$554,$K538)))</f>
        <v/>
      </c>
      <c r="D538" s="30">
        <f>IF($K538="","",IF(INDEX('Prospect Tracker'!$M$5:$M$554,$K538)="","",INDEX('Prospect Tracker'!$M$5:$M$554,$K538)))</f>
        <v/>
      </c>
      <c r="E538" s="30">
        <f>IF($K538="","",IF(INDEX('Prospect Tracker'!$R$5:$R$554,$K538)="","",INDEX('Prospect Tracker'!$R$5:$R$554,$K538)))</f>
        <v/>
      </c>
      <c r="F538" s="30">
        <f>IF($K538="","",IF(INDEX('Prospect Tracker'!$J$5:$J$554,$K538)="","",INDEX('Prospect Tracker'!$J$5:$J$554,$K538)))</f>
        <v/>
      </c>
      <c r="G538" s="30">
        <f>IF($K538="","",IF(INDEX('Prospect Tracker'!$H$5:$H$554,$K538)="","",INDEX('Prospect Tracker'!$H$5:$H$554,$K538)))</f>
        <v/>
      </c>
      <c r="H538" s="31">
        <f>IF($K538="","",IF(INDEX('Prospect Tracker'!$K$5:$K$554,$K538)="","",INDEX('Prospect Tracker'!$K$5:$K$554,$K538)))</f>
        <v/>
      </c>
      <c r="I538" s="30">
        <f>IF($K538="","",IF(INDEX('Prospect Tracker'!$T$5:$T$554,$K538)="","",INDEX('Prospect Tracker'!$T$5:$T$554,$K538)))</f>
        <v/>
      </c>
      <c r="J538" s="30">
        <f>IF($K538="","",IF(INDEX('Prospect Tracker'!$L$5:$L$554,$K538)="","",INDEX('Prospect Tracker'!$L$5:$L$554,$K538)))</f>
        <v/>
      </c>
      <c r="K538" s="19">
        <f>IFERROR(MATCH(SMALL('Prospect Tracker'!$X$5:$X$554,ROW()-4),'Prospect Tracker'!$X$5:$X$554,0),"")</f>
        <v/>
      </c>
    </row>
    <row r="539" ht="15" customHeight="1" s="20">
      <c r="A539" s="25">
        <f>IF($K539="","",IF(INDEX('Prospect Tracker'!$W$5:$W$554,$K539)="","",INDEX('Prospect Tracker'!$W$5:$W$554,$K539)))</f>
        <v/>
      </c>
      <c r="B539" s="25">
        <f>IF($K539="","",IF(INDEX('Prospect Tracker'!$A$5:$A$554,$K539)="","",INDEX('Prospect Tracker'!$A$5:$A$554,$K539)))</f>
        <v/>
      </c>
      <c r="C539" s="25">
        <f>IF($K539="","",IF(INDEX('Prospect Tracker'!$B$5:$B$554,$K539)="","",INDEX('Prospect Tracker'!$B$5:$B$554,$K539)))</f>
        <v/>
      </c>
      <c r="D539" s="25">
        <f>IF($K539="","",IF(INDEX('Prospect Tracker'!$M$5:$M$554,$K539)="","",INDEX('Prospect Tracker'!$M$5:$M$554,$K539)))</f>
        <v/>
      </c>
      <c r="E539" s="25">
        <f>IF($K539="","",IF(INDEX('Prospect Tracker'!$R$5:$R$554,$K539)="","",INDEX('Prospect Tracker'!$R$5:$R$554,$K539)))</f>
        <v/>
      </c>
      <c r="F539" s="25">
        <f>IF($K539="","",IF(INDEX('Prospect Tracker'!$J$5:$J$554,$K539)="","",INDEX('Prospect Tracker'!$J$5:$J$554,$K539)))</f>
        <v/>
      </c>
      <c r="G539" s="25">
        <f>IF($K539="","",IF(INDEX('Prospect Tracker'!$H$5:$H$554,$K539)="","",INDEX('Prospect Tracker'!$H$5:$H$554,$K539)))</f>
        <v/>
      </c>
      <c r="H539" s="26">
        <f>IF($K539="","",IF(INDEX('Prospect Tracker'!$K$5:$K$554,$K539)="","",INDEX('Prospect Tracker'!$K$5:$K$554,$K539)))</f>
        <v/>
      </c>
      <c r="I539" s="25">
        <f>IF($K539="","",IF(INDEX('Prospect Tracker'!$T$5:$T$554,$K539)="","",INDEX('Prospect Tracker'!$T$5:$T$554,$K539)))</f>
        <v/>
      </c>
      <c r="J539" s="25">
        <f>IF($K539="","",IF(INDEX('Prospect Tracker'!$L$5:$L$554,$K539)="","",INDEX('Prospect Tracker'!$L$5:$L$554,$K539)))</f>
        <v/>
      </c>
      <c r="K539" s="19">
        <f>IFERROR(MATCH(SMALL('Prospect Tracker'!$X$5:$X$554,ROW()-4),'Prospect Tracker'!$X$5:$X$554,0),"")</f>
        <v/>
      </c>
    </row>
    <row r="540" ht="15" customHeight="1" s="20">
      <c r="A540" s="30">
        <f>IF($K540="","",IF(INDEX('Prospect Tracker'!$W$5:$W$554,$K540)="","",INDEX('Prospect Tracker'!$W$5:$W$554,$K540)))</f>
        <v/>
      </c>
      <c r="B540" s="30">
        <f>IF($K540="","",IF(INDEX('Prospect Tracker'!$A$5:$A$554,$K540)="","",INDEX('Prospect Tracker'!$A$5:$A$554,$K540)))</f>
        <v/>
      </c>
      <c r="C540" s="30">
        <f>IF($K540="","",IF(INDEX('Prospect Tracker'!$B$5:$B$554,$K540)="","",INDEX('Prospect Tracker'!$B$5:$B$554,$K540)))</f>
        <v/>
      </c>
      <c r="D540" s="30">
        <f>IF($K540="","",IF(INDEX('Prospect Tracker'!$M$5:$M$554,$K540)="","",INDEX('Prospect Tracker'!$M$5:$M$554,$K540)))</f>
        <v/>
      </c>
      <c r="E540" s="30">
        <f>IF($K540="","",IF(INDEX('Prospect Tracker'!$R$5:$R$554,$K540)="","",INDEX('Prospect Tracker'!$R$5:$R$554,$K540)))</f>
        <v/>
      </c>
      <c r="F540" s="30">
        <f>IF($K540="","",IF(INDEX('Prospect Tracker'!$J$5:$J$554,$K540)="","",INDEX('Prospect Tracker'!$J$5:$J$554,$K540)))</f>
        <v/>
      </c>
      <c r="G540" s="30">
        <f>IF($K540="","",IF(INDEX('Prospect Tracker'!$H$5:$H$554,$K540)="","",INDEX('Prospect Tracker'!$H$5:$H$554,$K540)))</f>
        <v/>
      </c>
      <c r="H540" s="31">
        <f>IF($K540="","",IF(INDEX('Prospect Tracker'!$K$5:$K$554,$K540)="","",INDEX('Prospect Tracker'!$K$5:$K$554,$K540)))</f>
        <v/>
      </c>
      <c r="I540" s="30">
        <f>IF($K540="","",IF(INDEX('Prospect Tracker'!$T$5:$T$554,$K540)="","",INDEX('Prospect Tracker'!$T$5:$T$554,$K540)))</f>
        <v/>
      </c>
      <c r="J540" s="30">
        <f>IF($K540="","",IF(INDEX('Prospect Tracker'!$L$5:$L$554,$K540)="","",INDEX('Prospect Tracker'!$L$5:$L$554,$K540)))</f>
        <v/>
      </c>
      <c r="K540" s="19">
        <f>IFERROR(MATCH(SMALL('Prospect Tracker'!$X$5:$X$554,ROW()-4),'Prospect Tracker'!$X$5:$X$554,0),"")</f>
        <v/>
      </c>
    </row>
    <row r="541" ht="15" customHeight="1" s="20">
      <c r="A541" s="25">
        <f>IF($K541="","",IF(INDEX('Prospect Tracker'!$W$5:$W$554,$K541)="","",INDEX('Prospect Tracker'!$W$5:$W$554,$K541)))</f>
        <v/>
      </c>
      <c r="B541" s="25">
        <f>IF($K541="","",IF(INDEX('Prospect Tracker'!$A$5:$A$554,$K541)="","",INDEX('Prospect Tracker'!$A$5:$A$554,$K541)))</f>
        <v/>
      </c>
      <c r="C541" s="25">
        <f>IF($K541="","",IF(INDEX('Prospect Tracker'!$B$5:$B$554,$K541)="","",INDEX('Prospect Tracker'!$B$5:$B$554,$K541)))</f>
        <v/>
      </c>
      <c r="D541" s="25">
        <f>IF($K541="","",IF(INDEX('Prospect Tracker'!$M$5:$M$554,$K541)="","",INDEX('Prospect Tracker'!$M$5:$M$554,$K541)))</f>
        <v/>
      </c>
      <c r="E541" s="25">
        <f>IF($K541="","",IF(INDEX('Prospect Tracker'!$R$5:$R$554,$K541)="","",INDEX('Prospect Tracker'!$R$5:$R$554,$K541)))</f>
        <v/>
      </c>
      <c r="F541" s="25">
        <f>IF($K541="","",IF(INDEX('Prospect Tracker'!$J$5:$J$554,$K541)="","",INDEX('Prospect Tracker'!$J$5:$J$554,$K541)))</f>
        <v/>
      </c>
      <c r="G541" s="25">
        <f>IF($K541="","",IF(INDEX('Prospect Tracker'!$H$5:$H$554,$K541)="","",INDEX('Prospect Tracker'!$H$5:$H$554,$K541)))</f>
        <v/>
      </c>
      <c r="H541" s="26">
        <f>IF($K541="","",IF(INDEX('Prospect Tracker'!$K$5:$K$554,$K541)="","",INDEX('Prospect Tracker'!$K$5:$K$554,$K541)))</f>
        <v/>
      </c>
      <c r="I541" s="25">
        <f>IF($K541="","",IF(INDEX('Prospect Tracker'!$T$5:$T$554,$K541)="","",INDEX('Prospect Tracker'!$T$5:$T$554,$K541)))</f>
        <v/>
      </c>
      <c r="J541" s="25">
        <f>IF($K541="","",IF(INDEX('Prospect Tracker'!$L$5:$L$554,$K541)="","",INDEX('Prospect Tracker'!$L$5:$L$554,$K541)))</f>
        <v/>
      </c>
      <c r="K541" s="19">
        <f>IFERROR(MATCH(SMALL('Prospect Tracker'!$X$5:$X$554,ROW()-4),'Prospect Tracker'!$X$5:$X$554,0),"")</f>
        <v/>
      </c>
    </row>
    <row r="542" ht="15" customHeight="1" s="20">
      <c r="A542" s="30">
        <f>IF($K542="","",IF(INDEX('Prospect Tracker'!$W$5:$W$554,$K542)="","",INDEX('Prospect Tracker'!$W$5:$W$554,$K542)))</f>
        <v/>
      </c>
      <c r="B542" s="30">
        <f>IF($K542="","",IF(INDEX('Prospect Tracker'!$A$5:$A$554,$K542)="","",INDEX('Prospect Tracker'!$A$5:$A$554,$K542)))</f>
        <v/>
      </c>
      <c r="C542" s="30">
        <f>IF($K542="","",IF(INDEX('Prospect Tracker'!$B$5:$B$554,$K542)="","",INDEX('Prospect Tracker'!$B$5:$B$554,$K542)))</f>
        <v/>
      </c>
      <c r="D542" s="30">
        <f>IF($K542="","",IF(INDEX('Prospect Tracker'!$M$5:$M$554,$K542)="","",INDEX('Prospect Tracker'!$M$5:$M$554,$K542)))</f>
        <v/>
      </c>
      <c r="E542" s="30">
        <f>IF($K542="","",IF(INDEX('Prospect Tracker'!$R$5:$R$554,$K542)="","",INDEX('Prospect Tracker'!$R$5:$R$554,$K542)))</f>
        <v/>
      </c>
      <c r="F542" s="30">
        <f>IF($K542="","",IF(INDEX('Prospect Tracker'!$J$5:$J$554,$K542)="","",INDEX('Prospect Tracker'!$J$5:$J$554,$K542)))</f>
        <v/>
      </c>
      <c r="G542" s="30">
        <f>IF($K542="","",IF(INDEX('Prospect Tracker'!$H$5:$H$554,$K542)="","",INDEX('Prospect Tracker'!$H$5:$H$554,$K542)))</f>
        <v/>
      </c>
      <c r="H542" s="31">
        <f>IF($K542="","",IF(INDEX('Prospect Tracker'!$K$5:$K$554,$K542)="","",INDEX('Prospect Tracker'!$K$5:$K$554,$K542)))</f>
        <v/>
      </c>
      <c r="I542" s="30">
        <f>IF($K542="","",IF(INDEX('Prospect Tracker'!$T$5:$T$554,$K542)="","",INDEX('Prospect Tracker'!$T$5:$T$554,$K542)))</f>
        <v/>
      </c>
      <c r="J542" s="30">
        <f>IF($K542="","",IF(INDEX('Prospect Tracker'!$L$5:$L$554,$K542)="","",INDEX('Prospect Tracker'!$L$5:$L$554,$K542)))</f>
        <v/>
      </c>
      <c r="K542" s="19">
        <f>IFERROR(MATCH(SMALL('Prospect Tracker'!$X$5:$X$554,ROW()-4),'Prospect Tracker'!$X$5:$X$554,0),"")</f>
        <v/>
      </c>
    </row>
    <row r="543" ht="15" customHeight="1" s="20">
      <c r="A543" s="25">
        <f>IF($K543="","",IF(INDEX('Prospect Tracker'!$W$5:$W$554,$K543)="","",INDEX('Prospect Tracker'!$W$5:$W$554,$K543)))</f>
        <v/>
      </c>
      <c r="B543" s="25">
        <f>IF($K543="","",IF(INDEX('Prospect Tracker'!$A$5:$A$554,$K543)="","",INDEX('Prospect Tracker'!$A$5:$A$554,$K543)))</f>
        <v/>
      </c>
      <c r="C543" s="25">
        <f>IF($K543="","",IF(INDEX('Prospect Tracker'!$B$5:$B$554,$K543)="","",INDEX('Prospect Tracker'!$B$5:$B$554,$K543)))</f>
        <v/>
      </c>
      <c r="D543" s="25">
        <f>IF($K543="","",IF(INDEX('Prospect Tracker'!$M$5:$M$554,$K543)="","",INDEX('Prospect Tracker'!$M$5:$M$554,$K543)))</f>
        <v/>
      </c>
      <c r="E543" s="25">
        <f>IF($K543="","",IF(INDEX('Prospect Tracker'!$R$5:$R$554,$K543)="","",INDEX('Prospect Tracker'!$R$5:$R$554,$K543)))</f>
        <v/>
      </c>
      <c r="F543" s="25">
        <f>IF($K543="","",IF(INDEX('Prospect Tracker'!$J$5:$J$554,$K543)="","",INDEX('Prospect Tracker'!$J$5:$J$554,$K543)))</f>
        <v/>
      </c>
      <c r="G543" s="25">
        <f>IF($K543="","",IF(INDEX('Prospect Tracker'!$H$5:$H$554,$K543)="","",INDEX('Prospect Tracker'!$H$5:$H$554,$K543)))</f>
        <v/>
      </c>
      <c r="H543" s="26">
        <f>IF($K543="","",IF(INDEX('Prospect Tracker'!$K$5:$K$554,$K543)="","",INDEX('Prospect Tracker'!$K$5:$K$554,$K543)))</f>
        <v/>
      </c>
      <c r="I543" s="25">
        <f>IF($K543="","",IF(INDEX('Prospect Tracker'!$T$5:$T$554,$K543)="","",INDEX('Prospect Tracker'!$T$5:$T$554,$K543)))</f>
        <v/>
      </c>
      <c r="J543" s="25">
        <f>IF($K543="","",IF(INDEX('Prospect Tracker'!$L$5:$L$554,$K543)="","",INDEX('Prospect Tracker'!$L$5:$L$554,$K543)))</f>
        <v/>
      </c>
      <c r="K543" s="19">
        <f>IFERROR(MATCH(SMALL('Prospect Tracker'!$X$5:$X$554,ROW()-4),'Prospect Tracker'!$X$5:$X$554,0),"")</f>
        <v/>
      </c>
    </row>
    <row r="544" ht="15" customHeight="1" s="20">
      <c r="A544" s="30">
        <f>IF($K544="","",IF(INDEX('Prospect Tracker'!$W$5:$W$554,$K544)="","",INDEX('Prospect Tracker'!$W$5:$W$554,$K544)))</f>
        <v/>
      </c>
      <c r="B544" s="30">
        <f>IF($K544="","",IF(INDEX('Prospect Tracker'!$A$5:$A$554,$K544)="","",INDEX('Prospect Tracker'!$A$5:$A$554,$K544)))</f>
        <v/>
      </c>
      <c r="C544" s="30">
        <f>IF($K544="","",IF(INDEX('Prospect Tracker'!$B$5:$B$554,$K544)="","",INDEX('Prospect Tracker'!$B$5:$B$554,$K544)))</f>
        <v/>
      </c>
      <c r="D544" s="30">
        <f>IF($K544="","",IF(INDEX('Prospect Tracker'!$M$5:$M$554,$K544)="","",INDEX('Prospect Tracker'!$M$5:$M$554,$K544)))</f>
        <v/>
      </c>
      <c r="E544" s="30">
        <f>IF($K544="","",IF(INDEX('Prospect Tracker'!$R$5:$R$554,$K544)="","",INDEX('Prospect Tracker'!$R$5:$R$554,$K544)))</f>
        <v/>
      </c>
      <c r="F544" s="30">
        <f>IF($K544="","",IF(INDEX('Prospect Tracker'!$J$5:$J$554,$K544)="","",INDEX('Prospect Tracker'!$J$5:$J$554,$K544)))</f>
        <v/>
      </c>
      <c r="G544" s="30">
        <f>IF($K544="","",IF(INDEX('Prospect Tracker'!$H$5:$H$554,$K544)="","",INDEX('Prospect Tracker'!$H$5:$H$554,$K544)))</f>
        <v/>
      </c>
      <c r="H544" s="31">
        <f>IF($K544="","",IF(INDEX('Prospect Tracker'!$K$5:$K$554,$K544)="","",INDEX('Prospect Tracker'!$K$5:$K$554,$K544)))</f>
        <v/>
      </c>
      <c r="I544" s="30">
        <f>IF($K544="","",IF(INDEX('Prospect Tracker'!$T$5:$T$554,$K544)="","",INDEX('Prospect Tracker'!$T$5:$T$554,$K544)))</f>
        <v/>
      </c>
      <c r="J544" s="30">
        <f>IF($K544="","",IF(INDEX('Prospect Tracker'!$L$5:$L$554,$K544)="","",INDEX('Prospect Tracker'!$L$5:$L$554,$K544)))</f>
        <v/>
      </c>
      <c r="K544" s="19">
        <f>IFERROR(MATCH(SMALL('Prospect Tracker'!$X$5:$X$554,ROW()-4),'Prospect Tracker'!$X$5:$X$554,0),"")</f>
        <v/>
      </c>
    </row>
    <row r="545" ht="15" customHeight="1" s="20">
      <c r="A545" s="25">
        <f>IF($K545="","",IF(INDEX('Prospect Tracker'!$W$5:$W$554,$K545)="","",INDEX('Prospect Tracker'!$W$5:$W$554,$K545)))</f>
        <v/>
      </c>
      <c r="B545" s="25">
        <f>IF($K545="","",IF(INDEX('Prospect Tracker'!$A$5:$A$554,$K545)="","",INDEX('Prospect Tracker'!$A$5:$A$554,$K545)))</f>
        <v/>
      </c>
      <c r="C545" s="25">
        <f>IF($K545="","",IF(INDEX('Prospect Tracker'!$B$5:$B$554,$K545)="","",INDEX('Prospect Tracker'!$B$5:$B$554,$K545)))</f>
        <v/>
      </c>
      <c r="D545" s="25">
        <f>IF($K545="","",IF(INDEX('Prospect Tracker'!$M$5:$M$554,$K545)="","",INDEX('Prospect Tracker'!$M$5:$M$554,$K545)))</f>
        <v/>
      </c>
      <c r="E545" s="25">
        <f>IF($K545="","",IF(INDEX('Prospect Tracker'!$R$5:$R$554,$K545)="","",INDEX('Prospect Tracker'!$R$5:$R$554,$K545)))</f>
        <v/>
      </c>
      <c r="F545" s="25">
        <f>IF($K545="","",IF(INDEX('Prospect Tracker'!$J$5:$J$554,$K545)="","",INDEX('Prospect Tracker'!$J$5:$J$554,$K545)))</f>
        <v/>
      </c>
      <c r="G545" s="25">
        <f>IF($K545="","",IF(INDEX('Prospect Tracker'!$H$5:$H$554,$K545)="","",INDEX('Prospect Tracker'!$H$5:$H$554,$K545)))</f>
        <v/>
      </c>
      <c r="H545" s="26">
        <f>IF($K545="","",IF(INDEX('Prospect Tracker'!$K$5:$K$554,$K545)="","",INDEX('Prospect Tracker'!$K$5:$K$554,$K545)))</f>
        <v/>
      </c>
      <c r="I545" s="25">
        <f>IF($K545="","",IF(INDEX('Prospect Tracker'!$T$5:$T$554,$K545)="","",INDEX('Prospect Tracker'!$T$5:$T$554,$K545)))</f>
        <v/>
      </c>
      <c r="J545" s="25">
        <f>IF($K545="","",IF(INDEX('Prospect Tracker'!$L$5:$L$554,$K545)="","",INDEX('Prospect Tracker'!$L$5:$L$554,$K545)))</f>
        <v/>
      </c>
      <c r="K545" s="19">
        <f>IFERROR(MATCH(SMALL('Prospect Tracker'!$X$5:$X$554,ROW()-4),'Prospect Tracker'!$X$5:$X$554,0),"")</f>
        <v/>
      </c>
    </row>
    <row r="546" ht="15" customHeight="1" s="20">
      <c r="A546" s="30">
        <f>IF($K546="","",IF(INDEX('Prospect Tracker'!$W$5:$W$554,$K546)="","",INDEX('Prospect Tracker'!$W$5:$W$554,$K546)))</f>
        <v/>
      </c>
      <c r="B546" s="30">
        <f>IF($K546="","",IF(INDEX('Prospect Tracker'!$A$5:$A$554,$K546)="","",INDEX('Prospect Tracker'!$A$5:$A$554,$K546)))</f>
        <v/>
      </c>
      <c r="C546" s="30">
        <f>IF($K546="","",IF(INDEX('Prospect Tracker'!$B$5:$B$554,$K546)="","",INDEX('Prospect Tracker'!$B$5:$B$554,$K546)))</f>
        <v/>
      </c>
      <c r="D546" s="30">
        <f>IF($K546="","",IF(INDEX('Prospect Tracker'!$M$5:$M$554,$K546)="","",INDEX('Prospect Tracker'!$M$5:$M$554,$K546)))</f>
        <v/>
      </c>
      <c r="E546" s="30">
        <f>IF($K546="","",IF(INDEX('Prospect Tracker'!$R$5:$R$554,$K546)="","",INDEX('Prospect Tracker'!$R$5:$R$554,$K546)))</f>
        <v/>
      </c>
      <c r="F546" s="30">
        <f>IF($K546="","",IF(INDEX('Prospect Tracker'!$J$5:$J$554,$K546)="","",INDEX('Prospect Tracker'!$J$5:$J$554,$K546)))</f>
        <v/>
      </c>
      <c r="G546" s="30">
        <f>IF($K546="","",IF(INDEX('Prospect Tracker'!$H$5:$H$554,$K546)="","",INDEX('Prospect Tracker'!$H$5:$H$554,$K546)))</f>
        <v/>
      </c>
      <c r="H546" s="31">
        <f>IF($K546="","",IF(INDEX('Prospect Tracker'!$K$5:$K$554,$K546)="","",INDEX('Prospect Tracker'!$K$5:$K$554,$K546)))</f>
        <v/>
      </c>
      <c r="I546" s="30">
        <f>IF($K546="","",IF(INDEX('Prospect Tracker'!$T$5:$T$554,$K546)="","",INDEX('Prospect Tracker'!$T$5:$T$554,$K546)))</f>
        <v/>
      </c>
      <c r="J546" s="30">
        <f>IF($K546="","",IF(INDEX('Prospect Tracker'!$L$5:$L$554,$K546)="","",INDEX('Prospect Tracker'!$L$5:$L$554,$K546)))</f>
        <v/>
      </c>
      <c r="K546" s="19">
        <f>IFERROR(MATCH(SMALL('Prospect Tracker'!$X$5:$X$554,ROW()-4),'Prospect Tracker'!$X$5:$X$554,0),"")</f>
        <v/>
      </c>
    </row>
    <row r="547" ht="15" customHeight="1" s="20">
      <c r="A547" s="25">
        <f>IF($K547="","",IF(INDEX('Prospect Tracker'!$W$5:$W$554,$K547)="","",INDEX('Prospect Tracker'!$W$5:$W$554,$K547)))</f>
        <v/>
      </c>
      <c r="B547" s="25">
        <f>IF($K547="","",IF(INDEX('Prospect Tracker'!$A$5:$A$554,$K547)="","",INDEX('Prospect Tracker'!$A$5:$A$554,$K547)))</f>
        <v/>
      </c>
      <c r="C547" s="25">
        <f>IF($K547="","",IF(INDEX('Prospect Tracker'!$B$5:$B$554,$K547)="","",INDEX('Prospect Tracker'!$B$5:$B$554,$K547)))</f>
        <v/>
      </c>
      <c r="D547" s="25">
        <f>IF($K547="","",IF(INDEX('Prospect Tracker'!$M$5:$M$554,$K547)="","",INDEX('Prospect Tracker'!$M$5:$M$554,$K547)))</f>
        <v/>
      </c>
      <c r="E547" s="25">
        <f>IF($K547="","",IF(INDEX('Prospect Tracker'!$R$5:$R$554,$K547)="","",INDEX('Prospect Tracker'!$R$5:$R$554,$K547)))</f>
        <v/>
      </c>
      <c r="F547" s="25">
        <f>IF($K547="","",IF(INDEX('Prospect Tracker'!$J$5:$J$554,$K547)="","",INDEX('Prospect Tracker'!$J$5:$J$554,$K547)))</f>
        <v/>
      </c>
      <c r="G547" s="25">
        <f>IF($K547="","",IF(INDEX('Prospect Tracker'!$H$5:$H$554,$K547)="","",INDEX('Prospect Tracker'!$H$5:$H$554,$K547)))</f>
        <v/>
      </c>
      <c r="H547" s="26">
        <f>IF($K547="","",IF(INDEX('Prospect Tracker'!$K$5:$K$554,$K547)="","",INDEX('Prospect Tracker'!$K$5:$K$554,$K547)))</f>
        <v/>
      </c>
      <c r="I547" s="25">
        <f>IF($K547="","",IF(INDEX('Prospect Tracker'!$T$5:$T$554,$K547)="","",INDEX('Prospect Tracker'!$T$5:$T$554,$K547)))</f>
        <v/>
      </c>
      <c r="J547" s="25">
        <f>IF($K547="","",IF(INDEX('Prospect Tracker'!$L$5:$L$554,$K547)="","",INDEX('Prospect Tracker'!$L$5:$L$554,$K547)))</f>
        <v/>
      </c>
      <c r="K547" s="19">
        <f>IFERROR(MATCH(SMALL('Prospect Tracker'!$X$5:$X$554,ROW()-4),'Prospect Tracker'!$X$5:$X$554,0),"")</f>
        <v/>
      </c>
    </row>
    <row r="548" ht="15" customHeight="1" s="20">
      <c r="A548" s="30">
        <f>IF($K548="","",IF(INDEX('Prospect Tracker'!$W$5:$W$554,$K548)="","",INDEX('Prospect Tracker'!$W$5:$W$554,$K548)))</f>
        <v/>
      </c>
      <c r="B548" s="30">
        <f>IF($K548="","",IF(INDEX('Prospect Tracker'!$A$5:$A$554,$K548)="","",INDEX('Prospect Tracker'!$A$5:$A$554,$K548)))</f>
        <v/>
      </c>
      <c r="C548" s="30">
        <f>IF($K548="","",IF(INDEX('Prospect Tracker'!$B$5:$B$554,$K548)="","",INDEX('Prospect Tracker'!$B$5:$B$554,$K548)))</f>
        <v/>
      </c>
      <c r="D548" s="30">
        <f>IF($K548="","",IF(INDEX('Prospect Tracker'!$M$5:$M$554,$K548)="","",INDEX('Prospect Tracker'!$M$5:$M$554,$K548)))</f>
        <v/>
      </c>
      <c r="E548" s="30">
        <f>IF($K548="","",IF(INDEX('Prospect Tracker'!$R$5:$R$554,$K548)="","",INDEX('Prospect Tracker'!$R$5:$R$554,$K548)))</f>
        <v/>
      </c>
      <c r="F548" s="30">
        <f>IF($K548="","",IF(INDEX('Prospect Tracker'!$J$5:$J$554,$K548)="","",INDEX('Prospect Tracker'!$J$5:$J$554,$K548)))</f>
        <v/>
      </c>
      <c r="G548" s="30">
        <f>IF($K548="","",IF(INDEX('Prospect Tracker'!$H$5:$H$554,$K548)="","",INDEX('Prospect Tracker'!$H$5:$H$554,$K548)))</f>
        <v/>
      </c>
      <c r="H548" s="31">
        <f>IF($K548="","",IF(INDEX('Prospect Tracker'!$K$5:$K$554,$K548)="","",INDEX('Prospect Tracker'!$K$5:$K$554,$K548)))</f>
        <v/>
      </c>
      <c r="I548" s="30">
        <f>IF($K548="","",IF(INDEX('Prospect Tracker'!$T$5:$T$554,$K548)="","",INDEX('Prospect Tracker'!$T$5:$T$554,$K548)))</f>
        <v/>
      </c>
      <c r="J548" s="30">
        <f>IF($K548="","",IF(INDEX('Prospect Tracker'!$L$5:$L$554,$K548)="","",INDEX('Prospect Tracker'!$L$5:$L$554,$K548)))</f>
        <v/>
      </c>
      <c r="K548" s="19">
        <f>IFERROR(MATCH(SMALL('Prospect Tracker'!$X$5:$X$554,ROW()-4),'Prospect Tracker'!$X$5:$X$554,0),"")</f>
        <v/>
      </c>
    </row>
    <row r="549" ht="15" customHeight="1" s="20">
      <c r="A549" s="25">
        <f>IF($K549="","",IF(INDEX('Prospect Tracker'!$W$5:$W$554,$K549)="","",INDEX('Prospect Tracker'!$W$5:$W$554,$K549)))</f>
        <v/>
      </c>
      <c r="B549" s="25">
        <f>IF($K549="","",IF(INDEX('Prospect Tracker'!$A$5:$A$554,$K549)="","",INDEX('Prospect Tracker'!$A$5:$A$554,$K549)))</f>
        <v/>
      </c>
      <c r="C549" s="25">
        <f>IF($K549="","",IF(INDEX('Prospect Tracker'!$B$5:$B$554,$K549)="","",INDEX('Prospect Tracker'!$B$5:$B$554,$K549)))</f>
        <v/>
      </c>
      <c r="D549" s="25">
        <f>IF($K549="","",IF(INDEX('Prospect Tracker'!$M$5:$M$554,$K549)="","",INDEX('Prospect Tracker'!$M$5:$M$554,$K549)))</f>
        <v/>
      </c>
      <c r="E549" s="25">
        <f>IF($K549="","",IF(INDEX('Prospect Tracker'!$R$5:$R$554,$K549)="","",INDEX('Prospect Tracker'!$R$5:$R$554,$K549)))</f>
        <v/>
      </c>
      <c r="F549" s="25">
        <f>IF($K549="","",IF(INDEX('Prospect Tracker'!$J$5:$J$554,$K549)="","",INDEX('Prospect Tracker'!$J$5:$J$554,$K549)))</f>
        <v/>
      </c>
      <c r="G549" s="25">
        <f>IF($K549="","",IF(INDEX('Prospect Tracker'!$H$5:$H$554,$K549)="","",INDEX('Prospect Tracker'!$H$5:$H$554,$K549)))</f>
        <v/>
      </c>
      <c r="H549" s="26">
        <f>IF($K549="","",IF(INDEX('Prospect Tracker'!$K$5:$K$554,$K549)="","",INDEX('Prospect Tracker'!$K$5:$K$554,$K549)))</f>
        <v/>
      </c>
      <c r="I549" s="25">
        <f>IF($K549="","",IF(INDEX('Prospect Tracker'!$T$5:$T$554,$K549)="","",INDEX('Prospect Tracker'!$T$5:$T$554,$K549)))</f>
        <v/>
      </c>
      <c r="J549" s="25">
        <f>IF($K549="","",IF(INDEX('Prospect Tracker'!$L$5:$L$554,$K549)="","",INDEX('Prospect Tracker'!$L$5:$L$554,$K549)))</f>
        <v/>
      </c>
      <c r="K549" s="19">
        <f>IFERROR(MATCH(SMALL('Prospect Tracker'!$X$5:$X$554,ROW()-4),'Prospect Tracker'!$X$5:$X$554,0),"")</f>
        <v/>
      </c>
    </row>
    <row r="550" ht="15" customHeight="1" s="20">
      <c r="A550" s="30">
        <f>IF($K550="","",IF(INDEX('Prospect Tracker'!$W$5:$W$554,$K550)="","",INDEX('Prospect Tracker'!$W$5:$W$554,$K550)))</f>
        <v/>
      </c>
      <c r="B550" s="30">
        <f>IF($K550="","",IF(INDEX('Prospect Tracker'!$A$5:$A$554,$K550)="","",INDEX('Prospect Tracker'!$A$5:$A$554,$K550)))</f>
        <v/>
      </c>
      <c r="C550" s="30">
        <f>IF($K550="","",IF(INDEX('Prospect Tracker'!$B$5:$B$554,$K550)="","",INDEX('Prospect Tracker'!$B$5:$B$554,$K550)))</f>
        <v/>
      </c>
      <c r="D550" s="30">
        <f>IF($K550="","",IF(INDEX('Prospect Tracker'!$M$5:$M$554,$K550)="","",INDEX('Prospect Tracker'!$M$5:$M$554,$K550)))</f>
        <v/>
      </c>
      <c r="E550" s="30">
        <f>IF($K550="","",IF(INDEX('Prospect Tracker'!$R$5:$R$554,$K550)="","",INDEX('Prospect Tracker'!$R$5:$R$554,$K550)))</f>
        <v/>
      </c>
      <c r="F550" s="30">
        <f>IF($K550="","",IF(INDEX('Prospect Tracker'!$J$5:$J$554,$K550)="","",INDEX('Prospect Tracker'!$J$5:$J$554,$K550)))</f>
        <v/>
      </c>
      <c r="G550" s="30">
        <f>IF($K550="","",IF(INDEX('Prospect Tracker'!$H$5:$H$554,$K550)="","",INDEX('Prospect Tracker'!$H$5:$H$554,$K550)))</f>
        <v/>
      </c>
      <c r="H550" s="31">
        <f>IF($K550="","",IF(INDEX('Prospect Tracker'!$K$5:$K$554,$K550)="","",INDEX('Prospect Tracker'!$K$5:$K$554,$K550)))</f>
        <v/>
      </c>
      <c r="I550" s="30">
        <f>IF($K550="","",IF(INDEX('Prospect Tracker'!$T$5:$T$554,$K550)="","",INDEX('Prospect Tracker'!$T$5:$T$554,$K550)))</f>
        <v/>
      </c>
      <c r="J550" s="30">
        <f>IF($K550="","",IF(INDEX('Prospect Tracker'!$L$5:$L$554,$K550)="","",INDEX('Prospect Tracker'!$L$5:$L$554,$K550)))</f>
        <v/>
      </c>
      <c r="K550" s="19">
        <f>IFERROR(MATCH(SMALL('Prospect Tracker'!$X$5:$X$554,ROW()-4),'Prospect Tracker'!$X$5:$X$554,0),"")</f>
        <v/>
      </c>
    </row>
    <row r="551" ht="15" customHeight="1" s="20">
      <c r="A551" s="25">
        <f>IF($K551="","",IF(INDEX('Prospect Tracker'!$W$5:$W$554,$K551)="","",INDEX('Prospect Tracker'!$W$5:$W$554,$K551)))</f>
        <v/>
      </c>
      <c r="B551" s="25">
        <f>IF($K551="","",IF(INDEX('Prospect Tracker'!$A$5:$A$554,$K551)="","",INDEX('Prospect Tracker'!$A$5:$A$554,$K551)))</f>
        <v/>
      </c>
      <c r="C551" s="25">
        <f>IF($K551="","",IF(INDEX('Prospect Tracker'!$B$5:$B$554,$K551)="","",INDEX('Prospect Tracker'!$B$5:$B$554,$K551)))</f>
        <v/>
      </c>
      <c r="D551" s="25">
        <f>IF($K551="","",IF(INDEX('Prospect Tracker'!$M$5:$M$554,$K551)="","",INDEX('Prospect Tracker'!$M$5:$M$554,$K551)))</f>
        <v/>
      </c>
      <c r="E551" s="25">
        <f>IF($K551="","",IF(INDEX('Prospect Tracker'!$R$5:$R$554,$K551)="","",INDEX('Prospect Tracker'!$R$5:$R$554,$K551)))</f>
        <v/>
      </c>
      <c r="F551" s="25">
        <f>IF($K551="","",IF(INDEX('Prospect Tracker'!$J$5:$J$554,$K551)="","",INDEX('Prospect Tracker'!$J$5:$J$554,$K551)))</f>
        <v/>
      </c>
      <c r="G551" s="25">
        <f>IF($K551="","",IF(INDEX('Prospect Tracker'!$H$5:$H$554,$K551)="","",INDEX('Prospect Tracker'!$H$5:$H$554,$K551)))</f>
        <v/>
      </c>
      <c r="H551" s="26">
        <f>IF($K551="","",IF(INDEX('Prospect Tracker'!$K$5:$K$554,$K551)="","",INDEX('Prospect Tracker'!$K$5:$K$554,$K551)))</f>
        <v/>
      </c>
      <c r="I551" s="25">
        <f>IF($K551="","",IF(INDEX('Prospect Tracker'!$T$5:$T$554,$K551)="","",INDEX('Prospect Tracker'!$T$5:$T$554,$K551)))</f>
        <v/>
      </c>
      <c r="J551" s="25">
        <f>IF($K551="","",IF(INDEX('Prospect Tracker'!$L$5:$L$554,$K551)="","",INDEX('Prospect Tracker'!$L$5:$L$554,$K551)))</f>
        <v/>
      </c>
      <c r="K551" s="19">
        <f>IFERROR(MATCH(SMALL('Prospect Tracker'!$X$5:$X$554,ROW()-4),'Prospect Tracker'!$X$5:$X$554,0),"")</f>
        <v/>
      </c>
    </row>
    <row r="552" ht="15" customHeight="1" s="20">
      <c r="A552" s="30">
        <f>IF($K552="","",IF(INDEX('Prospect Tracker'!$W$5:$W$554,$K552)="","",INDEX('Prospect Tracker'!$W$5:$W$554,$K552)))</f>
        <v/>
      </c>
      <c r="B552" s="30">
        <f>IF($K552="","",IF(INDEX('Prospect Tracker'!$A$5:$A$554,$K552)="","",INDEX('Prospect Tracker'!$A$5:$A$554,$K552)))</f>
        <v/>
      </c>
      <c r="C552" s="30">
        <f>IF($K552="","",IF(INDEX('Prospect Tracker'!$B$5:$B$554,$K552)="","",INDEX('Prospect Tracker'!$B$5:$B$554,$K552)))</f>
        <v/>
      </c>
      <c r="D552" s="30">
        <f>IF($K552="","",IF(INDEX('Prospect Tracker'!$M$5:$M$554,$K552)="","",INDEX('Prospect Tracker'!$M$5:$M$554,$K552)))</f>
        <v/>
      </c>
      <c r="E552" s="30">
        <f>IF($K552="","",IF(INDEX('Prospect Tracker'!$R$5:$R$554,$K552)="","",INDEX('Prospect Tracker'!$R$5:$R$554,$K552)))</f>
        <v/>
      </c>
      <c r="F552" s="30">
        <f>IF($K552="","",IF(INDEX('Prospect Tracker'!$J$5:$J$554,$K552)="","",INDEX('Prospect Tracker'!$J$5:$J$554,$K552)))</f>
        <v/>
      </c>
      <c r="G552" s="30">
        <f>IF($K552="","",IF(INDEX('Prospect Tracker'!$H$5:$H$554,$K552)="","",INDEX('Prospect Tracker'!$H$5:$H$554,$K552)))</f>
        <v/>
      </c>
      <c r="H552" s="31">
        <f>IF($K552="","",IF(INDEX('Prospect Tracker'!$K$5:$K$554,$K552)="","",INDEX('Prospect Tracker'!$K$5:$K$554,$K552)))</f>
        <v/>
      </c>
      <c r="I552" s="30">
        <f>IF($K552="","",IF(INDEX('Prospect Tracker'!$T$5:$T$554,$K552)="","",INDEX('Prospect Tracker'!$T$5:$T$554,$K552)))</f>
        <v/>
      </c>
      <c r="J552" s="30">
        <f>IF($K552="","",IF(INDEX('Prospect Tracker'!$L$5:$L$554,$K552)="","",INDEX('Prospect Tracker'!$L$5:$L$554,$K552)))</f>
        <v/>
      </c>
      <c r="K552" s="19">
        <f>IFERROR(MATCH(SMALL('Prospect Tracker'!$X$5:$X$554,ROW()-4),'Prospect Tracker'!$X$5:$X$554,0),"")</f>
        <v/>
      </c>
    </row>
    <row r="553" ht="15" customHeight="1" s="20">
      <c r="A553" s="25">
        <f>IF($K553="","",IF(INDEX('Prospect Tracker'!$W$5:$W$554,$K553)="","",INDEX('Prospect Tracker'!$W$5:$W$554,$K553)))</f>
        <v/>
      </c>
      <c r="B553" s="25">
        <f>IF($K553="","",IF(INDEX('Prospect Tracker'!$A$5:$A$554,$K553)="","",INDEX('Prospect Tracker'!$A$5:$A$554,$K553)))</f>
        <v/>
      </c>
      <c r="C553" s="25">
        <f>IF($K553="","",IF(INDEX('Prospect Tracker'!$B$5:$B$554,$K553)="","",INDEX('Prospect Tracker'!$B$5:$B$554,$K553)))</f>
        <v/>
      </c>
      <c r="D553" s="25">
        <f>IF($K553="","",IF(INDEX('Prospect Tracker'!$M$5:$M$554,$K553)="","",INDEX('Prospect Tracker'!$M$5:$M$554,$K553)))</f>
        <v/>
      </c>
      <c r="E553" s="25">
        <f>IF($K553="","",IF(INDEX('Prospect Tracker'!$R$5:$R$554,$K553)="","",INDEX('Prospect Tracker'!$R$5:$R$554,$K553)))</f>
        <v/>
      </c>
      <c r="F553" s="25">
        <f>IF($K553="","",IF(INDEX('Prospect Tracker'!$J$5:$J$554,$K553)="","",INDEX('Prospect Tracker'!$J$5:$J$554,$K553)))</f>
        <v/>
      </c>
      <c r="G553" s="25">
        <f>IF($K553="","",IF(INDEX('Prospect Tracker'!$H$5:$H$554,$K553)="","",INDEX('Prospect Tracker'!$H$5:$H$554,$K553)))</f>
        <v/>
      </c>
      <c r="H553" s="26">
        <f>IF($K553="","",IF(INDEX('Prospect Tracker'!$K$5:$K$554,$K553)="","",INDEX('Prospect Tracker'!$K$5:$K$554,$K553)))</f>
        <v/>
      </c>
      <c r="I553" s="25">
        <f>IF($K553="","",IF(INDEX('Prospect Tracker'!$T$5:$T$554,$K553)="","",INDEX('Prospect Tracker'!$T$5:$T$554,$K553)))</f>
        <v/>
      </c>
      <c r="J553" s="25">
        <f>IF($K553="","",IF(INDEX('Prospect Tracker'!$L$5:$L$554,$K553)="","",INDEX('Prospect Tracker'!$L$5:$L$554,$K553)))</f>
        <v/>
      </c>
      <c r="K553" s="19">
        <f>IFERROR(MATCH(SMALL('Prospect Tracker'!$X$5:$X$554,ROW()-4),'Prospect Tracker'!$X$5:$X$554,0),"")</f>
        <v/>
      </c>
    </row>
    <row r="554" ht="15" customHeight="1" s="20">
      <c r="A554" s="30">
        <f>IF($K554="","",IF(INDEX('Prospect Tracker'!$W$5:$W$554,$K554)="","",INDEX('Prospect Tracker'!$W$5:$W$554,$K554)))</f>
        <v/>
      </c>
      <c r="B554" s="30">
        <f>IF($K554="","",IF(INDEX('Prospect Tracker'!$A$5:$A$554,$K554)="","",INDEX('Prospect Tracker'!$A$5:$A$554,$K554)))</f>
        <v/>
      </c>
      <c r="C554" s="30">
        <f>IF($K554="","",IF(INDEX('Prospect Tracker'!$B$5:$B$554,$K554)="","",INDEX('Prospect Tracker'!$B$5:$B$554,$K554)))</f>
        <v/>
      </c>
      <c r="D554" s="30">
        <f>IF($K554="","",IF(INDEX('Prospect Tracker'!$M$5:$M$554,$K554)="","",INDEX('Prospect Tracker'!$M$5:$M$554,$K554)))</f>
        <v/>
      </c>
      <c r="E554" s="30">
        <f>IF($K554="","",IF(INDEX('Prospect Tracker'!$R$5:$R$554,$K554)="","",INDEX('Prospect Tracker'!$R$5:$R$554,$K554)))</f>
        <v/>
      </c>
      <c r="F554" s="30">
        <f>IF($K554="","",IF(INDEX('Prospect Tracker'!$J$5:$J$554,$K554)="","",INDEX('Prospect Tracker'!$J$5:$J$554,$K554)))</f>
        <v/>
      </c>
      <c r="G554" s="30">
        <f>IF($K554="","",IF(INDEX('Prospect Tracker'!$H$5:$H$554,$K554)="","",INDEX('Prospect Tracker'!$H$5:$H$554,$K554)))</f>
        <v/>
      </c>
      <c r="H554" s="31">
        <f>IF($K554="","",IF(INDEX('Prospect Tracker'!$K$5:$K$554,$K554)="","",INDEX('Prospect Tracker'!$K$5:$K$554,$K554)))</f>
        <v/>
      </c>
      <c r="I554" s="30">
        <f>IF($K554="","",IF(INDEX('Prospect Tracker'!$T$5:$T$554,$K554)="","",INDEX('Prospect Tracker'!$T$5:$T$554,$K554)))</f>
        <v/>
      </c>
      <c r="J554" s="30">
        <f>IF($K554="","",IF(INDEX('Prospect Tracker'!$L$5:$L$554,$K554)="","",INDEX('Prospect Tracker'!$L$5:$L$554,$K554)))</f>
        <v/>
      </c>
      <c r="K554" s="19">
        <f>IFERROR(MATCH(SMALL('Prospect Tracker'!$X$5:$X$554,ROW()-4),'Prospect Tracker'!$X$5:$X$554,0),"")</f>
        <v/>
      </c>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32" customWidth="1" style="19" min="1" max="1"/>
    <col width="14" customWidth="1" style="19" min="2" max="2"/>
  </cols>
  <sheetData>
    <row r="1" ht="21" customHeight="1" s="20">
      <c r="A1" s="27" t="inlineStr">
        <is>
          <t>Anne Christie — Pipeline Summary</t>
        </is>
      </c>
    </row>
    <row r="3" ht="15.75" customHeight="1" s="20">
      <c r="A3" s="32" t="inlineStr">
        <is>
          <t>Pipeline Stage Counts</t>
        </is>
      </c>
    </row>
    <row r="4" ht="15" customHeight="1" s="20">
      <c r="A4" s="33" t="inlineStr">
        <is>
          <t>New Lead</t>
        </is>
      </c>
      <c r="B4" s="34">
        <f>COUNTIF('Prospect Tracker'!$R$5:$R$554,"New Lead")</f>
        <v/>
      </c>
    </row>
    <row r="5" ht="15" customHeight="1" s="20">
      <c r="A5" s="33" t="inlineStr">
        <is>
          <t>Contacted</t>
        </is>
      </c>
      <c r="B5" s="34">
        <f>COUNTIF('Prospect Tracker'!$R$5:$R$554,"Contacted")</f>
        <v/>
      </c>
    </row>
    <row r="6" ht="15" customHeight="1" s="20">
      <c r="A6" s="33" t="inlineStr">
        <is>
          <t>Presented</t>
        </is>
      </c>
      <c r="B6" s="34">
        <f>COUNTIF('Prospect Tracker'!$R$5:$R$554,"Presented")</f>
        <v/>
      </c>
    </row>
    <row r="7" ht="15" customHeight="1" s="20">
      <c r="A7" s="33" t="inlineStr">
        <is>
          <t>Follow-Up</t>
        </is>
      </c>
      <c r="B7" s="34">
        <f>COUNTIF('Prospect Tracker'!$R$5:$R$554,"Follow-Up")</f>
        <v/>
      </c>
    </row>
    <row r="8" ht="15" customHeight="1" s="20">
      <c r="A8" s="33" t="inlineStr">
        <is>
          <t>Sponsored</t>
        </is>
      </c>
      <c r="B8" s="34">
        <f>COUNTIF('Prospect Tracker'!$R$5:$R$554,"Sponsored")</f>
        <v/>
      </c>
    </row>
    <row r="9" ht="15" customHeight="1" s="20">
      <c r="A9" s="33" t="inlineStr">
        <is>
          <t>Onboarded</t>
        </is>
      </c>
      <c r="B9" s="34">
        <f>COUNTIF('Prospect Tracker'!$R$5:$R$554,"Onboarded")</f>
        <v/>
      </c>
    </row>
    <row r="11" ht="15.75" customHeight="1" s="20">
      <c r="A11" s="32" t="inlineStr">
        <is>
          <t>Overview</t>
        </is>
      </c>
    </row>
    <row r="12" ht="15" customHeight="1" s="20">
      <c r="A12" s="33" t="inlineStr">
        <is>
          <t>Total Prospects Logged</t>
        </is>
      </c>
      <c r="B12" s="34">
        <f>SUMPRODUCT(--(TRIM('Prospect Tracker'!$A$5:$A$554)&lt;&gt;""))</f>
        <v/>
      </c>
    </row>
    <row r="13" ht="15" customHeight="1" s="20">
      <c r="A13" s="33" t="inlineStr">
        <is>
          <t>Overdue Follow-Ups (&gt;7 days)</t>
        </is>
      </c>
      <c r="B13" s="34">
        <f>COUNTIF('Prospect Tracker'!$T$5:$T$554,"&gt;7")</f>
        <v/>
      </c>
    </row>
    <row r="15" ht="15.75" customHeight="1" s="20">
      <c r="A15" s="32" t="inlineStr">
        <is>
          <t>Enrollment Breakdown</t>
        </is>
      </c>
    </row>
    <row r="16" ht="15" customHeight="1" s="20">
      <c r="A16" s="33" t="inlineStr">
        <is>
          <t>Member</t>
        </is>
      </c>
      <c r="B16" s="34">
        <f>COUNTIF('Prospect Tracker'!$M$5:$M$554,"Member")</f>
        <v/>
      </c>
    </row>
    <row r="17" ht="15" customHeight="1" s="20">
      <c r="A17" s="33" t="inlineStr">
        <is>
          <t>Ambassador</t>
        </is>
      </c>
      <c r="B17" s="34">
        <f>COUNTIF('Prospect Tracker'!$M$5:$M$554,"Ambassador")</f>
        <v/>
      </c>
    </row>
    <row r="18" ht="15" customHeight="1" s="20">
      <c r="A18" s="33" t="inlineStr">
        <is>
          <t>Interested</t>
        </is>
      </c>
      <c r="B18" s="34">
        <f>COUNTIF('Prospect Tracker'!$M$5:$M$554,"Interested")</f>
        <v/>
      </c>
    </row>
    <row r="20" ht="15.75" customHeight="1" s="20">
      <c r="A20" s="32" t="inlineStr">
        <is>
          <t>Referral Ask Breakdown</t>
        </is>
      </c>
    </row>
    <row r="21" ht="15" customHeight="1" s="20">
      <c r="A21" s="33" t="inlineStr">
        <is>
          <t>Not Asked</t>
        </is>
      </c>
      <c r="B21" s="34">
        <f>COUNTIF('Prospect Tracker'!$O$5:$O$554,"Not Asked")</f>
        <v/>
      </c>
    </row>
    <row r="22" ht="15" customHeight="1" s="20">
      <c r="A22" s="33" t="inlineStr">
        <is>
          <t>Asked</t>
        </is>
      </c>
      <c r="B22" s="34">
        <f>COUNTIF('Prospect Tracker'!$O$5:$O$554,"Asked")</f>
        <v/>
      </c>
    </row>
    <row r="23" ht="15" customHeight="1" s="20">
      <c r="A23" s="33" t="inlineStr">
        <is>
          <t>Referrals Given</t>
        </is>
      </c>
      <c r="B23" s="34">
        <f>COUNTIF('Prospect Tracker'!$O$5:$O$554,"Referrals Given")</f>
        <v/>
      </c>
    </row>
  </sheetData>
  <mergeCells count="5">
    <mergeCell ref="A20:B20"/>
    <mergeCell ref="A15:B15"/>
    <mergeCell ref="A11:B11"/>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4" customWidth="1" style="19" min="1" max="1"/>
    <col width="95" customWidth="1" style="19" min="2" max="2"/>
  </cols>
  <sheetData>
    <row r="1" ht="22.5" customHeight="1" s="20">
      <c r="A1" s="35" t="inlineStr">
        <is>
          <t>How To Use This Tracker</t>
        </is>
      </c>
    </row>
    <row r="3" ht="15.75" customHeight="1" s="20">
      <c r="B3" s="36" t="inlineStr">
        <is>
          <t>First Name / Last Name</t>
        </is>
      </c>
    </row>
    <row r="4" ht="30" customHeight="1" s="20">
      <c r="B4" s="37" t="inlineStr">
        <is>
          <t>Prospect name is split into two columns so you can sort and search by last name. For couples entered together (e.g. "Tom and Paula"), both first names go in First Name and the shared surname goes in Last Name.</t>
        </is>
      </c>
    </row>
    <row r="6" ht="15.75" customHeight="1" s="20">
      <c r="B6" s="36" t="inlineStr">
        <is>
          <t>Phone / Email</t>
        </is>
      </c>
    </row>
    <row r="7" ht="15" customHeight="1" s="20">
      <c r="B7" s="37" t="inlineStr">
        <is>
          <t>Contact info, optional.</t>
        </is>
      </c>
    </row>
    <row r="9" ht="15.75" customHeight="1" s="20">
      <c r="B9" s="36" t="inlineStr">
        <is>
          <t>Source / How Met</t>
        </is>
      </c>
    </row>
    <row r="10" ht="15" customHeight="1" s="20">
      <c r="B10" s="37" t="inlineStr">
        <is>
          <t>Where the lead came from — Facebook, referral, in person, etc.</t>
        </is>
      </c>
    </row>
    <row r="12" ht="15.75" customHeight="1" s="20">
      <c r="B12" s="36" t="inlineStr">
        <is>
          <t>Date Contacted</t>
        </is>
      </c>
    </row>
    <row r="13" ht="15" customHeight="1" s="20">
      <c r="B13" s="37" t="inlineStr">
        <is>
          <t>The date you first reached out.</t>
        </is>
      </c>
    </row>
    <row r="15" ht="15.75" customHeight="1" s="20">
      <c r="B15" s="36" t="inlineStr">
        <is>
          <t>Contact Method</t>
        </is>
      </c>
    </row>
    <row r="16" ht="15" customHeight="1" s="20">
      <c r="B16" s="37" t="inlineStr">
        <is>
          <t>How you reached them — dropdown menu.</t>
        </is>
      </c>
    </row>
    <row r="18" ht="15.75" customHeight="1" s="20">
      <c r="B18" s="36" t="inlineStr">
        <is>
          <t>Slide Deck: Sent/In Person</t>
        </is>
      </c>
    </row>
    <row r="19" ht="15" customHeight="1" s="20">
      <c r="B19" s="37" t="inlineStr">
        <is>
          <t>Whether you sent the Bio-Age slide deck digitally or presented it in person.</t>
        </is>
      </c>
    </row>
    <row r="21" ht="15.75" customHeight="1" s="20">
      <c r="B21" s="36" t="inlineStr">
        <is>
          <t>Presentation Date / Presentation Status</t>
        </is>
      </c>
    </row>
    <row r="22" ht="15" customHeight="1" s="20">
      <c r="B22" s="37" t="inlineStr">
        <is>
          <t>When and how the presentation went — dropdown for status.</t>
        </is>
      </c>
    </row>
    <row r="24" ht="15.75" customHeight="1" s="20">
      <c r="B24" s="36" t="inlineStr">
        <is>
          <t>Next Follow-Up Date / Follow-Up Notes</t>
        </is>
      </c>
    </row>
    <row r="25" ht="15" customHeight="1" s="20">
      <c r="B25" s="37" t="inlineStr">
        <is>
          <t>Your next planned touchpoint and any notes on it.</t>
        </is>
      </c>
    </row>
    <row r="27" ht="15.75" customHeight="1" s="20">
      <c r="B27" s="36" t="inlineStr">
        <is>
          <t>Enrollment Type</t>
        </is>
      </c>
    </row>
    <row r="28" ht="15" customHeight="1" s="20">
      <c r="B28" s="37" t="inlineStr">
        <is>
          <t>No / Interested / Member / Ambassador — dropdown menu.</t>
        </is>
      </c>
    </row>
    <row r="30" ht="15.75" customHeight="1" s="20">
      <c r="B30" s="36" t="inlineStr">
        <is>
          <t>Enrollment Date</t>
        </is>
      </c>
    </row>
    <row r="31" ht="15" customHeight="1" s="20">
      <c r="B31" s="37" t="inlineStr">
        <is>
          <t>The date they enrolled.</t>
        </is>
      </c>
    </row>
    <row r="33" ht="15.75" customHeight="1" s="20">
      <c r="B33" s="36" t="inlineStr">
        <is>
          <t>Referral Ask</t>
        </is>
      </c>
    </row>
    <row r="34" ht="15" customHeight="1" s="20">
      <c r="B34" s="37" t="inlineStr">
        <is>
          <t>Whether you've asked this person for referrals yet.</t>
        </is>
      </c>
    </row>
    <row r="36" ht="15.75" customHeight="1" s="20">
      <c r="B36" s="36" t="inlineStr">
        <is>
          <t>Onboarding Status / Onboarding Date</t>
        </is>
      </c>
    </row>
    <row r="37" ht="15" customHeight="1" s="20">
      <c r="B37" s="37" t="inlineStr">
        <is>
          <t>Tracks getting a new Member or Ambassador set up.</t>
        </is>
      </c>
    </row>
    <row r="39" ht="15.75" customHeight="1" s="20">
      <c r="B39" s="36" t="inlineStr">
        <is>
          <t>Current Stage</t>
        </is>
      </c>
    </row>
    <row r="40" ht="15" customHeight="1" s="20">
      <c r="B40" s="37" t="inlineStr">
        <is>
          <t>Auto-calculated from the columns above — never type into this one.</t>
        </is>
      </c>
    </row>
    <row r="42" ht="15.75" customHeight="1" s="20">
      <c r="B42" s="36" t="inlineStr">
        <is>
          <t>Rank</t>
        </is>
      </c>
    </row>
    <row r="43" ht="15" customHeight="1" s="20">
      <c r="B43" s="37" t="inlineStr">
        <is>
          <t>Their current Shaklee rank, if applicable — dropdown menu.</t>
        </is>
      </c>
    </row>
    <row r="45" ht="15.75" customHeight="1" s="20">
      <c r="B45" s="36" t="inlineStr">
        <is>
          <t>Days Since Last Contact</t>
        </is>
      </c>
    </row>
    <row r="46" ht="15" customHeight="1" s="20">
      <c r="B46" s="37" t="inlineStr">
        <is>
          <t>Auto-calculated. Turns red after 7 days with no activity.</t>
        </is>
      </c>
    </row>
    <row r="48" ht="15.75" customHeight="1" s="20">
      <c r="B48" s="36" t="inlineStr">
        <is>
          <t>Next Action / Notes</t>
        </is>
      </c>
    </row>
    <row r="49" ht="15" customHeight="1" s="20">
      <c r="B49" s="37" t="inlineStr">
        <is>
          <t>Free text for whatever you need to remember.</t>
        </is>
      </c>
    </row>
    <row r="51" ht="15.75" customHeight="1" s="20">
      <c r="B51" s="36" t="inlineStr">
        <is>
          <t>Priority column</t>
        </is>
      </c>
    </row>
    <row r="52" ht="30" customHeight="1" s="20">
      <c r="B52" s="37" t="inlineStr">
        <is>
          <t>Auto-calculates where each prospect stands: 1 = Ambassador, 2 = Member, 3 = Presented, 4 = Sent (deck given, not presented yet), 5 = Contacted, 6 = No Activity yet. You never type into this column, it reads the other columns and figures it out.</t>
        </is>
      </c>
    </row>
    <row r="54" ht="15.75" customHeight="1" s="20">
      <c r="B54" s="36" t="inlineStr">
        <is>
          <t>Priority View tab</t>
        </is>
      </c>
    </row>
    <row r="55" ht="30" customHeight="1" s="20">
      <c r="B55" s="37" t="inlineStr">
        <is>
          <t>A live, self-sorting scan of your whole list, ranked highest priority first (Ambassadors, then Members, then Presented, then Sent, then Contacted, then cold leads). It updates automatically as you edit the Prospect Tracker tab, no sorting or refreshing needed.</t>
        </is>
      </c>
    </row>
    <row r="57" ht="15.75" customHeight="1" s="20">
      <c r="B57" s="36" t="inlineStr">
        <is>
          <t>Sorting the Prospect Tracker tab by Last Name</t>
        </is>
      </c>
    </row>
    <row r="58" ht="60" customHeight="1" s="20">
      <c r="B58" s="37" t="inlineStr">
        <is>
          <t>Click any cell in the data, then Data &gt; Sort. Sort by "Last Name" A to Z. Since every formula on this sheet only looks at other cells in its own row, sorting is completely safe, everything (Current Stage, Days Since Last Contact, Priority) recalculates correctly in the new order. This is also the fastest way to check whether someone is already on your list, sort by Last Name, then scroll to where their name would fall alphabetically.</t>
        </is>
      </c>
    </row>
    <row r="60" ht="15.75" customHeight="1" s="20">
      <c r="B60" s="36" t="inlineStr">
        <is>
          <t>Keeping it clean</t>
        </is>
      </c>
    </row>
    <row r="61" ht="23.85" customHeight="1" s="20">
      <c r="B61" s="37" t="inlineStr">
        <is>
          <t>One row per prospect, always. If someone re-engages after going cold, just update their existing row rather than creating a duplicate.</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2026-08-28T16:45:38Z</dcterms:created>
  <dcterms:modified xsi:type="dcterms:W3CDTF">2026-09-12T20:36:27Z</dcterms:modified>
  <cp:lastModifiedBy>Bob Ferguson</cp:lastModifiedBy>
  <cp:revision>0</cp:revision>
</cp:coreProperties>
</file>