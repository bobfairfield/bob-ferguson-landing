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Prospect Tracker" sheetId="1" state="visible" r:id="rId3"/>
    <sheet name="Lists" sheetId="2" state="hidden" r:id="rId4"/>
    <sheet name="Priority View" sheetId="3" state="visible" r:id="rId5"/>
    <sheet name="Pipeline Summary" sheetId="4" state="visible" r:id="rId6"/>
    <sheet name="How To Use"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<sst xmlns="http://schemas.openxmlformats.org/spreadsheetml/2006/main" count="114" uniqueCount="95">
  <si>
    <t xml:space="preserve">Ann and Benjamin — Bio-Age™ Reset Stack Prospect Tracker</t>
  </si>
  <si>
    <t xml:space="preserve">Fill in dates as things happen — Current Stage, Priority, and Days Since Last Contact update automatically. See 'How To Use' tab.</t>
  </si>
  <si>
    <t xml:space="preserve">First Name</t>
  </si>
  <si>
    <t xml:space="preserve">Last Name</t>
  </si>
  <si>
    <t xml:space="preserve">Phone</t>
  </si>
  <si>
    <t xml:space="preserve">Email</t>
  </si>
  <si>
    <t xml:space="preserve">Source / How Met</t>
  </si>
  <si>
    <t xml:space="preserve">Date Contacted</t>
  </si>
  <si>
    <t xml:space="preserve">Contact Method</t>
  </si>
  <si>
    <t xml:space="preserve">Landing Page: Shared/In Person</t>
  </si>
  <si>
    <t xml:space="preserve">Presentation Date</t>
  </si>
  <si>
    <t xml:space="preserve">Presentation Status</t>
  </si>
  <si>
    <t xml:space="preserve">Next Follow-Up Date</t>
  </si>
  <si>
    <t xml:space="preserve">Follow-Up Notes</t>
  </si>
  <si>
    <t xml:space="preserve">Enrollment Type</t>
  </si>
  <si>
    <t xml:space="preserve">Enrollment Date</t>
  </si>
  <si>
    <t xml:space="preserve">Referral Ask</t>
  </si>
  <si>
    <t xml:space="preserve">Onboarding Status</t>
  </si>
  <si>
    <t xml:space="preserve">Onboarding Date</t>
  </si>
  <si>
    <t xml:space="preserve">Current Stage</t>
  </si>
  <si>
    <t xml:space="preserve">Rank</t>
  </si>
  <si>
    <t xml:space="preserve">Days Since Last Contact</t>
  </si>
  <si>
    <t xml:space="preserve">Next Action</t>
  </si>
  <si>
    <t xml:space="preserve">Notes</t>
  </si>
  <si>
    <t xml:space="preserve">Priority</t>
  </si>
  <si>
    <t xml:space="preserve">Sort Key</t>
  </si>
  <si>
    <t xml:space="preserve">Ranks</t>
  </si>
  <si>
    <t xml:space="preserve">Ambassador I</t>
  </si>
  <si>
    <t xml:space="preserve">Ambassador II</t>
  </si>
  <si>
    <t xml:space="preserve">Sr. Ambassador</t>
  </si>
  <si>
    <t xml:space="preserve">Director</t>
  </si>
  <si>
    <t xml:space="preserve">Senior Director</t>
  </si>
  <si>
    <t xml:space="preserve">Coordinator</t>
  </si>
  <si>
    <t xml:space="preserve">Sr. Coordinator</t>
  </si>
  <si>
    <t xml:space="preserve">Executive Coordinator</t>
  </si>
  <si>
    <t xml:space="preserve">Sr. Executive Coordinator</t>
  </si>
  <si>
    <t xml:space="preserve">Key Coordinator</t>
  </si>
  <si>
    <t xml:space="preserve">Sr. Key Coordinator</t>
  </si>
  <si>
    <t xml:space="preserve">Master Coordinator</t>
  </si>
  <si>
    <t xml:space="preserve">Sr. Master Coordinator</t>
  </si>
  <si>
    <t xml:space="preserve">Presidential Master Coordinator</t>
  </si>
  <si>
    <t xml:space="preserve">Ann and Benjamin — Priority View</t>
  </si>
  <si>
    <t xml:space="preserve">Auto-sorted, live view of Prospect Tracker: Ambassadors first, then Members, then Presented, then Shared, then Contacted, then No Activity. Updates automatically as you edit the Prospect Tracker tab, nothing to sort or refresh.</t>
  </si>
  <si>
    <t xml:space="preserve">Landing Page</t>
  </si>
  <si>
    <t xml:space="preserve">pos</t>
  </si>
  <si>
    <t xml:space="preserve">Ann and Benjamin — Pipeline Summary</t>
  </si>
  <si>
    <t xml:space="preserve">Pipeline Stage Counts</t>
  </si>
  <si>
    <t xml:space="preserve">New Lead</t>
  </si>
  <si>
    <t xml:space="preserve">Contacted</t>
  </si>
  <si>
    <t xml:space="preserve">Presented</t>
  </si>
  <si>
    <t xml:space="preserve">Follow-Up</t>
  </si>
  <si>
    <t xml:space="preserve">Sponsored</t>
  </si>
  <si>
    <t xml:space="preserve">Onboarded</t>
  </si>
  <si>
    <t xml:space="preserve">Overview</t>
  </si>
  <si>
    <t xml:space="preserve">Total Prospects Logged</t>
  </si>
  <si>
    <t xml:space="preserve">Overdue Follow-Ups (&gt;7 days)</t>
  </si>
  <si>
    <t xml:space="preserve">Enrollment Breakdown</t>
  </si>
  <si>
    <t xml:space="preserve">Member</t>
  </si>
  <si>
    <t xml:space="preserve">Ambassador</t>
  </si>
  <si>
    <t xml:space="preserve">Interested</t>
  </si>
  <si>
    <t xml:space="preserve">Referral Ask Breakdown</t>
  </si>
  <si>
    <t xml:space="preserve">Not Asked</t>
  </si>
  <si>
    <t xml:space="preserve">Asked</t>
  </si>
  <si>
    <t xml:space="preserve">Referrals Given</t>
  </si>
  <si>
    <t xml:space="preserve">How To Use This Tracker</t>
  </si>
  <si>
    <t xml:space="preserve">First Name / Last Name</t>
  </si>
  <si>
    <t xml:space="preserve">Prospect name is split into two columns so you can sort and search by last name. For couples entered together (e.g. "Tom and Paula"), both first names go in First Name and the shared surname goes in Last Name.</t>
  </si>
  <si>
    <t xml:space="preserve">Phone / Email</t>
  </si>
  <si>
    <t xml:space="preserve">Contact info, optional.</t>
  </si>
  <si>
    <t xml:space="preserve">Where the lead came from — Facebook, referral, in person, etc.</t>
  </si>
  <si>
    <t xml:space="preserve">The date you first reached out.</t>
  </si>
  <si>
    <t xml:space="preserve">How you reached them — dropdown menu.</t>
  </si>
  <si>
    <t xml:space="preserve">Whether you shared your landing page digitally or presented it in person.</t>
  </si>
  <si>
    <t xml:space="preserve">Presentation Date / Presentation Status</t>
  </si>
  <si>
    <t xml:space="preserve">When and how the presentation went — dropdown for status.</t>
  </si>
  <si>
    <t xml:space="preserve">Next Follow-Up Date / Follow-Up Notes</t>
  </si>
  <si>
    <t xml:space="preserve">Your next planned touchpoint and any notes on it.</t>
  </si>
  <si>
    <t xml:space="preserve">No / Interested / Member / Ambassador — dropdown menu.</t>
  </si>
  <si>
    <t xml:space="preserve">The date they enrolled.</t>
  </si>
  <si>
    <t xml:space="preserve">Whether you've asked this person for referrals yet.</t>
  </si>
  <si>
    <t xml:space="preserve">Onboarding Status / Onboarding Date</t>
  </si>
  <si>
    <t xml:space="preserve">Tracks getting a new Member or Ambassador set up.</t>
  </si>
  <si>
    <t xml:space="preserve">Auto-calculated from the columns above — never type into this one.</t>
  </si>
  <si>
    <t xml:space="preserve">Their current Shaklee rank, if applicable — dropdown menu.</t>
  </si>
  <si>
    <t xml:space="preserve">Auto-calculated. Turns red after 7 days with no activity.</t>
  </si>
  <si>
    <t xml:space="preserve">Next Action / Notes</t>
  </si>
  <si>
    <t xml:space="preserve">Free text for whatever you need to remember.</t>
  </si>
  <si>
    <t xml:space="preserve">Priority column</t>
  </si>
  <si>
    <t xml:space="preserve">Auto-calculates where each prospect stands: 1 = Ambassador, 2 = Member, 3 = Presented, 4 = Shared (landing page given, not presented yet), 5 = Contacted, 6 = No Activity yet. You never type into this column, it reads the other columns and figures it out.</t>
  </si>
  <si>
    <t xml:space="preserve">Priority View tab</t>
  </si>
  <si>
    <t xml:space="preserve">A live, self-sorting scan of your whole list, ranked highest priority first (Ambassadors, then Members, then Presented, then Shared, then Contacted, then cold leads). It updates automatically as you edit the Prospect Tracker tab, no sorting or refreshing needed.</t>
  </si>
  <si>
    <t xml:space="preserve">Sorting the Prospect Tracker tab by Last Name</t>
  </si>
  <si>
    <t xml:space="preserve">Click any cell in the data, then Data &gt; Sort. Sort by "Last Name" A to Z. Since every formula on this sheet only looks at other cells in its own row, sorting is completely safe, everything (Current Stage, Days Since Last Contact, Priority) recalculates correctly in the new order. This is also the fastest way to check whether someone is already on your list, sort by Last Name, then scroll to where their name would fall alphabetically.</t>
  </si>
  <si>
    <t xml:space="preserve">Keeping it clean</t>
  </si>
  <si>
    <t xml:space="preserve">One row per prospect, always. If someone re-engages after going cold, just update their existing row rather than creating a duplicate.</t>
  </si>
</sst>
</file>

<file path=xl/styles.xml><?xml version="1.0" encoding="utf-8"?>
<styleSheet xmlns="http://schemas.openxmlformats.org/spreadsheetml/2006/main">
  <numFmts count="3">
    <numFmt numFmtId="164" formatCode="General"/>
    <numFmt numFmtId="165" formatCode="yyyy\-mm\-dd"/>
    <numFmt numFmtId="166" formatCode="General"/>
  </numFmts>
  <fonts count="13">
    <font>
      <sz val="11"/>
      <color theme="1"/>
      <name val="Calibri"/>
      <family val="2"/>
      <charset val="1"/>
    </font>
    <font>
      <sz val="10"/>
      <name val="Arial"/>
      <family val="0"/>
    </font>
    <font>
      <sz val="10"/>
      <name val="Arial"/>
      <family val="0"/>
    </font>
    <font>
      <sz val="10"/>
      <name val="Arial"/>
      <family val="0"/>
    </font>
    <font>
      <b val="true"/>
      <sz val="18"/>
      <color rgb="FF4A151C"/>
      <name val="Cambria"/>
      <family val="1"/>
      <charset val="1"/>
    </font>
    <font>
      <i val="true"/>
      <sz val="10"/>
      <color rgb="FF4A151C"/>
      <name val="Calibri"/>
      <family val="2"/>
      <charset val="1"/>
    </font>
    <font>
      <b val="true"/>
      <sz val="11"/>
      <color rgb="FFFFFFFF"/>
      <name val="Calibri"/>
      <family val="2"/>
      <charset val="1"/>
    </font>
    <font>
      <sz val="11"/>
      <name val="Calibri"/>
      <family val="2"/>
      <charset val="1"/>
    </font>
    <font>
      <b val="true"/>
      <sz val="16"/>
      <color rgb="FF4A151C"/>
      <name val="Cambria"/>
      <family val="1"/>
      <charset val="1"/>
    </font>
    <font>
      <b val="true"/>
      <sz val="12"/>
      <color rgb="FFFFFFFF"/>
      <name val="Calibri"/>
      <family val="2"/>
      <charset val="1"/>
    </font>
    <font>
      <b val="true"/>
      <sz val="11"/>
      <name val="Calibri"/>
      <family val="2"/>
      <charset val="1"/>
    </font>
    <font>
      <b val="true"/>
      <sz val="12"/>
      <color rgb="FF4A151C"/>
      <name val="Calibri"/>
      <family val="2"/>
      <charset val="1"/>
    </font>
    <font>
      <sz val="10"/>
      <name val="Calibri"/>
      <family val="2"/>
      <charset val="1"/>
    </font>
  </fonts>
  <fills count="4">
    <fill>
      <patternFill patternType="none"/>
    </fill>
    <fill>
      <patternFill patternType="gray125"/>
    </fill>
    <fill>
      <patternFill patternType="solid">
        <fgColor rgb="FFFBF7EF"/>
        <bgColor rgb="FFFFFFFF"/>
      </patternFill>
    </fill>
    <fill>
      <patternFill patternType="solid">
        <fgColor rgb="FF6B1F2A"/>
        <bgColor rgb="FF4A151C"/>
      </patternFill>
    </fill>
  </fills>
  <borders count="3">
    <border diagonalUp="false" diagonalDown="false">
      <left/>
      <right/>
      <top/>
      <bottom/>
      <diagonal/>
    </border>
    <border diagonalUp="false" diagonalDown="false">
      <left style="thin">
        <color rgb="FF4A151C"/>
      </left>
      <right style="thin">
        <color rgb="FF4A151C"/>
      </right>
      <top style="thin">
        <color rgb="FF4A151C"/>
      </top>
      <bottom style="thin">
        <color rgb="FF4A151C"/>
      </bottom>
      <diagonal/>
    </border>
    <border diagonalUp="false" diagonalDown="false">
      <left style="thin">
        <color rgb="FFD9D9D9"/>
      </left>
      <right style="thin">
        <color rgb="FFD9D9D9"/>
      </right>
      <top style="thin">
        <color rgb="FFD9D9D9"/>
      </top>
      <bottom style="thin">
        <color rgb="FFD9D9D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general" vertical="bottom" textRotation="0" wrapText="false" indent="0" shrinkToFit="false"/>
      <protection locked="true" hidden="false"/>
    </xf>
    <xf numFmtId="164" fontId="5" fillId="2" borderId="0" xfId="0" applyFont="true" applyBorder="true" applyAlignment="true" applyProtection="false">
      <alignment horizontal="general" vertical="bottom" textRotation="0" wrapText="false" indent="0" shrinkToFit="false"/>
      <protection locked="true" hidden="false"/>
    </xf>
    <xf numFmtId="164" fontId="0" fillId="2" borderId="0" xfId="0" applyFont="false" applyBorder="true" applyAlignment="true" applyProtection="false">
      <alignment horizontal="general" vertical="bottom" textRotation="0" wrapText="false" indent="0" shrinkToFit="false"/>
      <protection locked="true" hidden="false"/>
    </xf>
    <xf numFmtId="164" fontId="6" fillId="3" borderId="1" xfId="0" applyFont="true" applyBorder="true" applyAlignment="true" applyProtection="false">
      <alignment horizontal="center" vertical="center" textRotation="0" wrapText="true" indent="0" shrinkToFit="false"/>
      <protection locked="true" hidden="false"/>
    </xf>
    <xf numFmtId="164" fontId="7" fillId="0" borderId="2" xfId="0" applyFont="true" applyBorder="true" applyAlignment="true" applyProtection="false">
      <alignment horizontal="general" vertical="bottom" textRotation="0" wrapText="false" indent="0" shrinkToFit="false"/>
      <protection locked="true" hidden="false"/>
    </xf>
    <xf numFmtId="165" fontId="7" fillId="0" borderId="2" xfId="0" applyFont="true" applyBorder="tru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bottom" textRotation="0" wrapText="false" indent="0" shrinkToFit="false"/>
      <protection locked="true" hidden="false"/>
    </xf>
    <xf numFmtId="164" fontId="6" fillId="3" borderId="2" xfId="0" applyFont="true" applyBorder="true" applyAlignment="true" applyProtection="false">
      <alignment horizontal="center" vertical="center" textRotation="0" wrapText="true" indent="0" shrinkToFit="false"/>
      <protection locked="true" hidden="false"/>
    </xf>
    <xf numFmtId="164" fontId="7" fillId="2" borderId="2" xfId="0" applyFont="true" applyBorder="true" applyAlignment="true" applyProtection="false">
      <alignment horizontal="general" vertical="bottom" textRotation="0" wrapText="false" indent="0" shrinkToFit="false"/>
      <protection locked="true" hidden="false"/>
    </xf>
    <xf numFmtId="165" fontId="7" fillId="2" borderId="2" xfId="0" applyFont="true" applyBorder="true" applyAlignment="true" applyProtection="false">
      <alignment horizontal="general" vertical="bottom" textRotation="0" wrapText="false" indent="0" shrinkToFit="false"/>
      <protection locked="true" hidden="false"/>
    </xf>
    <xf numFmtId="164" fontId="9" fillId="3" borderId="0"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6" fontId="10" fillId="0" borderId="0" xfId="0" applyFont="true" applyBorder="false" applyAlignment="true" applyProtection="false">
      <alignment horizontal="center" vertical="bottom" textRotation="0" wrapText="false" indent="0" shrinkToFit="false"/>
      <protection locked="true" hidden="false"/>
    </xf>
    <xf numFmtId="164" fontId="4" fillId="0" borderId="0" xfId="0" applyFont="true" applyBorder="tru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bgColor rgb="FFD9EAD3"/>
        </patternFill>
      </fill>
    </dxf>
    <dxf>
      <fill>
        <patternFill>
          <bgColor rgb="FFF8CBAD"/>
        </patternFill>
      </fill>
    </dxf>
    <dxf>
      <font>
        <name val="Calibri"/>
        <charset val="1"/>
        <family val="0"/>
        <b val="1"/>
        <color rgb="FFFFFFFF"/>
      </font>
      <fill>
        <patternFill>
          <bgColor rgb="FFC6974F"/>
        </patternFill>
      </fill>
    </dxf>
    <dxf>
      <font>
        <name val="Calibri"/>
        <charset val="1"/>
        <family val="0"/>
        <b val="1"/>
        <color rgb="FFFFFFFF"/>
      </font>
      <fill>
        <patternFill>
          <bgColor rgb="FF5B7A63"/>
        </patternFill>
      </fill>
    </dxf>
    <dxf>
      <font>
        <name val="Calibri"/>
        <charset val="1"/>
        <family val="0"/>
        <b val="1"/>
        <color rgb="FF4A151C"/>
      </font>
      <fill>
        <patternFill>
          <bgColor rgb="FFD6DFD9"/>
        </patternFill>
      </fill>
    </dxf>
    <dxf>
      <font>
        <name val="Calibri"/>
        <charset val="1"/>
        <family val="0"/>
        <b val="1"/>
        <color rgb="FF4A151C"/>
      </font>
      <fill>
        <patternFill>
          <bgColor rgb="FFEFE8D8"/>
        </patternFill>
      </fill>
    </dxf>
    <dxf>
      <font>
        <name val="Calibri"/>
        <charset val="1"/>
        <family val="0"/>
        <b val="1"/>
        <color rgb="FFFFFFFF"/>
      </font>
      <fill>
        <patternFill>
          <bgColor rgb="FFB6A79C"/>
        </patternFill>
      </fill>
    </dxf>
  </dxfs>
  <colors>
    <indexedColors>
      <rgbColor rgb="FF000000"/>
      <rgbColor rgb="FFFFFFFF"/>
      <rgbColor rgb="FFFF0000"/>
      <rgbColor rgb="FF00FF00"/>
      <rgbColor rgb="FF0000FF"/>
      <rgbColor rgb="FFFFFF00"/>
      <rgbColor rgb="FFFF00FF"/>
      <rgbColor rgb="FF00FFFF"/>
      <rgbColor rgb="FF6B1F2A"/>
      <rgbColor rgb="FF008000"/>
      <rgbColor rgb="FF000080"/>
      <rgbColor rgb="FF808000"/>
      <rgbColor rgb="FF800080"/>
      <rgbColor rgb="FF008080"/>
      <rgbColor rgb="FFD6DFD9"/>
      <rgbColor rgb="FF5B7A63"/>
      <rgbColor rgb="FF9999FF"/>
      <rgbColor rgb="FF993366"/>
      <rgbColor rgb="FFFBF7EF"/>
      <rgbColor rgb="FFCCFFFF"/>
      <rgbColor rgb="FF660066"/>
      <rgbColor rgb="FFC6974F"/>
      <rgbColor rgb="FF0066CC"/>
      <rgbColor rgb="FFD9D9D9"/>
      <rgbColor rgb="FF000080"/>
      <rgbColor rgb="FFFF00FF"/>
      <rgbColor rgb="FFFFFF00"/>
      <rgbColor rgb="FF00FFFF"/>
      <rgbColor rgb="FF800080"/>
      <rgbColor rgb="FF800000"/>
      <rgbColor rgb="FF008080"/>
      <rgbColor rgb="FF0000FF"/>
      <rgbColor rgb="FF00CCFF"/>
      <rgbColor rgb="FFCCFFFF"/>
      <rgbColor rgb="FFD9EAD3"/>
      <rgbColor rgb="FFEFE8D8"/>
      <rgbColor rgb="FF99CCFF"/>
      <rgbColor rgb="FFFF99CC"/>
      <rgbColor rgb="FFCC99FF"/>
      <rgbColor rgb="FFF8CBAD"/>
      <rgbColor rgb="FF3366FF"/>
      <rgbColor rgb="FF33CCCC"/>
      <rgbColor rgb="FF99CC00"/>
      <rgbColor rgb="FFFFCC00"/>
      <rgbColor rgb="FFFF9900"/>
      <rgbColor rgb="FFFF6600"/>
      <rgbColor rgb="FF666699"/>
      <rgbColor rgb="FFB6A79C"/>
      <rgbColor rgb="FF003366"/>
      <rgbColor rgb="FF339966"/>
      <rgbColor rgb="FF003300"/>
      <rgbColor rgb="FF333300"/>
      <rgbColor rgb="FF993300"/>
      <rgbColor rgb="FF993366"/>
      <rgbColor rgb="FF333399"/>
      <rgbColor rgb="FF4A151C"/>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554"/>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2" min="1" style="1" width="16"/>
    <col collapsed="false" customWidth="true" hidden="false" outlineLevel="0" max="3" min="3" style="1" width="14"/>
    <col collapsed="false" customWidth="true" hidden="false" outlineLevel="0" max="4" min="4" style="1" width="22"/>
    <col collapsed="false" customWidth="true" hidden="false" outlineLevel="0" max="5" min="5" style="1" width="16"/>
    <col collapsed="false" customWidth="true" hidden="false" outlineLevel="0" max="7" min="6" style="1" width="14"/>
    <col collapsed="false" customWidth="true" hidden="false" outlineLevel="0" max="8" min="8" style="1" width="16"/>
    <col collapsed="false" customWidth="true" hidden="false" outlineLevel="0" max="9" min="9" style="1" width="14"/>
    <col collapsed="false" customWidth="true" hidden="false" outlineLevel="0" max="11" min="10" style="1" width="16"/>
    <col collapsed="false" customWidth="true" hidden="false" outlineLevel="0" max="12" min="12" style="1" width="22"/>
    <col collapsed="false" customWidth="true" hidden="false" outlineLevel="0" max="18" min="13" style="1" width="14"/>
    <col collapsed="false" customWidth="true" hidden="false" outlineLevel="0" max="19" min="19" style="1" width="18"/>
    <col collapsed="false" customWidth="true" hidden="false" outlineLevel="0" max="20" min="20" style="1" width="14"/>
    <col collapsed="false" customWidth="true" hidden="false" outlineLevel="0" max="21" min="21" style="1" width="18"/>
    <col collapsed="false" customWidth="true" hidden="false" outlineLevel="0" max="22" min="22" style="1" width="22"/>
    <col collapsed="false" customWidth="true" hidden="false" outlineLevel="0" max="23" min="23" style="1" width="16"/>
    <col collapsed="false" customWidth="true" hidden="true" outlineLevel="0" max="24" min="24" style="1" width="12"/>
  </cols>
  <sheetData>
    <row r="1" customFormat="false" ht="25.5" hidden="false" customHeight="true" outlineLevel="0" collapsed="false">
      <c r="A1" s="2" t="s">
        <v>0</v>
      </c>
      <c r="B1" s="2"/>
      <c r="C1" s="2"/>
      <c r="D1" s="2"/>
      <c r="E1" s="2"/>
      <c r="F1" s="2"/>
      <c r="G1" s="2"/>
      <c r="H1" s="2"/>
      <c r="I1" s="2"/>
      <c r="J1" s="2"/>
      <c r="K1" s="2"/>
      <c r="L1" s="2"/>
      <c r="M1" s="2"/>
      <c r="N1" s="2"/>
      <c r="O1" s="2"/>
      <c r="P1" s="2"/>
      <c r="Q1" s="2"/>
      <c r="R1" s="2"/>
      <c r="S1" s="2"/>
      <c r="T1" s="2"/>
      <c r="U1" s="2"/>
      <c r="V1" s="2"/>
      <c r="W1" s="2"/>
      <c r="X1" s="2"/>
    </row>
    <row r="2" customFormat="false" ht="21.75" hidden="false" customHeight="true" outlineLevel="0" collapsed="false">
      <c r="A2" s="3" t="s">
        <v>1</v>
      </c>
      <c r="B2" s="3"/>
      <c r="C2" s="3"/>
      <c r="D2" s="3"/>
      <c r="E2" s="3"/>
      <c r="F2" s="3"/>
      <c r="G2" s="3"/>
      <c r="H2" s="3"/>
      <c r="I2" s="3"/>
      <c r="J2" s="3"/>
      <c r="K2" s="3"/>
      <c r="L2" s="3"/>
      <c r="M2" s="3"/>
      <c r="N2" s="3"/>
      <c r="O2" s="3"/>
      <c r="P2" s="3"/>
      <c r="Q2" s="3"/>
      <c r="R2" s="3"/>
      <c r="S2" s="3"/>
      <c r="T2" s="3"/>
      <c r="U2" s="3"/>
      <c r="V2" s="3"/>
      <c r="W2" s="3"/>
      <c r="X2" s="3"/>
    </row>
    <row r="3" customFormat="false" ht="21.75" hidden="false" customHeight="true" outlineLevel="0" collapsed="false">
      <c r="A3" s="4"/>
      <c r="B3" s="4"/>
      <c r="C3" s="4"/>
      <c r="D3" s="4"/>
      <c r="E3" s="4"/>
      <c r="F3" s="4"/>
      <c r="G3" s="4"/>
      <c r="H3" s="4"/>
      <c r="I3" s="4"/>
      <c r="J3" s="4"/>
      <c r="K3" s="4"/>
      <c r="L3" s="4"/>
      <c r="M3" s="4"/>
      <c r="N3" s="4"/>
      <c r="O3" s="4"/>
      <c r="P3" s="4"/>
      <c r="Q3" s="4"/>
      <c r="R3" s="4"/>
      <c r="S3" s="4"/>
      <c r="T3" s="4"/>
      <c r="U3" s="4"/>
      <c r="V3" s="4"/>
      <c r="W3" s="4"/>
      <c r="X3" s="4"/>
    </row>
    <row r="4" customFormat="false" ht="33.75" hidden="false" customHeight="true" outlineLevel="0" collapsed="false">
      <c r="A4" s="5" t="s">
        <v>2</v>
      </c>
      <c r="B4" s="5" t="s">
        <v>3</v>
      </c>
      <c r="C4" s="5" t="s">
        <v>4</v>
      </c>
      <c r="D4" s="5" t="s">
        <v>5</v>
      </c>
      <c r="E4" s="5" t="s">
        <v>6</v>
      </c>
      <c r="F4" s="5" t="s">
        <v>7</v>
      </c>
      <c r="G4" s="5" t="s">
        <v>8</v>
      </c>
      <c r="H4" s="5" t="s">
        <v>9</v>
      </c>
      <c r="I4" s="5" t="s">
        <v>10</v>
      </c>
      <c r="J4" s="5" t="s">
        <v>11</v>
      </c>
      <c r="K4" s="5" t="s">
        <v>12</v>
      </c>
      <c r="L4" s="5" t="s">
        <v>13</v>
      </c>
      <c r="M4" s="5" t="s">
        <v>14</v>
      </c>
      <c r="N4" s="5" t="s">
        <v>15</v>
      </c>
      <c r="O4" s="5" t="s">
        <v>16</v>
      </c>
      <c r="P4" s="5" t="s">
        <v>17</v>
      </c>
      <c r="Q4" s="5" t="s">
        <v>18</v>
      </c>
      <c r="R4" s="5" t="s">
        <v>19</v>
      </c>
      <c r="S4" s="5" t="s">
        <v>20</v>
      </c>
      <c r="T4" s="5" t="s">
        <v>21</v>
      </c>
      <c r="U4" s="5" t="s">
        <v>22</v>
      </c>
      <c r="V4" s="5" t="s">
        <v>23</v>
      </c>
      <c r="W4" s="5" t="s">
        <v>24</v>
      </c>
      <c r="X4" s="5" t="s">
        <v>25</v>
      </c>
    </row>
    <row r="5" customFormat="false" ht="15" hidden="false" customHeight="true" outlineLevel="0" collapsed="false">
      <c r="A5" s="6"/>
      <c r="B5" s="6"/>
      <c r="C5" s="6"/>
      <c r="D5" s="6"/>
      <c r="E5" s="6"/>
      <c r="F5" s="7"/>
      <c r="G5" s="6"/>
      <c r="H5" s="6"/>
      <c r="I5" s="7"/>
      <c r="J5" s="6"/>
      <c r="K5" s="7"/>
      <c r="L5" s="6"/>
      <c r="M5" s="6"/>
      <c r="N5" s="7"/>
      <c r="O5" s="6"/>
      <c r="P5" s="6"/>
      <c r="Q5" s="7"/>
      <c r="R5" s="6" t="str">
        <f aca="false">IF(AND($A5="",$B5=""),"",IF(Q5="Complete","Onboarded",IF(OR(M5="Member",M5="Ambassador"),"Sponsored",IF(K5&lt;&gt;"","Follow-Up",IF(I5&lt;&gt;"","Presented",IF(F5&lt;&gt;"","Contacted","New Lead"))))))</f>
        <v/>
      </c>
      <c r="S5" s="6"/>
      <c r="T5" s="6" t="str">
        <f aca="true">IF(MAX(F5,I5,K5)=0,"",TODAY()-MAX(F5,I5,K5))</f>
        <v/>
      </c>
      <c r="U5" s="6"/>
      <c r="V5" s="6"/>
      <c r="W5" s="6" t="str">
        <f aca="false">IF(AND($A5="",$B5=""),"",IF(M5="Ambassador","1 - Ambassador",IF(M5="Member","2 - Member",IF(J5="Completed","3 - Presented",IF(H5&lt;&gt;"","4 - Shared",IF(F5&lt;&gt;"","5 - Contacted","6 - No Activity"))))))</f>
        <v/>
      </c>
      <c r="X5" s="6" t="n">
        <f aca="false">IF(AND($A5="",$B5=""),9999999+(ROW()-4),VALUE(LEFT($W5,1))*10000+(ROW()-4))</f>
        <v>10000000</v>
      </c>
    </row>
    <row r="6" customFormat="false" ht="15" hidden="false" customHeight="true" outlineLevel="0" collapsed="false">
      <c r="A6" s="6"/>
      <c r="B6" s="6"/>
      <c r="C6" s="6"/>
      <c r="D6" s="6"/>
      <c r="E6" s="6"/>
      <c r="F6" s="7"/>
      <c r="G6" s="6"/>
      <c r="H6" s="6"/>
      <c r="I6" s="7"/>
      <c r="J6" s="6"/>
      <c r="K6" s="7"/>
      <c r="L6" s="6"/>
      <c r="M6" s="6"/>
      <c r="N6" s="7"/>
      <c r="O6" s="6"/>
      <c r="P6" s="6"/>
      <c r="Q6" s="7"/>
      <c r="R6" s="6" t="str">
        <f aca="false">IF(AND($A6="",$B6=""),"",IF(Q6="Complete","Onboarded",IF(OR(M6="Member",M6="Ambassador"),"Sponsored",IF(K6&lt;&gt;"","Follow-Up",IF(I6&lt;&gt;"","Presented",IF(F6&lt;&gt;"","Contacted","New Lead"))))))</f>
        <v/>
      </c>
      <c r="S6" s="6"/>
      <c r="T6" s="6" t="str">
        <f aca="true">IF(MAX(F6,I6,K6)=0,"",TODAY()-MAX(F6,I6,K6))</f>
        <v/>
      </c>
      <c r="U6" s="6"/>
      <c r="V6" s="6"/>
      <c r="W6" s="6" t="str">
        <f aca="false">IF(AND($A6="",$B6=""),"",IF(M6="Ambassador","1 - Ambassador",IF(M6="Member","2 - Member",IF(J6="Completed","3 - Presented",IF(H6&lt;&gt;"","4 - Shared",IF(F6&lt;&gt;"","5 - Contacted","6 - No Activity"))))))</f>
        <v/>
      </c>
      <c r="X6" s="6" t="n">
        <f aca="false">IF(AND($A6="",$B6=""),9999999+(ROW()-4),VALUE(LEFT($W6,1))*10000+(ROW()-4))</f>
        <v>10000001</v>
      </c>
    </row>
    <row r="7" customFormat="false" ht="15" hidden="false" customHeight="true" outlineLevel="0" collapsed="false">
      <c r="A7" s="6"/>
      <c r="B7" s="6"/>
      <c r="C7" s="6"/>
      <c r="D7" s="6"/>
      <c r="E7" s="6"/>
      <c r="F7" s="7"/>
      <c r="G7" s="6"/>
      <c r="H7" s="6"/>
      <c r="I7" s="7"/>
      <c r="J7" s="6"/>
      <c r="K7" s="7"/>
      <c r="L7" s="6"/>
      <c r="M7" s="6"/>
      <c r="N7" s="7"/>
      <c r="O7" s="6"/>
      <c r="P7" s="6"/>
      <c r="Q7" s="7"/>
      <c r="R7" s="6" t="str">
        <f aca="false">IF(AND($A7="",$B7=""),"",IF(Q7="Complete","Onboarded",IF(OR(M7="Member",M7="Ambassador"),"Sponsored",IF(K7&lt;&gt;"","Follow-Up",IF(I7&lt;&gt;"","Presented",IF(F7&lt;&gt;"","Contacted","New Lead"))))))</f>
        <v/>
      </c>
      <c r="S7" s="6"/>
      <c r="T7" s="6" t="str">
        <f aca="true">IF(MAX(F7,I7,K7)=0,"",TODAY()-MAX(F7,I7,K7))</f>
        <v/>
      </c>
      <c r="U7" s="6"/>
      <c r="V7" s="6"/>
      <c r="W7" s="6" t="str">
        <f aca="false">IF(AND($A7="",$B7=""),"",IF(M7="Ambassador","1 - Ambassador",IF(M7="Member","2 - Member",IF(J7="Completed","3 - Presented",IF(H7&lt;&gt;"","4 - Shared",IF(F7&lt;&gt;"","5 - Contacted","6 - No Activity"))))))</f>
        <v/>
      </c>
      <c r="X7" s="6" t="n">
        <f aca="false">IF(AND($A7="",$B7=""),9999999+(ROW()-4),VALUE(LEFT($W7,1))*10000+(ROW()-4))</f>
        <v>10000002</v>
      </c>
    </row>
    <row r="8" customFormat="false" ht="15" hidden="false" customHeight="true" outlineLevel="0" collapsed="false">
      <c r="A8" s="6"/>
      <c r="B8" s="6"/>
      <c r="C8" s="6"/>
      <c r="D8" s="6"/>
      <c r="E8" s="6"/>
      <c r="F8" s="7"/>
      <c r="G8" s="6"/>
      <c r="H8" s="6"/>
      <c r="I8" s="7"/>
      <c r="J8" s="6"/>
      <c r="K8" s="7"/>
      <c r="L8" s="6"/>
      <c r="M8" s="6"/>
      <c r="N8" s="7"/>
      <c r="O8" s="6"/>
      <c r="P8" s="6"/>
      <c r="Q8" s="7"/>
      <c r="R8" s="6" t="str">
        <f aca="false">IF(AND($A8="",$B8=""),"",IF(Q8="Complete","Onboarded",IF(OR(M8="Member",M8="Ambassador"),"Sponsored",IF(K8&lt;&gt;"","Follow-Up",IF(I8&lt;&gt;"","Presented",IF(F8&lt;&gt;"","Contacted","New Lead"))))))</f>
        <v/>
      </c>
      <c r="S8" s="6"/>
      <c r="T8" s="6" t="str">
        <f aca="true">IF(MAX(F8,I8,K8)=0,"",TODAY()-MAX(F8,I8,K8))</f>
        <v/>
      </c>
      <c r="U8" s="6"/>
      <c r="V8" s="6"/>
      <c r="W8" s="6" t="str">
        <f aca="false">IF(AND($A8="",$B8=""),"",IF(M8="Ambassador","1 - Ambassador",IF(M8="Member","2 - Member",IF(J8="Completed","3 - Presented",IF(H8&lt;&gt;"","4 - Shared",IF(F8&lt;&gt;"","5 - Contacted","6 - No Activity"))))))</f>
        <v/>
      </c>
      <c r="X8" s="6" t="n">
        <f aca="false">IF(AND($A8="",$B8=""),9999999+(ROW()-4),VALUE(LEFT($W8,1))*10000+(ROW()-4))</f>
        <v>10000003</v>
      </c>
    </row>
    <row r="9" customFormat="false" ht="15" hidden="false" customHeight="true" outlineLevel="0" collapsed="false">
      <c r="A9" s="6"/>
      <c r="B9" s="6"/>
      <c r="C9" s="6"/>
      <c r="D9" s="6"/>
      <c r="E9" s="6"/>
      <c r="F9" s="7"/>
      <c r="G9" s="6"/>
      <c r="H9" s="6"/>
      <c r="I9" s="7"/>
      <c r="J9" s="6"/>
      <c r="K9" s="7"/>
      <c r="L9" s="6"/>
      <c r="M9" s="6"/>
      <c r="N9" s="7"/>
      <c r="O9" s="6"/>
      <c r="P9" s="6"/>
      <c r="Q9" s="7"/>
      <c r="R9" s="6" t="str">
        <f aca="false">IF(AND($A9="",$B9=""),"",IF(Q9="Complete","Onboarded",IF(OR(M9="Member",M9="Ambassador"),"Sponsored",IF(K9&lt;&gt;"","Follow-Up",IF(I9&lt;&gt;"","Presented",IF(F9&lt;&gt;"","Contacted","New Lead"))))))</f>
        <v/>
      </c>
      <c r="S9" s="6"/>
      <c r="T9" s="6" t="str">
        <f aca="true">IF(MAX(F9,I9,K9)=0,"",TODAY()-MAX(F9,I9,K9))</f>
        <v/>
      </c>
      <c r="U9" s="6"/>
      <c r="V9" s="6"/>
      <c r="W9" s="6" t="str">
        <f aca="false">IF(AND($A9="",$B9=""),"",IF(M9="Ambassador","1 - Ambassador",IF(M9="Member","2 - Member",IF(J9="Completed","3 - Presented",IF(H9&lt;&gt;"","4 - Shared",IF(F9&lt;&gt;"","5 - Contacted","6 - No Activity"))))))</f>
        <v/>
      </c>
      <c r="X9" s="6" t="n">
        <f aca="false">IF(AND($A9="",$B9=""),9999999+(ROW()-4),VALUE(LEFT($W9,1))*10000+(ROW()-4))</f>
        <v>10000004</v>
      </c>
    </row>
    <row r="10" customFormat="false" ht="15" hidden="false" customHeight="true" outlineLevel="0" collapsed="false">
      <c r="A10" s="6"/>
      <c r="B10" s="6"/>
      <c r="C10" s="6"/>
      <c r="D10" s="6"/>
      <c r="E10" s="6"/>
      <c r="F10" s="7"/>
      <c r="G10" s="6"/>
      <c r="H10" s="6"/>
      <c r="I10" s="7"/>
      <c r="J10" s="6"/>
      <c r="K10" s="7"/>
      <c r="L10" s="6"/>
      <c r="M10" s="6"/>
      <c r="N10" s="7"/>
      <c r="O10" s="6"/>
      <c r="P10" s="6"/>
      <c r="Q10" s="7"/>
      <c r="R10" s="6" t="str">
        <f aca="false">IF(AND($A10="",$B10=""),"",IF(Q10="Complete","Onboarded",IF(OR(M10="Member",M10="Ambassador"),"Sponsored",IF(K10&lt;&gt;"","Follow-Up",IF(I10&lt;&gt;"","Presented",IF(F10&lt;&gt;"","Contacted","New Lead"))))))</f>
        <v/>
      </c>
      <c r="S10" s="6"/>
      <c r="T10" s="6" t="str">
        <f aca="true">IF(MAX(F10,I10,K10)=0,"",TODAY()-MAX(F10,I10,K10))</f>
        <v/>
      </c>
      <c r="U10" s="6"/>
      <c r="V10" s="6"/>
      <c r="W10" s="6" t="str">
        <f aca="false">IF(AND($A10="",$B10=""),"",IF(M10="Ambassador","1 - Ambassador",IF(M10="Member","2 - Member",IF(J10="Completed","3 - Presented",IF(H10&lt;&gt;"","4 - Shared",IF(F10&lt;&gt;"","5 - Contacted","6 - No Activity"))))))</f>
        <v/>
      </c>
      <c r="X10" s="6" t="n">
        <f aca="false">IF(AND($A10="",$B10=""),9999999+(ROW()-4),VALUE(LEFT($W10,1))*10000+(ROW()-4))</f>
        <v>10000005</v>
      </c>
    </row>
    <row r="11" customFormat="false" ht="15" hidden="false" customHeight="true" outlineLevel="0" collapsed="false">
      <c r="A11" s="6"/>
      <c r="B11" s="6"/>
      <c r="C11" s="6"/>
      <c r="D11" s="6"/>
      <c r="E11" s="6"/>
      <c r="F11" s="7"/>
      <c r="G11" s="6"/>
      <c r="H11" s="6"/>
      <c r="I11" s="7"/>
      <c r="J11" s="6"/>
      <c r="K11" s="7"/>
      <c r="L11" s="6"/>
      <c r="M11" s="6"/>
      <c r="N11" s="7"/>
      <c r="O11" s="6"/>
      <c r="P11" s="6"/>
      <c r="Q11" s="7"/>
      <c r="R11" s="6" t="str">
        <f aca="false">IF(AND($A11="",$B11=""),"",IF(Q11="Complete","Onboarded",IF(OR(M11="Member",M11="Ambassador"),"Sponsored",IF(K11&lt;&gt;"","Follow-Up",IF(I11&lt;&gt;"","Presented",IF(F11&lt;&gt;"","Contacted","New Lead"))))))</f>
        <v/>
      </c>
      <c r="S11" s="6"/>
      <c r="T11" s="6" t="str">
        <f aca="true">IF(MAX(F11,I11,K11)=0,"",TODAY()-MAX(F11,I11,K11))</f>
        <v/>
      </c>
      <c r="U11" s="6"/>
      <c r="V11" s="6"/>
      <c r="W11" s="6" t="str">
        <f aca="false">IF(AND($A11="",$B11=""),"",IF(M11="Ambassador","1 - Ambassador",IF(M11="Member","2 - Member",IF(J11="Completed","3 - Presented",IF(H11&lt;&gt;"","4 - Shared",IF(F11&lt;&gt;"","5 - Contacted","6 - No Activity"))))))</f>
        <v/>
      </c>
      <c r="X11" s="6" t="n">
        <f aca="false">IF(AND($A11="",$B11=""),9999999+(ROW()-4),VALUE(LEFT($W11,1))*10000+(ROW()-4))</f>
        <v>10000006</v>
      </c>
    </row>
    <row r="12" customFormat="false" ht="15" hidden="false" customHeight="true" outlineLevel="0" collapsed="false">
      <c r="A12" s="6"/>
      <c r="B12" s="6"/>
      <c r="C12" s="6"/>
      <c r="D12" s="6"/>
      <c r="E12" s="6"/>
      <c r="F12" s="7"/>
      <c r="G12" s="6"/>
      <c r="H12" s="6"/>
      <c r="I12" s="7"/>
      <c r="J12" s="6"/>
      <c r="K12" s="7"/>
      <c r="L12" s="6"/>
      <c r="M12" s="6"/>
      <c r="N12" s="7"/>
      <c r="O12" s="6"/>
      <c r="P12" s="6"/>
      <c r="Q12" s="7"/>
      <c r="R12" s="6" t="str">
        <f aca="false">IF(AND($A12="",$B12=""),"",IF(Q12="Complete","Onboarded",IF(OR(M12="Member",M12="Ambassador"),"Sponsored",IF(K12&lt;&gt;"","Follow-Up",IF(I12&lt;&gt;"","Presented",IF(F12&lt;&gt;"","Contacted","New Lead"))))))</f>
        <v/>
      </c>
      <c r="S12" s="6"/>
      <c r="T12" s="6" t="str">
        <f aca="true">IF(MAX(F12,I12,K12)=0,"",TODAY()-MAX(F12,I12,K12))</f>
        <v/>
      </c>
      <c r="U12" s="6"/>
      <c r="V12" s="6"/>
      <c r="W12" s="6" t="str">
        <f aca="false">IF(AND($A12="",$B12=""),"",IF(M12="Ambassador","1 - Ambassador",IF(M12="Member","2 - Member",IF(J12="Completed","3 - Presented",IF(H12&lt;&gt;"","4 - Shared",IF(F12&lt;&gt;"","5 - Contacted","6 - No Activity"))))))</f>
        <v/>
      </c>
      <c r="X12" s="6" t="n">
        <f aca="false">IF(AND($A12="",$B12=""),9999999+(ROW()-4),VALUE(LEFT($W12,1))*10000+(ROW()-4))</f>
        <v>10000007</v>
      </c>
    </row>
    <row r="13" customFormat="false" ht="15" hidden="false" customHeight="true" outlineLevel="0" collapsed="false">
      <c r="A13" s="6"/>
      <c r="B13" s="6"/>
      <c r="C13" s="6"/>
      <c r="D13" s="6"/>
      <c r="E13" s="6"/>
      <c r="F13" s="7"/>
      <c r="G13" s="6"/>
      <c r="H13" s="6"/>
      <c r="I13" s="7"/>
      <c r="J13" s="6"/>
      <c r="K13" s="7"/>
      <c r="L13" s="6"/>
      <c r="M13" s="6"/>
      <c r="N13" s="7"/>
      <c r="O13" s="6"/>
      <c r="P13" s="6"/>
      <c r="Q13" s="7"/>
      <c r="R13" s="6" t="str">
        <f aca="false">IF(AND($A13="",$B13=""),"",IF(Q13="Complete","Onboarded",IF(OR(M13="Member",M13="Ambassador"),"Sponsored",IF(K13&lt;&gt;"","Follow-Up",IF(I13&lt;&gt;"","Presented",IF(F13&lt;&gt;"","Contacted","New Lead"))))))</f>
        <v/>
      </c>
      <c r="S13" s="6"/>
      <c r="T13" s="6" t="str">
        <f aca="true">IF(MAX(F13,I13,K13)=0,"",TODAY()-MAX(F13,I13,K13))</f>
        <v/>
      </c>
      <c r="U13" s="6"/>
      <c r="V13" s="6"/>
      <c r="W13" s="6" t="str">
        <f aca="false">IF(AND($A13="",$B13=""),"",IF(M13="Ambassador","1 - Ambassador",IF(M13="Member","2 - Member",IF(J13="Completed","3 - Presented",IF(H13&lt;&gt;"","4 - Shared",IF(F13&lt;&gt;"","5 - Contacted","6 - No Activity"))))))</f>
        <v/>
      </c>
      <c r="X13" s="6" t="n">
        <f aca="false">IF(AND($A13="",$B13=""),9999999+(ROW()-4),VALUE(LEFT($W13,1))*10000+(ROW()-4))</f>
        <v>10000008</v>
      </c>
    </row>
    <row r="14" customFormat="false" ht="15" hidden="false" customHeight="true" outlineLevel="0" collapsed="false">
      <c r="A14" s="6"/>
      <c r="B14" s="6"/>
      <c r="C14" s="6"/>
      <c r="D14" s="6"/>
      <c r="E14" s="6"/>
      <c r="F14" s="7"/>
      <c r="G14" s="6"/>
      <c r="H14" s="6"/>
      <c r="I14" s="7"/>
      <c r="J14" s="6"/>
      <c r="K14" s="7"/>
      <c r="L14" s="6"/>
      <c r="M14" s="6"/>
      <c r="N14" s="7"/>
      <c r="O14" s="6"/>
      <c r="P14" s="6"/>
      <c r="Q14" s="7"/>
      <c r="R14" s="6" t="str">
        <f aca="false">IF(AND($A14="",$B14=""),"",IF(Q14="Complete","Onboarded",IF(OR(M14="Member",M14="Ambassador"),"Sponsored",IF(K14&lt;&gt;"","Follow-Up",IF(I14&lt;&gt;"","Presented",IF(F14&lt;&gt;"","Contacted","New Lead"))))))</f>
        <v/>
      </c>
      <c r="S14" s="6"/>
      <c r="T14" s="6" t="str">
        <f aca="true">IF(MAX(F14,I14,K14)=0,"",TODAY()-MAX(F14,I14,K14))</f>
        <v/>
      </c>
      <c r="U14" s="6"/>
      <c r="V14" s="6"/>
      <c r="W14" s="6" t="str">
        <f aca="false">IF(AND($A14="",$B14=""),"",IF(M14="Ambassador","1 - Ambassador",IF(M14="Member","2 - Member",IF(J14="Completed","3 - Presented",IF(H14&lt;&gt;"","4 - Shared",IF(F14&lt;&gt;"","5 - Contacted","6 - No Activity"))))))</f>
        <v/>
      </c>
      <c r="X14" s="6" t="n">
        <f aca="false">IF(AND($A14="",$B14=""),9999999+(ROW()-4),VALUE(LEFT($W14,1))*10000+(ROW()-4))</f>
        <v>10000009</v>
      </c>
    </row>
    <row r="15" customFormat="false" ht="15" hidden="false" customHeight="true" outlineLevel="0" collapsed="false">
      <c r="A15" s="6"/>
      <c r="B15" s="6"/>
      <c r="C15" s="6"/>
      <c r="D15" s="6"/>
      <c r="E15" s="6"/>
      <c r="F15" s="7"/>
      <c r="G15" s="6"/>
      <c r="H15" s="6"/>
      <c r="I15" s="7"/>
      <c r="J15" s="6"/>
      <c r="K15" s="7"/>
      <c r="L15" s="6"/>
      <c r="M15" s="6"/>
      <c r="N15" s="7"/>
      <c r="O15" s="6"/>
      <c r="P15" s="6"/>
      <c r="Q15" s="7"/>
      <c r="R15" s="6" t="str">
        <f aca="false">IF(AND($A15="",$B15=""),"",IF(Q15="Complete","Onboarded",IF(OR(M15="Member",M15="Ambassador"),"Sponsored",IF(K15&lt;&gt;"","Follow-Up",IF(I15&lt;&gt;"","Presented",IF(F15&lt;&gt;"","Contacted","New Lead"))))))</f>
        <v/>
      </c>
      <c r="S15" s="6"/>
      <c r="T15" s="6" t="str">
        <f aca="true">IF(MAX(F15,I15,K15)=0,"",TODAY()-MAX(F15,I15,K15))</f>
        <v/>
      </c>
      <c r="U15" s="6"/>
      <c r="V15" s="6"/>
      <c r="W15" s="6" t="str">
        <f aca="false">IF(AND($A15="",$B15=""),"",IF(M15="Ambassador","1 - Ambassador",IF(M15="Member","2 - Member",IF(J15="Completed","3 - Presented",IF(H15&lt;&gt;"","4 - Shared",IF(F15&lt;&gt;"","5 - Contacted","6 - No Activity"))))))</f>
        <v/>
      </c>
      <c r="X15" s="6" t="n">
        <f aca="false">IF(AND($A15="",$B15=""),9999999+(ROW()-4),VALUE(LEFT($W15,1))*10000+(ROW()-4))</f>
        <v>10000010</v>
      </c>
    </row>
    <row r="16" customFormat="false" ht="15" hidden="false" customHeight="true" outlineLevel="0" collapsed="false">
      <c r="A16" s="6"/>
      <c r="B16" s="6"/>
      <c r="C16" s="6"/>
      <c r="D16" s="6"/>
      <c r="E16" s="6"/>
      <c r="F16" s="7"/>
      <c r="G16" s="6"/>
      <c r="H16" s="6"/>
      <c r="I16" s="7"/>
      <c r="J16" s="6"/>
      <c r="K16" s="7"/>
      <c r="L16" s="6"/>
      <c r="M16" s="6"/>
      <c r="N16" s="7"/>
      <c r="O16" s="6"/>
      <c r="P16" s="6"/>
      <c r="Q16" s="7"/>
      <c r="R16" s="6" t="str">
        <f aca="false">IF(AND($A16="",$B16=""),"",IF(Q16="Complete","Onboarded",IF(OR(M16="Member",M16="Ambassador"),"Sponsored",IF(K16&lt;&gt;"","Follow-Up",IF(I16&lt;&gt;"","Presented",IF(F16&lt;&gt;"","Contacted","New Lead"))))))</f>
        <v/>
      </c>
      <c r="S16" s="6"/>
      <c r="T16" s="6" t="str">
        <f aca="true">IF(MAX(F16,I16,K16)=0,"",TODAY()-MAX(F16,I16,K16))</f>
        <v/>
      </c>
      <c r="U16" s="6"/>
      <c r="V16" s="6"/>
      <c r="W16" s="6" t="str">
        <f aca="false">IF(AND($A16="",$B16=""),"",IF(M16="Ambassador","1 - Ambassador",IF(M16="Member","2 - Member",IF(J16="Completed","3 - Presented",IF(H16&lt;&gt;"","4 - Shared",IF(F16&lt;&gt;"","5 - Contacted","6 - No Activity"))))))</f>
        <v/>
      </c>
      <c r="X16" s="6" t="n">
        <f aca="false">IF(AND($A16="",$B16=""),9999999+(ROW()-4),VALUE(LEFT($W16,1))*10000+(ROW()-4))</f>
        <v>10000011</v>
      </c>
    </row>
    <row r="17" customFormat="false" ht="15" hidden="false" customHeight="true" outlineLevel="0" collapsed="false">
      <c r="A17" s="6"/>
      <c r="B17" s="6"/>
      <c r="C17" s="6"/>
      <c r="D17" s="6"/>
      <c r="E17" s="6"/>
      <c r="F17" s="7"/>
      <c r="G17" s="6"/>
      <c r="H17" s="6"/>
      <c r="I17" s="7"/>
      <c r="J17" s="6"/>
      <c r="K17" s="7"/>
      <c r="L17" s="6"/>
      <c r="M17" s="6"/>
      <c r="N17" s="7"/>
      <c r="O17" s="6"/>
      <c r="P17" s="6"/>
      <c r="Q17" s="7"/>
      <c r="R17" s="6" t="str">
        <f aca="false">IF(AND($A17="",$B17=""),"",IF(Q17="Complete","Onboarded",IF(OR(M17="Member",M17="Ambassador"),"Sponsored",IF(K17&lt;&gt;"","Follow-Up",IF(I17&lt;&gt;"","Presented",IF(F17&lt;&gt;"","Contacted","New Lead"))))))</f>
        <v/>
      </c>
      <c r="S17" s="6"/>
      <c r="T17" s="6" t="str">
        <f aca="true">IF(MAX(F17,I17,K17)=0,"",TODAY()-MAX(F17,I17,K17))</f>
        <v/>
      </c>
      <c r="U17" s="6"/>
      <c r="V17" s="6"/>
      <c r="W17" s="6" t="str">
        <f aca="false">IF(AND($A17="",$B17=""),"",IF(M17="Ambassador","1 - Ambassador",IF(M17="Member","2 - Member",IF(J17="Completed","3 - Presented",IF(H17&lt;&gt;"","4 - Shared",IF(F17&lt;&gt;"","5 - Contacted","6 - No Activity"))))))</f>
        <v/>
      </c>
      <c r="X17" s="6" t="n">
        <f aca="false">IF(AND($A17="",$B17=""),9999999+(ROW()-4),VALUE(LEFT($W17,1))*10000+(ROW()-4))</f>
        <v>10000012</v>
      </c>
    </row>
    <row r="18" customFormat="false" ht="15" hidden="false" customHeight="true" outlineLevel="0" collapsed="false">
      <c r="A18" s="6"/>
      <c r="B18" s="6"/>
      <c r="C18" s="6"/>
      <c r="D18" s="6"/>
      <c r="E18" s="6"/>
      <c r="F18" s="7"/>
      <c r="G18" s="6"/>
      <c r="H18" s="6"/>
      <c r="I18" s="7"/>
      <c r="J18" s="6"/>
      <c r="K18" s="7"/>
      <c r="L18" s="6"/>
      <c r="M18" s="6"/>
      <c r="N18" s="7"/>
      <c r="O18" s="6"/>
      <c r="P18" s="6"/>
      <c r="Q18" s="7"/>
      <c r="R18" s="6" t="str">
        <f aca="false">IF(AND($A18="",$B18=""),"",IF(Q18="Complete","Onboarded",IF(OR(M18="Member",M18="Ambassador"),"Sponsored",IF(K18&lt;&gt;"","Follow-Up",IF(I18&lt;&gt;"","Presented",IF(F18&lt;&gt;"","Contacted","New Lead"))))))</f>
        <v/>
      </c>
      <c r="S18" s="6"/>
      <c r="T18" s="6" t="str">
        <f aca="true">IF(MAX(F18,I18,K18)=0,"",TODAY()-MAX(F18,I18,K18))</f>
        <v/>
      </c>
      <c r="U18" s="6"/>
      <c r="V18" s="6"/>
      <c r="W18" s="6" t="str">
        <f aca="false">IF(AND($A18="",$B18=""),"",IF(M18="Ambassador","1 - Ambassador",IF(M18="Member","2 - Member",IF(J18="Completed","3 - Presented",IF(H18&lt;&gt;"","4 - Shared",IF(F18&lt;&gt;"","5 - Contacted","6 - No Activity"))))))</f>
        <v/>
      </c>
      <c r="X18" s="6" t="n">
        <f aca="false">IF(AND($A18="",$B18=""),9999999+(ROW()-4),VALUE(LEFT($W18,1))*10000+(ROW()-4))</f>
        <v>10000013</v>
      </c>
    </row>
    <row r="19" customFormat="false" ht="15" hidden="false" customHeight="true" outlineLevel="0" collapsed="false">
      <c r="A19" s="6"/>
      <c r="B19" s="6"/>
      <c r="C19" s="6"/>
      <c r="D19" s="6"/>
      <c r="E19" s="6"/>
      <c r="F19" s="7"/>
      <c r="G19" s="6"/>
      <c r="H19" s="6"/>
      <c r="I19" s="7"/>
      <c r="J19" s="6"/>
      <c r="K19" s="7"/>
      <c r="L19" s="6"/>
      <c r="M19" s="6"/>
      <c r="N19" s="7"/>
      <c r="O19" s="6"/>
      <c r="P19" s="6"/>
      <c r="Q19" s="7"/>
      <c r="R19" s="6" t="str">
        <f aca="false">IF(AND($A19="",$B19=""),"",IF(Q19="Complete","Onboarded",IF(OR(M19="Member",M19="Ambassador"),"Sponsored",IF(K19&lt;&gt;"","Follow-Up",IF(I19&lt;&gt;"","Presented",IF(F19&lt;&gt;"","Contacted","New Lead"))))))</f>
        <v/>
      </c>
      <c r="S19" s="6"/>
      <c r="T19" s="6" t="str">
        <f aca="true">IF(MAX(F19,I19,K19)=0,"",TODAY()-MAX(F19,I19,K19))</f>
        <v/>
      </c>
      <c r="U19" s="6"/>
      <c r="V19" s="6"/>
      <c r="W19" s="6" t="str">
        <f aca="false">IF(AND($A19="",$B19=""),"",IF(M19="Ambassador","1 - Ambassador",IF(M19="Member","2 - Member",IF(J19="Completed","3 - Presented",IF(H19&lt;&gt;"","4 - Shared",IF(F19&lt;&gt;"","5 - Contacted","6 - No Activity"))))))</f>
        <v/>
      </c>
      <c r="X19" s="6" t="n">
        <f aca="false">IF(AND($A19="",$B19=""),9999999+(ROW()-4),VALUE(LEFT($W19,1))*10000+(ROW()-4))</f>
        <v>10000014</v>
      </c>
    </row>
    <row r="20" customFormat="false" ht="15" hidden="false" customHeight="true" outlineLevel="0" collapsed="false">
      <c r="A20" s="6"/>
      <c r="B20" s="6"/>
      <c r="C20" s="6"/>
      <c r="D20" s="6"/>
      <c r="E20" s="6"/>
      <c r="F20" s="7"/>
      <c r="G20" s="6"/>
      <c r="H20" s="6"/>
      <c r="I20" s="7"/>
      <c r="J20" s="6"/>
      <c r="K20" s="7"/>
      <c r="L20" s="6"/>
      <c r="M20" s="6"/>
      <c r="N20" s="7"/>
      <c r="O20" s="6"/>
      <c r="P20" s="6"/>
      <c r="Q20" s="7"/>
      <c r="R20" s="6" t="str">
        <f aca="false">IF(AND($A20="",$B20=""),"",IF(Q20="Complete","Onboarded",IF(OR(M20="Member",M20="Ambassador"),"Sponsored",IF(K20&lt;&gt;"","Follow-Up",IF(I20&lt;&gt;"","Presented",IF(F20&lt;&gt;"","Contacted","New Lead"))))))</f>
        <v/>
      </c>
      <c r="S20" s="6"/>
      <c r="T20" s="6" t="str">
        <f aca="true">IF(MAX(F20,I20,K20)=0,"",TODAY()-MAX(F20,I20,K20))</f>
        <v/>
      </c>
      <c r="U20" s="6"/>
      <c r="V20" s="6"/>
      <c r="W20" s="6" t="str">
        <f aca="false">IF(AND($A20="",$B20=""),"",IF(M20="Ambassador","1 - Ambassador",IF(M20="Member","2 - Member",IF(J20="Completed","3 - Presented",IF(H20&lt;&gt;"","4 - Shared",IF(F20&lt;&gt;"","5 - Contacted","6 - No Activity"))))))</f>
        <v/>
      </c>
      <c r="X20" s="6" t="n">
        <f aca="false">IF(AND($A20="",$B20=""),9999999+(ROW()-4),VALUE(LEFT($W20,1))*10000+(ROW()-4))</f>
        <v>10000015</v>
      </c>
    </row>
    <row r="21" customFormat="false" ht="15" hidden="false" customHeight="true" outlineLevel="0" collapsed="false">
      <c r="A21" s="6"/>
      <c r="B21" s="6"/>
      <c r="C21" s="6"/>
      <c r="D21" s="6"/>
      <c r="E21" s="6"/>
      <c r="F21" s="7"/>
      <c r="G21" s="6"/>
      <c r="H21" s="6"/>
      <c r="I21" s="7"/>
      <c r="J21" s="6"/>
      <c r="K21" s="7"/>
      <c r="L21" s="6"/>
      <c r="M21" s="6"/>
      <c r="N21" s="7"/>
      <c r="O21" s="6"/>
      <c r="P21" s="6"/>
      <c r="Q21" s="7"/>
      <c r="R21" s="6" t="str">
        <f aca="false">IF(AND($A21="",$B21=""),"",IF(Q21="Complete","Onboarded",IF(OR(M21="Member",M21="Ambassador"),"Sponsored",IF(K21&lt;&gt;"","Follow-Up",IF(I21&lt;&gt;"","Presented",IF(F21&lt;&gt;"","Contacted","New Lead"))))))</f>
        <v/>
      </c>
      <c r="S21" s="6"/>
      <c r="T21" s="6" t="str">
        <f aca="true">IF(MAX(F21,I21,K21)=0,"",TODAY()-MAX(F21,I21,K21))</f>
        <v/>
      </c>
      <c r="U21" s="6"/>
      <c r="V21" s="6"/>
      <c r="W21" s="6" t="str">
        <f aca="false">IF(AND($A21="",$B21=""),"",IF(M21="Ambassador","1 - Ambassador",IF(M21="Member","2 - Member",IF(J21="Completed","3 - Presented",IF(H21&lt;&gt;"","4 - Shared",IF(F21&lt;&gt;"","5 - Contacted","6 - No Activity"))))))</f>
        <v/>
      </c>
      <c r="X21" s="6" t="n">
        <f aca="false">IF(AND($A21="",$B21=""),9999999+(ROW()-4),VALUE(LEFT($W21,1))*10000+(ROW()-4))</f>
        <v>10000016</v>
      </c>
    </row>
    <row r="22" customFormat="false" ht="15" hidden="false" customHeight="true" outlineLevel="0" collapsed="false">
      <c r="A22" s="6"/>
      <c r="B22" s="6"/>
      <c r="C22" s="6"/>
      <c r="D22" s="6"/>
      <c r="E22" s="6"/>
      <c r="F22" s="7"/>
      <c r="G22" s="6"/>
      <c r="H22" s="6"/>
      <c r="I22" s="7"/>
      <c r="J22" s="6"/>
      <c r="K22" s="7"/>
      <c r="L22" s="6"/>
      <c r="M22" s="6"/>
      <c r="N22" s="7"/>
      <c r="O22" s="6"/>
      <c r="P22" s="6"/>
      <c r="Q22" s="7"/>
      <c r="R22" s="6" t="str">
        <f aca="false">IF(AND($A22="",$B22=""),"",IF(Q22="Complete","Onboarded",IF(OR(M22="Member",M22="Ambassador"),"Sponsored",IF(K22&lt;&gt;"","Follow-Up",IF(I22&lt;&gt;"","Presented",IF(F22&lt;&gt;"","Contacted","New Lead"))))))</f>
        <v/>
      </c>
      <c r="S22" s="6"/>
      <c r="T22" s="6" t="str">
        <f aca="true">IF(MAX(F22,I22,K22)=0,"",TODAY()-MAX(F22,I22,K22))</f>
        <v/>
      </c>
      <c r="U22" s="6"/>
      <c r="V22" s="6"/>
      <c r="W22" s="6" t="str">
        <f aca="false">IF(AND($A22="",$B22=""),"",IF(M22="Ambassador","1 - Ambassador",IF(M22="Member","2 - Member",IF(J22="Completed","3 - Presented",IF(H22&lt;&gt;"","4 - Shared",IF(F22&lt;&gt;"","5 - Contacted","6 - No Activity"))))))</f>
        <v/>
      </c>
      <c r="X22" s="6" t="n">
        <f aca="false">IF(AND($A22="",$B22=""),9999999+(ROW()-4),VALUE(LEFT($W22,1))*10000+(ROW()-4))</f>
        <v>10000017</v>
      </c>
    </row>
    <row r="23" customFormat="false" ht="15" hidden="false" customHeight="true" outlineLevel="0" collapsed="false">
      <c r="A23" s="6"/>
      <c r="B23" s="6"/>
      <c r="C23" s="6"/>
      <c r="D23" s="6"/>
      <c r="E23" s="6"/>
      <c r="F23" s="7"/>
      <c r="G23" s="6"/>
      <c r="H23" s="6"/>
      <c r="I23" s="7"/>
      <c r="J23" s="6"/>
      <c r="K23" s="7"/>
      <c r="L23" s="6"/>
      <c r="M23" s="6"/>
      <c r="N23" s="7"/>
      <c r="O23" s="6"/>
      <c r="P23" s="6"/>
      <c r="Q23" s="7"/>
      <c r="R23" s="6" t="str">
        <f aca="false">IF(AND($A23="",$B23=""),"",IF(Q23="Complete","Onboarded",IF(OR(M23="Member",M23="Ambassador"),"Sponsored",IF(K23&lt;&gt;"","Follow-Up",IF(I23&lt;&gt;"","Presented",IF(F23&lt;&gt;"","Contacted","New Lead"))))))</f>
        <v/>
      </c>
      <c r="S23" s="6"/>
      <c r="T23" s="6" t="str">
        <f aca="true">IF(MAX(F23,I23,K23)=0,"",TODAY()-MAX(F23,I23,K23))</f>
        <v/>
      </c>
      <c r="U23" s="6"/>
      <c r="V23" s="6"/>
      <c r="W23" s="6" t="str">
        <f aca="false">IF(AND($A23="",$B23=""),"",IF(M23="Ambassador","1 - Ambassador",IF(M23="Member","2 - Member",IF(J23="Completed","3 - Presented",IF(H23&lt;&gt;"","4 - Shared",IF(F23&lt;&gt;"","5 - Contacted","6 - No Activity"))))))</f>
        <v/>
      </c>
      <c r="X23" s="6" t="n">
        <f aca="false">IF(AND($A23="",$B23=""),9999999+(ROW()-4),VALUE(LEFT($W23,1))*10000+(ROW()-4))</f>
        <v>10000018</v>
      </c>
    </row>
    <row r="24" customFormat="false" ht="15" hidden="false" customHeight="true" outlineLevel="0" collapsed="false">
      <c r="A24" s="6"/>
      <c r="B24" s="6"/>
      <c r="C24" s="6"/>
      <c r="D24" s="6"/>
      <c r="E24" s="6"/>
      <c r="F24" s="7"/>
      <c r="G24" s="6"/>
      <c r="H24" s="6"/>
      <c r="I24" s="7"/>
      <c r="J24" s="6"/>
      <c r="K24" s="7"/>
      <c r="L24" s="6"/>
      <c r="M24" s="6"/>
      <c r="N24" s="7"/>
      <c r="O24" s="6"/>
      <c r="P24" s="6"/>
      <c r="Q24" s="7"/>
      <c r="R24" s="6" t="str">
        <f aca="false">IF(AND($A24="",$B24=""),"",IF(Q24="Complete","Onboarded",IF(OR(M24="Member",M24="Ambassador"),"Sponsored",IF(K24&lt;&gt;"","Follow-Up",IF(I24&lt;&gt;"","Presented",IF(F24&lt;&gt;"","Contacted","New Lead"))))))</f>
        <v/>
      </c>
      <c r="S24" s="6"/>
      <c r="T24" s="6" t="str">
        <f aca="true">IF(MAX(F24,I24,K24)=0,"",TODAY()-MAX(F24,I24,K24))</f>
        <v/>
      </c>
      <c r="U24" s="6"/>
      <c r="V24" s="6"/>
      <c r="W24" s="6" t="str">
        <f aca="false">IF(AND($A24="",$B24=""),"",IF(M24="Ambassador","1 - Ambassador",IF(M24="Member","2 - Member",IF(J24="Completed","3 - Presented",IF(H24&lt;&gt;"","4 - Shared",IF(F24&lt;&gt;"","5 - Contacted","6 - No Activity"))))))</f>
        <v/>
      </c>
      <c r="X24" s="6" t="n">
        <f aca="false">IF(AND($A24="",$B24=""),9999999+(ROW()-4),VALUE(LEFT($W24,1))*10000+(ROW()-4))</f>
        <v>10000019</v>
      </c>
    </row>
    <row r="25" customFormat="false" ht="15" hidden="false" customHeight="true" outlineLevel="0" collapsed="false">
      <c r="A25" s="6"/>
      <c r="B25" s="6"/>
      <c r="C25" s="6"/>
      <c r="D25" s="6"/>
      <c r="E25" s="6"/>
      <c r="F25" s="7"/>
      <c r="G25" s="6"/>
      <c r="H25" s="6"/>
      <c r="I25" s="7"/>
      <c r="J25" s="6"/>
      <c r="K25" s="7"/>
      <c r="L25" s="6"/>
      <c r="M25" s="6"/>
      <c r="N25" s="7"/>
      <c r="O25" s="6"/>
      <c r="P25" s="6"/>
      <c r="Q25" s="7"/>
      <c r="R25" s="6" t="str">
        <f aca="false">IF(AND($A25="",$B25=""),"",IF(Q25="Complete","Onboarded",IF(OR(M25="Member",M25="Ambassador"),"Sponsored",IF(K25&lt;&gt;"","Follow-Up",IF(I25&lt;&gt;"","Presented",IF(F25&lt;&gt;"","Contacted","New Lead"))))))</f>
        <v/>
      </c>
      <c r="S25" s="6"/>
      <c r="T25" s="6" t="str">
        <f aca="true">IF(MAX(F25,I25,K25)=0,"",TODAY()-MAX(F25,I25,K25))</f>
        <v/>
      </c>
      <c r="U25" s="6"/>
      <c r="V25" s="6"/>
      <c r="W25" s="6" t="str">
        <f aca="false">IF(AND($A25="",$B25=""),"",IF(M25="Ambassador","1 - Ambassador",IF(M25="Member","2 - Member",IF(J25="Completed","3 - Presented",IF(H25&lt;&gt;"","4 - Shared",IF(F25&lt;&gt;"","5 - Contacted","6 - No Activity"))))))</f>
        <v/>
      </c>
      <c r="X25" s="6" t="n">
        <f aca="false">IF(AND($A25="",$B25=""),9999999+(ROW()-4),VALUE(LEFT($W25,1))*10000+(ROW()-4))</f>
        <v>10000020</v>
      </c>
    </row>
    <row r="26" customFormat="false" ht="15" hidden="false" customHeight="true" outlineLevel="0" collapsed="false">
      <c r="A26" s="6"/>
      <c r="B26" s="6"/>
      <c r="C26" s="6"/>
      <c r="D26" s="6"/>
      <c r="E26" s="6"/>
      <c r="F26" s="7"/>
      <c r="G26" s="6"/>
      <c r="H26" s="6"/>
      <c r="I26" s="7"/>
      <c r="J26" s="6"/>
      <c r="K26" s="7"/>
      <c r="L26" s="6"/>
      <c r="M26" s="6"/>
      <c r="N26" s="7"/>
      <c r="O26" s="6"/>
      <c r="P26" s="6"/>
      <c r="Q26" s="7"/>
      <c r="R26" s="6" t="str">
        <f aca="false">IF(AND($A26="",$B26=""),"",IF(Q26="Complete","Onboarded",IF(OR(M26="Member",M26="Ambassador"),"Sponsored",IF(K26&lt;&gt;"","Follow-Up",IF(I26&lt;&gt;"","Presented",IF(F26&lt;&gt;"","Contacted","New Lead"))))))</f>
        <v/>
      </c>
      <c r="S26" s="6"/>
      <c r="T26" s="6" t="str">
        <f aca="true">IF(MAX(F26,I26,K26)=0,"",TODAY()-MAX(F26,I26,K26))</f>
        <v/>
      </c>
      <c r="U26" s="6"/>
      <c r="V26" s="6"/>
      <c r="W26" s="6" t="str">
        <f aca="false">IF(AND($A26="",$B26=""),"",IF(M26="Ambassador","1 - Ambassador",IF(M26="Member","2 - Member",IF(J26="Completed","3 - Presented",IF(H26&lt;&gt;"","4 - Shared",IF(F26&lt;&gt;"","5 - Contacted","6 - No Activity"))))))</f>
        <v/>
      </c>
      <c r="X26" s="6" t="n">
        <f aca="false">IF(AND($A26="",$B26=""),9999999+(ROW()-4),VALUE(LEFT($W26,1))*10000+(ROW()-4))</f>
        <v>10000021</v>
      </c>
    </row>
    <row r="27" customFormat="false" ht="15" hidden="false" customHeight="true" outlineLevel="0" collapsed="false">
      <c r="A27" s="6"/>
      <c r="B27" s="6"/>
      <c r="C27" s="6"/>
      <c r="D27" s="6"/>
      <c r="E27" s="6"/>
      <c r="F27" s="7"/>
      <c r="G27" s="6"/>
      <c r="H27" s="6"/>
      <c r="I27" s="7"/>
      <c r="J27" s="6"/>
      <c r="K27" s="7"/>
      <c r="L27" s="6"/>
      <c r="M27" s="6"/>
      <c r="N27" s="7"/>
      <c r="O27" s="6"/>
      <c r="P27" s="6"/>
      <c r="Q27" s="7"/>
      <c r="R27" s="6" t="str">
        <f aca="false">IF(AND($A27="",$B27=""),"",IF(Q27="Complete","Onboarded",IF(OR(M27="Member",M27="Ambassador"),"Sponsored",IF(K27&lt;&gt;"","Follow-Up",IF(I27&lt;&gt;"","Presented",IF(F27&lt;&gt;"","Contacted","New Lead"))))))</f>
        <v/>
      </c>
      <c r="S27" s="6"/>
      <c r="T27" s="6" t="str">
        <f aca="true">IF(MAX(F27,I27,K27)=0,"",TODAY()-MAX(F27,I27,K27))</f>
        <v/>
      </c>
      <c r="U27" s="6"/>
      <c r="V27" s="6"/>
      <c r="W27" s="6" t="str">
        <f aca="false">IF(AND($A27="",$B27=""),"",IF(M27="Ambassador","1 - Ambassador",IF(M27="Member","2 - Member",IF(J27="Completed","3 - Presented",IF(H27&lt;&gt;"","4 - Shared",IF(F27&lt;&gt;"","5 - Contacted","6 - No Activity"))))))</f>
        <v/>
      </c>
      <c r="X27" s="6" t="n">
        <f aca="false">IF(AND($A27="",$B27=""),9999999+(ROW()-4),VALUE(LEFT($W27,1))*10000+(ROW()-4))</f>
        <v>10000022</v>
      </c>
    </row>
    <row r="28" customFormat="false" ht="15" hidden="false" customHeight="true" outlineLevel="0" collapsed="false">
      <c r="A28" s="6"/>
      <c r="B28" s="6"/>
      <c r="C28" s="6"/>
      <c r="D28" s="6"/>
      <c r="E28" s="6"/>
      <c r="F28" s="7"/>
      <c r="G28" s="6"/>
      <c r="H28" s="6"/>
      <c r="I28" s="7"/>
      <c r="J28" s="6"/>
      <c r="K28" s="7"/>
      <c r="L28" s="6"/>
      <c r="M28" s="6"/>
      <c r="N28" s="7"/>
      <c r="O28" s="6"/>
      <c r="P28" s="6"/>
      <c r="Q28" s="7"/>
      <c r="R28" s="6" t="str">
        <f aca="false">IF(AND($A28="",$B28=""),"",IF(Q28="Complete","Onboarded",IF(OR(M28="Member",M28="Ambassador"),"Sponsored",IF(K28&lt;&gt;"","Follow-Up",IF(I28&lt;&gt;"","Presented",IF(F28&lt;&gt;"","Contacted","New Lead"))))))</f>
        <v/>
      </c>
      <c r="S28" s="6"/>
      <c r="T28" s="6" t="str">
        <f aca="true">IF(MAX(F28,I28,K28)=0,"",TODAY()-MAX(F28,I28,K28))</f>
        <v/>
      </c>
      <c r="U28" s="6"/>
      <c r="V28" s="6"/>
      <c r="W28" s="6" t="str">
        <f aca="false">IF(AND($A28="",$B28=""),"",IF(M28="Ambassador","1 - Ambassador",IF(M28="Member","2 - Member",IF(J28="Completed","3 - Presented",IF(H28&lt;&gt;"","4 - Shared",IF(F28&lt;&gt;"","5 - Contacted","6 - No Activity"))))))</f>
        <v/>
      </c>
      <c r="X28" s="6" t="n">
        <f aca="false">IF(AND($A28="",$B28=""),9999999+(ROW()-4),VALUE(LEFT($W28,1))*10000+(ROW()-4))</f>
        <v>10000023</v>
      </c>
    </row>
    <row r="29" customFormat="false" ht="15" hidden="false" customHeight="true" outlineLevel="0" collapsed="false">
      <c r="A29" s="6"/>
      <c r="B29" s="6"/>
      <c r="C29" s="6"/>
      <c r="D29" s="6"/>
      <c r="E29" s="6"/>
      <c r="F29" s="7"/>
      <c r="G29" s="6"/>
      <c r="H29" s="6"/>
      <c r="I29" s="7"/>
      <c r="J29" s="6"/>
      <c r="K29" s="7"/>
      <c r="L29" s="6"/>
      <c r="M29" s="6"/>
      <c r="N29" s="7"/>
      <c r="O29" s="6"/>
      <c r="P29" s="6"/>
      <c r="Q29" s="7"/>
      <c r="R29" s="6" t="str">
        <f aca="false">IF(AND($A29="",$B29=""),"",IF(Q29="Complete","Onboarded",IF(OR(M29="Member",M29="Ambassador"),"Sponsored",IF(K29&lt;&gt;"","Follow-Up",IF(I29&lt;&gt;"","Presented",IF(F29&lt;&gt;"","Contacted","New Lead"))))))</f>
        <v/>
      </c>
      <c r="S29" s="6"/>
      <c r="T29" s="6" t="str">
        <f aca="true">IF(MAX(F29,I29,K29)=0,"",TODAY()-MAX(F29,I29,K29))</f>
        <v/>
      </c>
      <c r="U29" s="6"/>
      <c r="V29" s="6"/>
      <c r="W29" s="6" t="str">
        <f aca="false">IF(AND($A29="",$B29=""),"",IF(M29="Ambassador","1 - Ambassador",IF(M29="Member","2 - Member",IF(J29="Completed","3 - Presented",IF(H29&lt;&gt;"","4 - Shared",IF(F29&lt;&gt;"","5 - Contacted","6 - No Activity"))))))</f>
        <v/>
      </c>
      <c r="X29" s="6" t="n">
        <f aca="false">IF(AND($A29="",$B29=""),9999999+(ROW()-4),VALUE(LEFT($W29,1))*10000+(ROW()-4))</f>
        <v>10000024</v>
      </c>
    </row>
    <row r="30" customFormat="false" ht="15" hidden="false" customHeight="true" outlineLevel="0" collapsed="false">
      <c r="A30" s="6"/>
      <c r="B30" s="6"/>
      <c r="C30" s="6"/>
      <c r="D30" s="6"/>
      <c r="E30" s="6"/>
      <c r="F30" s="7"/>
      <c r="G30" s="6"/>
      <c r="H30" s="6"/>
      <c r="I30" s="7"/>
      <c r="J30" s="6"/>
      <c r="K30" s="7"/>
      <c r="L30" s="6"/>
      <c r="M30" s="6"/>
      <c r="N30" s="7"/>
      <c r="O30" s="6"/>
      <c r="P30" s="6"/>
      <c r="Q30" s="7"/>
      <c r="R30" s="6" t="str">
        <f aca="false">IF(AND($A30="",$B30=""),"",IF(Q30="Complete","Onboarded",IF(OR(M30="Member",M30="Ambassador"),"Sponsored",IF(K30&lt;&gt;"","Follow-Up",IF(I30&lt;&gt;"","Presented",IF(F30&lt;&gt;"","Contacted","New Lead"))))))</f>
        <v/>
      </c>
      <c r="S30" s="6"/>
      <c r="T30" s="6" t="str">
        <f aca="true">IF(MAX(F30,I30,K30)=0,"",TODAY()-MAX(F30,I30,K30))</f>
        <v/>
      </c>
      <c r="U30" s="6"/>
      <c r="V30" s="6"/>
      <c r="W30" s="6" t="str">
        <f aca="false">IF(AND($A30="",$B30=""),"",IF(M30="Ambassador","1 - Ambassador",IF(M30="Member","2 - Member",IF(J30="Completed","3 - Presented",IF(H30&lt;&gt;"","4 - Shared",IF(F30&lt;&gt;"","5 - Contacted","6 - No Activity"))))))</f>
        <v/>
      </c>
      <c r="X30" s="6" t="n">
        <f aca="false">IF(AND($A30="",$B30=""),9999999+(ROW()-4),VALUE(LEFT($W30,1))*10000+(ROW()-4))</f>
        <v>10000025</v>
      </c>
    </row>
    <row r="31" customFormat="false" ht="15" hidden="false" customHeight="true" outlineLevel="0" collapsed="false">
      <c r="A31" s="6"/>
      <c r="B31" s="6"/>
      <c r="C31" s="6"/>
      <c r="D31" s="6"/>
      <c r="E31" s="6"/>
      <c r="F31" s="7"/>
      <c r="G31" s="6"/>
      <c r="H31" s="6"/>
      <c r="I31" s="7"/>
      <c r="J31" s="6"/>
      <c r="K31" s="7"/>
      <c r="L31" s="6"/>
      <c r="M31" s="6"/>
      <c r="N31" s="7"/>
      <c r="O31" s="6"/>
      <c r="P31" s="6"/>
      <c r="Q31" s="7"/>
      <c r="R31" s="6" t="str">
        <f aca="false">IF(AND($A31="",$B31=""),"",IF(Q31="Complete","Onboarded",IF(OR(M31="Member",M31="Ambassador"),"Sponsored",IF(K31&lt;&gt;"","Follow-Up",IF(I31&lt;&gt;"","Presented",IF(F31&lt;&gt;"","Contacted","New Lead"))))))</f>
        <v/>
      </c>
      <c r="S31" s="6"/>
      <c r="T31" s="6" t="str">
        <f aca="true">IF(MAX(F31,I31,K31)=0,"",TODAY()-MAX(F31,I31,K31))</f>
        <v/>
      </c>
      <c r="U31" s="6"/>
      <c r="V31" s="6"/>
      <c r="W31" s="6" t="str">
        <f aca="false">IF(AND($A31="",$B31=""),"",IF(M31="Ambassador","1 - Ambassador",IF(M31="Member","2 - Member",IF(J31="Completed","3 - Presented",IF(H31&lt;&gt;"","4 - Shared",IF(F31&lt;&gt;"","5 - Contacted","6 - No Activity"))))))</f>
        <v/>
      </c>
      <c r="X31" s="6" t="n">
        <f aca="false">IF(AND($A31="",$B31=""),9999999+(ROW()-4),VALUE(LEFT($W31,1))*10000+(ROW()-4))</f>
        <v>10000026</v>
      </c>
    </row>
    <row r="32" customFormat="false" ht="15" hidden="false" customHeight="true" outlineLevel="0" collapsed="false">
      <c r="A32" s="6"/>
      <c r="B32" s="6"/>
      <c r="C32" s="6"/>
      <c r="D32" s="6"/>
      <c r="E32" s="6"/>
      <c r="F32" s="7"/>
      <c r="G32" s="6"/>
      <c r="H32" s="6"/>
      <c r="I32" s="7"/>
      <c r="J32" s="6"/>
      <c r="K32" s="7"/>
      <c r="L32" s="6"/>
      <c r="M32" s="6"/>
      <c r="N32" s="7"/>
      <c r="O32" s="6"/>
      <c r="P32" s="6"/>
      <c r="Q32" s="7"/>
      <c r="R32" s="6" t="str">
        <f aca="false">IF(AND($A32="",$B32=""),"",IF(Q32="Complete","Onboarded",IF(OR(M32="Member",M32="Ambassador"),"Sponsored",IF(K32&lt;&gt;"","Follow-Up",IF(I32&lt;&gt;"","Presented",IF(F32&lt;&gt;"","Contacted","New Lead"))))))</f>
        <v/>
      </c>
      <c r="S32" s="6"/>
      <c r="T32" s="6" t="str">
        <f aca="true">IF(MAX(F32,I32,K32)=0,"",TODAY()-MAX(F32,I32,K32))</f>
        <v/>
      </c>
      <c r="U32" s="6"/>
      <c r="V32" s="6"/>
      <c r="W32" s="6" t="str">
        <f aca="false">IF(AND($A32="",$B32=""),"",IF(M32="Ambassador","1 - Ambassador",IF(M32="Member","2 - Member",IF(J32="Completed","3 - Presented",IF(H32&lt;&gt;"","4 - Shared",IF(F32&lt;&gt;"","5 - Contacted","6 - No Activity"))))))</f>
        <v/>
      </c>
      <c r="X32" s="6" t="n">
        <f aca="false">IF(AND($A32="",$B32=""),9999999+(ROW()-4),VALUE(LEFT($W32,1))*10000+(ROW()-4))</f>
        <v>10000027</v>
      </c>
    </row>
    <row r="33" customFormat="false" ht="15" hidden="false" customHeight="true" outlineLevel="0" collapsed="false">
      <c r="A33" s="6"/>
      <c r="B33" s="6"/>
      <c r="C33" s="6"/>
      <c r="D33" s="6"/>
      <c r="E33" s="6"/>
      <c r="F33" s="7"/>
      <c r="G33" s="6"/>
      <c r="H33" s="6"/>
      <c r="I33" s="7"/>
      <c r="J33" s="6"/>
      <c r="K33" s="7"/>
      <c r="L33" s="6"/>
      <c r="M33" s="6"/>
      <c r="N33" s="7"/>
      <c r="O33" s="6"/>
      <c r="P33" s="6"/>
      <c r="Q33" s="7"/>
      <c r="R33" s="6" t="str">
        <f aca="false">IF(AND($A33="",$B33=""),"",IF(Q33="Complete","Onboarded",IF(OR(M33="Member",M33="Ambassador"),"Sponsored",IF(K33&lt;&gt;"","Follow-Up",IF(I33&lt;&gt;"","Presented",IF(F33&lt;&gt;"","Contacted","New Lead"))))))</f>
        <v/>
      </c>
      <c r="S33" s="6"/>
      <c r="T33" s="6" t="str">
        <f aca="true">IF(MAX(F33,I33,K33)=0,"",TODAY()-MAX(F33,I33,K33))</f>
        <v/>
      </c>
      <c r="U33" s="6"/>
      <c r="V33" s="6"/>
      <c r="W33" s="6" t="str">
        <f aca="false">IF(AND($A33="",$B33=""),"",IF(M33="Ambassador","1 - Ambassador",IF(M33="Member","2 - Member",IF(J33="Completed","3 - Presented",IF(H33&lt;&gt;"","4 - Shared",IF(F33&lt;&gt;"","5 - Contacted","6 - No Activity"))))))</f>
        <v/>
      </c>
      <c r="X33" s="6" t="n">
        <f aca="false">IF(AND($A33="",$B33=""),9999999+(ROW()-4),VALUE(LEFT($W33,1))*10000+(ROW()-4))</f>
        <v>10000028</v>
      </c>
    </row>
    <row r="34" customFormat="false" ht="15" hidden="false" customHeight="true" outlineLevel="0" collapsed="false">
      <c r="A34" s="6"/>
      <c r="B34" s="6"/>
      <c r="C34" s="6"/>
      <c r="D34" s="6"/>
      <c r="E34" s="6"/>
      <c r="F34" s="7"/>
      <c r="G34" s="6"/>
      <c r="H34" s="6"/>
      <c r="I34" s="7"/>
      <c r="J34" s="6"/>
      <c r="K34" s="7"/>
      <c r="L34" s="6"/>
      <c r="M34" s="6"/>
      <c r="N34" s="7"/>
      <c r="O34" s="6"/>
      <c r="P34" s="6"/>
      <c r="Q34" s="7"/>
      <c r="R34" s="6" t="str">
        <f aca="false">IF(AND($A34="",$B34=""),"",IF(Q34="Complete","Onboarded",IF(OR(M34="Member",M34="Ambassador"),"Sponsored",IF(K34&lt;&gt;"","Follow-Up",IF(I34&lt;&gt;"","Presented",IF(F34&lt;&gt;"","Contacted","New Lead"))))))</f>
        <v/>
      </c>
      <c r="S34" s="6"/>
      <c r="T34" s="6" t="str">
        <f aca="true">IF(MAX(F34,I34,K34)=0,"",TODAY()-MAX(F34,I34,K34))</f>
        <v/>
      </c>
      <c r="U34" s="6"/>
      <c r="V34" s="6"/>
      <c r="W34" s="6" t="str">
        <f aca="false">IF(AND($A34="",$B34=""),"",IF(M34="Ambassador","1 - Ambassador",IF(M34="Member","2 - Member",IF(J34="Completed","3 - Presented",IF(H34&lt;&gt;"","4 - Shared",IF(F34&lt;&gt;"","5 - Contacted","6 - No Activity"))))))</f>
        <v/>
      </c>
      <c r="X34" s="6" t="n">
        <f aca="false">IF(AND($A34="",$B34=""),9999999+(ROW()-4),VALUE(LEFT($W34,1))*10000+(ROW()-4))</f>
        <v>10000029</v>
      </c>
    </row>
    <row r="35" customFormat="false" ht="15" hidden="false" customHeight="true" outlineLevel="0" collapsed="false">
      <c r="A35" s="6"/>
      <c r="B35" s="6"/>
      <c r="C35" s="6"/>
      <c r="D35" s="6"/>
      <c r="E35" s="6"/>
      <c r="F35" s="7"/>
      <c r="G35" s="6"/>
      <c r="H35" s="6"/>
      <c r="I35" s="7"/>
      <c r="J35" s="6"/>
      <c r="K35" s="7"/>
      <c r="L35" s="6"/>
      <c r="M35" s="6"/>
      <c r="N35" s="7"/>
      <c r="O35" s="6"/>
      <c r="P35" s="6"/>
      <c r="Q35" s="7"/>
      <c r="R35" s="6" t="str">
        <f aca="false">IF(AND($A35="",$B35=""),"",IF(Q35="Complete","Onboarded",IF(OR(M35="Member",M35="Ambassador"),"Sponsored",IF(K35&lt;&gt;"","Follow-Up",IF(I35&lt;&gt;"","Presented",IF(F35&lt;&gt;"","Contacted","New Lead"))))))</f>
        <v/>
      </c>
      <c r="S35" s="6"/>
      <c r="T35" s="6" t="str">
        <f aca="true">IF(MAX(F35,I35,K35)=0,"",TODAY()-MAX(F35,I35,K35))</f>
        <v/>
      </c>
      <c r="U35" s="6"/>
      <c r="V35" s="6"/>
      <c r="W35" s="6" t="str">
        <f aca="false">IF(AND($A35="",$B35=""),"",IF(M35="Ambassador","1 - Ambassador",IF(M35="Member","2 - Member",IF(J35="Completed","3 - Presented",IF(H35&lt;&gt;"","4 - Shared",IF(F35&lt;&gt;"","5 - Contacted","6 - No Activity"))))))</f>
        <v/>
      </c>
      <c r="X35" s="6" t="n">
        <f aca="false">IF(AND($A35="",$B35=""),9999999+(ROW()-4),VALUE(LEFT($W35,1))*10000+(ROW()-4))</f>
        <v>10000030</v>
      </c>
    </row>
    <row r="36" customFormat="false" ht="15" hidden="false" customHeight="true" outlineLevel="0" collapsed="false">
      <c r="A36" s="6"/>
      <c r="B36" s="6"/>
      <c r="C36" s="6"/>
      <c r="D36" s="6"/>
      <c r="E36" s="6"/>
      <c r="F36" s="7"/>
      <c r="G36" s="6"/>
      <c r="H36" s="6"/>
      <c r="I36" s="7"/>
      <c r="J36" s="6"/>
      <c r="K36" s="7"/>
      <c r="L36" s="6"/>
      <c r="M36" s="6"/>
      <c r="N36" s="7"/>
      <c r="O36" s="6"/>
      <c r="P36" s="6"/>
      <c r="Q36" s="7"/>
      <c r="R36" s="6" t="str">
        <f aca="false">IF(AND($A36="",$B36=""),"",IF(Q36="Complete","Onboarded",IF(OR(M36="Member",M36="Ambassador"),"Sponsored",IF(K36&lt;&gt;"","Follow-Up",IF(I36&lt;&gt;"","Presented",IF(F36&lt;&gt;"","Contacted","New Lead"))))))</f>
        <v/>
      </c>
      <c r="S36" s="6"/>
      <c r="T36" s="6" t="str">
        <f aca="true">IF(MAX(F36,I36,K36)=0,"",TODAY()-MAX(F36,I36,K36))</f>
        <v/>
      </c>
      <c r="U36" s="6"/>
      <c r="V36" s="6"/>
      <c r="W36" s="6" t="str">
        <f aca="false">IF(AND($A36="",$B36=""),"",IF(M36="Ambassador","1 - Ambassador",IF(M36="Member","2 - Member",IF(J36="Completed","3 - Presented",IF(H36&lt;&gt;"","4 - Shared",IF(F36&lt;&gt;"","5 - Contacted","6 - No Activity"))))))</f>
        <v/>
      </c>
      <c r="X36" s="6" t="n">
        <f aca="false">IF(AND($A36="",$B36=""),9999999+(ROW()-4),VALUE(LEFT($W36,1))*10000+(ROW()-4))</f>
        <v>10000031</v>
      </c>
    </row>
    <row r="37" customFormat="false" ht="15" hidden="false" customHeight="true" outlineLevel="0" collapsed="false">
      <c r="A37" s="6"/>
      <c r="B37" s="6"/>
      <c r="C37" s="6"/>
      <c r="D37" s="6"/>
      <c r="E37" s="6"/>
      <c r="F37" s="7"/>
      <c r="G37" s="6"/>
      <c r="H37" s="6"/>
      <c r="I37" s="7"/>
      <c r="J37" s="6"/>
      <c r="K37" s="7"/>
      <c r="L37" s="6"/>
      <c r="M37" s="6"/>
      <c r="N37" s="7"/>
      <c r="O37" s="6"/>
      <c r="P37" s="6"/>
      <c r="Q37" s="7"/>
      <c r="R37" s="6" t="str">
        <f aca="false">IF(AND($A37="",$B37=""),"",IF(Q37="Complete","Onboarded",IF(OR(M37="Member",M37="Ambassador"),"Sponsored",IF(K37&lt;&gt;"","Follow-Up",IF(I37&lt;&gt;"","Presented",IF(F37&lt;&gt;"","Contacted","New Lead"))))))</f>
        <v/>
      </c>
      <c r="S37" s="6"/>
      <c r="T37" s="6" t="str">
        <f aca="true">IF(MAX(F37,I37,K37)=0,"",TODAY()-MAX(F37,I37,K37))</f>
        <v/>
      </c>
      <c r="U37" s="6"/>
      <c r="V37" s="6"/>
      <c r="W37" s="6" t="str">
        <f aca="false">IF(AND($A37="",$B37=""),"",IF(M37="Ambassador","1 - Ambassador",IF(M37="Member","2 - Member",IF(J37="Completed","3 - Presented",IF(H37&lt;&gt;"","4 - Shared",IF(F37&lt;&gt;"","5 - Contacted","6 - No Activity"))))))</f>
        <v/>
      </c>
      <c r="X37" s="6" t="n">
        <f aca="false">IF(AND($A37="",$B37=""),9999999+(ROW()-4),VALUE(LEFT($W37,1))*10000+(ROW()-4))</f>
        <v>10000032</v>
      </c>
    </row>
    <row r="38" customFormat="false" ht="15" hidden="false" customHeight="true" outlineLevel="0" collapsed="false">
      <c r="A38" s="6"/>
      <c r="B38" s="6"/>
      <c r="C38" s="6"/>
      <c r="D38" s="6"/>
      <c r="E38" s="6"/>
      <c r="F38" s="7"/>
      <c r="G38" s="6"/>
      <c r="H38" s="6"/>
      <c r="I38" s="7"/>
      <c r="J38" s="6"/>
      <c r="K38" s="7"/>
      <c r="L38" s="6"/>
      <c r="M38" s="6"/>
      <c r="N38" s="7"/>
      <c r="O38" s="6"/>
      <c r="P38" s="6"/>
      <c r="Q38" s="7"/>
      <c r="R38" s="6" t="str">
        <f aca="false">IF(AND($A38="",$B38=""),"",IF(Q38="Complete","Onboarded",IF(OR(M38="Member",M38="Ambassador"),"Sponsored",IF(K38&lt;&gt;"","Follow-Up",IF(I38&lt;&gt;"","Presented",IF(F38&lt;&gt;"","Contacted","New Lead"))))))</f>
        <v/>
      </c>
      <c r="S38" s="6"/>
      <c r="T38" s="6" t="str">
        <f aca="true">IF(MAX(F38,I38,K38)=0,"",TODAY()-MAX(F38,I38,K38))</f>
        <v/>
      </c>
      <c r="U38" s="6"/>
      <c r="V38" s="6"/>
      <c r="W38" s="6" t="str">
        <f aca="false">IF(AND($A38="",$B38=""),"",IF(M38="Ambassador","1 - Ambassador",IF(M38="Member","2 - Member",IF(J38="Completed","3 - Presented",IF(H38&lt;&gt;"","4 - Shared",IF(F38&lt;&gt;"","5 - Contacted","6 - No Activity"))))))</f>
        <v/>
      </c>
      <c r="X38" s="6" t="n">
        <f aca="false">IF(AND($A38="",$B38=""),9999999+(ROW()-4),VALUE(LEFT($W38,1))*10000+(ROW()-4))</f>
        <v>10000033</v>
      </c>
    </row>
    <row r="39" customFormat="false" ht="15" hidden="false" customHeight="true" outlineLevel="0" collapsed="false">
      <c r="A39" s="6"/>
      <c r="B39" s="6"/>
      <c r="C39" s="6"/>
      <c r="D39" s="6"/>
      <c r="E39" s="6"/>
      <c r="F39" s="7"/>
      <c r="G39" s="6"/>
      <c r="H39" s="6"/>
      <c r="I39" s="7"/>
      <c r="J39" s="6"/>
      <c r="K39" s="7"/>
      <c r="L39" s="6"/>
      <c r="M39" s="6"/>
      <c r="N39" s="7"/>
      <c r="O39" s="6"/>
      <c r="P39" s="6"/>
      <c r="Q39" s="7"/>
      <c r="R39" s="6" t="str">
        <f aca="false">IF(AND($A39="",$B39=""),"",IF(Q39="Complete","Onboarded",IF(OR(M39="Member",M39="Ambassador"),"Sponsored",IF(K39&lt;&gt;"","Follow-Up",IF(I39&lt;&gt;"","Presented",IF(F39&lt;&gt;"","Contacted","New Lead"))))))</f>
        <v/>
      </c>
      <c r="S39" s="6"/>
      <c r="T39" s="6" t="str">
        <f aca="true">IF(MAX(F39,I39,K39)=0,"",TODAY()-MAX(F39,I39,K39))</f>
        <v/>
      </c>
      <c r="U39" s="6"/>
      <c r="V39" s="6"/>
      <c r="W39" s="6" t="str">
        <f aca="false">IF(AND($A39="",$B39=""),"",IF(M39="Ambassador","1 - Ambassador",IF(M39="Member","2 - Member",IF(J39="Completed","3 - Presented",IF(H39&lt;&gt;"","4 - Shared",IF(F39&lt;&gt;"","5 - Contacted","6 - No Activity"))))))</f>
        <v/>
      </c>
      <c r="X39" s="6" t="n">
        <f aca="false">IF(AND($A39="",$B39=""),9999999+(ROW()-4),VALUE(LEFT($W39,1))*10000+(ROW()-4))</f>
        <v>10000034</v>
      </c>
    </row>
    <row r="40" customFormat="false" ht="15" hidden="false" customHeight="true" outlineLevel="0" collapsed="false">
      <c r="A40" s="6"/>
      <c r="B40" s="6"/>
      <c r="C40" s="6"/>
      <c r="D40" s="6"/>
      <c r="E40" s="6"/>
      <c r="F40" s="7"/>
      <c r="G40" s="6"/>
      <c r="H40" s="6"/>
      <c r="I40" s="7"/>
      <c r="J40" s="6"/>
      <c r="K40" s="7"/>
      <c r="L40" s="6"/>
      <c r="M40" s="6"/>
      <c r="N40" s="7"/>
      <c r="O40" s="6"/>
      <c r="P40" s="6"/>
      <c r="Q40" s="7"/>
      <c r="R40" s="6" t="str">
        <f aca="false">IF(AND($A40="",$B40=""),"",IF(Q40="Complete","Onboarded",IF(OR(M40="Member",M40="Ambassador"),"Sponsored",IF(K40&lt;&gt;"","Follow-Up",IF(I40&lt;&gt;"","Presented",IF(F40&lt;&gt;"","Contacted","New Lead"))))))</f>
        <v/>
      </c>
      <c r="S40" s="6"/>
      <c r="T40" s="6" t="str">
        <f aca="true">IF(MAX(F40,I40,K40)=0,"",TODAY()-MAX(F40,I40,K40))</f>
        <v/>
      </c>
      <c r="U40" s="6"/>
      <c r="V40" s="6"/>
      <c r="W40" s="6" t="str">
        <f aca="false">IF(AND($A40="",$B40=""),"",IF(M40="Ambassador","1 - Ambassador",IF(M40="Member","2 - Member",IF(J40="Completed","3 - Presented",IF(H40&lt;&gt;"","4 - Shared",IF(F40&lt;&gt;"","5 - Contacted","6 - No Activity"))))))</f>
        <v/>
      </c>
      <c r="X40" s="6" t="n">
        <f aca="false">IF(AND($A40="",$B40=""),9999999+(ROW()-4),VALUE(LEFT($W40,1))*10000+(ROW()-4))</f>
        <v>10000035</v>
      </c>
    </row>
    <row r="41" customFormat="false" ht="15" hidden="false" customHeight="true" outlineLevel="0" collapsed="false">
      <c r="A41" s="6"/>
      <c r="B41" s="6"/>
      <c r="C41" s="6"/>
      <c r="D41" s="6"/>
      <c r="E41" s="6"/>
      <c r="F41" s="7"/>
      <c r="G41" s="6"/>
      <c r="H41" s="6"/>
      <c r="I41" s="7"/>
      <c r="J41" s="6"/>
      <c r="K41" s="7"/>
      <c r="L41" s="6"/>
      <c r="M41" s="6"/>
      <c r="N41" s="7"/>
      <c r="O41" s="6"/>
      <c r="P41" s="6"/>
      <c r="Q41" s="7"/>
      <c r="R41" s="6" t="str">
        <f aca="false">IF(AND($A41="",$B41=""),"",IF(Q41="Complete","Onboarded",IF(OR(M41="Member",M41="Ambassador"),"Sponsored",IF(K41&lt;&gt;"","Follow-Up",IF(I41&lt;&gt;"","Presented",IF(F41&lt;&gt;"","Contacted","New Lead"))))))</f>
        <v/>
      </c>
      <c r="S41" s="6"/>
      <c r="T41" s="6" t="str">
        <f aca="true">IF(MAX(F41,I41,K41)=0,"",TODAY()-MAX(F41,I41,K41))</f>
        <v/>
      </c>
      <c r="U41" s="6"/>
      <c r="V41" s="6"/>
      <c r="W41" s="6" t="str">
        <f aca="false">IF(AND($A41="",$B41=""),"",IF(M41="Ambassador","1 - Ambassador",IF(M41="Member","2 - Member",IF(J41="Completed","3 - Presented",IF(H41&lt;&gt;"","4 - Shared",IF(F41&lt;&gt;"","5 - Contacted","6 - No Activity"))))))</f>
        <v/>
      </c>
      <c r="X41" s="6" t="n">
        <f aca="false">IF(AND($A41="",$B41=""),9999999+(ROW()-4),VALUE(LEFT($W41,1))*10000+(ROW()-4))</f>
        <v>10000036</v>
      </c>
    </row>
    <row r="42" customFormat="false" ht="15" hidden="false" customHeight="true" outlineLevel="0" collapsed="false">
      <c r="A42" s="6"/>
      <c r="B42" s="6"/>
      <c r="C42" s="6"/>
      <c r="D42" s="6"/>
      <c r="E42" s="6"/>
      <c r="F42" s="7"/>
      <c r="G42" s="6"/>
      <c r="H42" s="6"/>
      <c r="I42" s="7"/>
      <c r="J42" s="6"/>
      <c r="K42" s="7"/>
      <c r="L42" s="6"/>
      <c r="M42" s="6"/>
      <c r="N42" s="7"/>
      <c r="O42" s="6"/>
      <c r="P42" s="6"/>
      <c r="Q42" s="7"/>
      <c r="R42" s="6" t="str">
        <f aca="false">IF(AND($A42="",$B42=""),"",IF(Q42="Complete","Onboarded",IF(OR(M42="Member",M42="Ambassador"),"Sponsored",IF(K42&lt;&gt;"","Follow-Up",IF(I42&lt;&gt;"","Presented",IF(F42&lt;&gt;"","Contacted","New Lead"))))))</f>
        <v/>
      </c>
      <c r="S42" s="6"/>
      <c r="T42" s="6" t="str">
        <f aca="true">IF(MAX(F42,I42,K42)=0,"",TODAY()-MAX(F42,I42,K42))</f>
        <v/>
      </c>
      <c r="U42" s="6"/>
      <c r="V42" s="6"/>
      <c r="W42" s="6" t="str">
        <f aca="false">IF(AND($A42="",$B42=""),"",IF(M42="Ambassador","1 - Ambassador",IF(M42="Member","2 - Member",IF(J42="Completed","3 - Presented",IF(H42&lt;&gt;"","4 - Shared",IF(F42&lt;&gt;"","5 - Contacted","6 - No Activity"))))))</f>
        <v/>
      </c>
      <c r="X42" s="6" t="n">
        <f aca="false">IF(AND($A42="",$B42=""),9999999+(ROW()-4),VALUE(LEFT($W42,1))*10000+(ROW()-4))</f>
        <v>10000037</v>
      </c>
    </row>
    <row r="43" customFormat="false" ht="15" hidden="false" customHeight="true" outlineLevel="0" collapsed="false">
      <c r="A43" s="6"/>
      <c r="B43" s="6"/>
      <c r="C43" s="6"/>
      <c r="D43" s="6"/>
      <c r="E43" s="6"/>
      <c r="F43" s="7"/>
      <c r="G43" s="6"/>
      <c r="H43" s="6"/>
      <c r="I43" s="7"/>
      <c r="J43" s="6"/>
      <c r="K43" s="7"/>
      <c r="L43" s="6"/>
      <c r="M43" s="6"/>
      <c r="N43" s="7"/>
      <c r="O43" s="6"/>
      <c r="P43" s="6"/>
      <c r="Q43" s="7"/>
      <c r="R43" s="6" t="str">
        <f aca="false">IF(AND($A43="",$B43=""),"",IF(Q43="Complete","Onboarded",IF(OR(M43="Member",M43="Ambassador"),"Sponsored",IF(K43&lt;&gt;"","Follow-Up",IF(I43&lt;&gt;"","Presented",IF(F43&lt;&gt;"","Contacted","New Lead"))))))</f>
        <v/>
      </c>
      <c r="S43" s="6"/>
      <c r="T43" s="6" t="str">
        <f aca="true">IF(MAX(F43,I43,K43)=0,"",TODAY()-MAX(F43,I43,K43))</f>
        <v/>
      </c>
      <c r="U43" s="6"/>
      <c r="V43" s="6"/>
      <c r="W43" s="6" t="str">
        <f aca="false">IF(AND($A43="",$B43=""),"",IF(M43="Ambassador","1 - Ambassador",IF(M43="Member","2 - Member",IF(J43="Completed","3 - Presented",IF(H43&lt;&gt;"","4 - Shared",IF(F43&lt;&gt;"","5 - Contacted","6 - No Activity"))))))</f>
        <v/>
      </c>
      <c r="X43" s="6" t="n">
        <f aca="false">IF(AND($A43="",$B43=""),9999999+(ROW()-4),VALUE(LEFT($W43,1))*10000+(ROW()-4))</f>
        <v>10000038</v>
      </c>
    </row>
    <row r="44" customFormat="false" ht="15" hidden="false" customHeight="true" outlineLevel="0" collapsed="false">
      <c r="A44" s="6"/>
      <c r="B44" s="6"/>
      <c r="C44" s="6"/>
      <c r="D44" s="6"/>
      <c r="E44" s="6"/>
      <c r="F44" s="7"/>
      <c r="G44" s="6"/>
      <c r="H44" s="6"/>
      <c r="I44" s="7"/>
      <c r="J44" s="6"/>
      <c r="K44" s="7"/>
      <c r="L44" s="6"/>
      <c r="M44" s="6"/>
      <c r="N44" s="7"/>
      <c r="O44" s="6"/>
      <c r="P44" s="6"/>
      <c r="Q44" s="7"/>
      <c r="R44" s="6" t="str">
        <f aca="false">IF(AND($A44="",$B44=""),"",IF(Q44="Complete","Onboarded",IF(OR(M44="Member",M44="Ambassador"),"Sponsored",IF(K44&lt;&gt;"","Follow-Up",IF(I44&lt;&gt;"","Presented",IF(F44&lt;&gt;"","Contacted","New Lead"))))))</f>
        <v/>
      </c>
      <c r="S44" s="6"/>
      <c r="T44" s="6" t="str">
        <f aca="true">IF(MAX(F44,I44,K44)=0,"",TODAY()-MAX(F44,I44,K44))</f>
        <v/>
      </c>
      <c r="U44" s="6"/>
      <c r="V44" s="6"/>
      <c r="W44" s="6" t="str">
        <f aca="false">IF(AND($A44="",$B44=""),"",IF(M44="Ambassador","1 - Ambassador",IF(M44="Member","2 - Member",IF(J44="Completed","3 - Presented",IF(H44&lt;&gt;"","4 - Shared",IF(F44&lt;&gt;"","5 - Contacted","6 - No Activity"))))))</f>
        <v/>
      </c>
      <c r="X44" s="6" t="n">
        <f aca="false">IF(AND($A44="",$B44=""),9999999+(ROW()-4),VALUE(LEFT($W44,1))*10000+(ROW()-4))</f>
        <v>10000039</v>
      </c>
    </row>
    <row r="45" customFormat="false" ht="15" hidden="false" customHeight="true" outlineLevel="0" collapsed="false">
      <c r="A45" s="6"/>
      <c r="B45" s="6"/>
      <c r="C45" s="6"/>
      <c r="D45" s="6"/>
      <c r="E45" s="6"/>
      <c r="F45" s="7"/>
      <c r="G45" s="6"/>
      <c r="H45" s="6"/>
      <c r="I45" s="7"/>
      <c r="J45" s="6"/>
      <c r="K45" s="7"/>
      <c r="L45" s="6"/>
      <c r="M45" s="6"/>
      <c r="N45" s="7"/>
      <c r="O45" s="6"/>
      <c r="P45" s="6"/>
      <c r="Q45" s="7"/>
      <c r="R45" s="6" t="str">
        <f aca="false">IF(AND($A45="",$B45=""),"",IF(Q45="Complete","Onboarded",IF(OR(M45="Member",M45="Ambassador"),"Sponsored",IF(K45&lt;&gt;"","Follow-Up",IF(I45&lt;&gt;"","Presented",IF(F45&lt;&gt;"","Contacted","New Lead"))))))</f>
        <v/>
      </c>
      <c r="S45" s="6"/>
      <c r="T45" s="6" t="str">
        <f aca="true">IF(MAX(F45,I45,K45)=0,"",TODAY()-MAX(F45,I45,K45))</f>
        <v/>
      </c>
      <c r="U45" s="6"/>
      <c r="V45" s="6"/>
      <c r="W45" s="6" t="str">
        <f aca="false">IF(AND($A45="",$B45=""),"",IF(M45="Ambassador","1 - Ambassador",IF(M45="Member","2 - Member",IF(J45="Completed","3 - Presented",IF(H45&lt;&gt;"","4 - Shared",IF(F45&lt;&gt;"","5 - Contacted","6 - No Activity"))))))</f>
        <v/>
      </c>
      <c r="X45" s="6" t="n">
        <f aca="false">IF(AND($A45="",$B45=""),9999999+(ROW()-4),VALUE(LEFT($W45,1))*10000+(ROW()-4))</f>
        <v>10000040</v>
      </c>
    </row>
    <row r="46" customFormat="false" ht="15" hidden="false" customHeight="true" outlineLevel="0" collapsed="false">
      <c r="A46" s="6"/>
      <c r="B46" s="6"/>
      <c r="C46" s="6"/>
      <c r="D46" s="6"/>
      <c r="E46" s="6"/>
      <c r="F46" s="7"/>
      <c r="G46" s="6"/>
      <c r="H46" s="6"/>
      <c r="I46" s="7"/>
      <c r="J46" s="6"/>
      <c r="K46" s="7"/>
      <c r="L46" s="6"/>
      <c r="M46" s="6"/>
      <c r="N46" s="7"/>
      <c r="O46" s="6"/>
      <c r="P46" s="6"/>
      <c r="Q46" s="7"/>
      <c r="R46" s="6" t="str">
        <f aca="false">IF(AND($A46="",$B46=""),"",IF(Q46="Complete","Onboarded",IF(OR(M46="Member",M46="Ambassador"),"Sponsored",IF(K46&lt;&gt;"","Follow-Up",IF(I46&lt;&gt;"","Presented",IF(F46&lt;&gt;"","Contacted","New Lead"))))))</f>
        <v/>
      </c>
      <c r="S46" s="6"/>
      <c r="T46" s="6" t="str">
        <f aca="true">IF(MAX(F46,I46,K46)=0,"",TODAY()-MAX(F46,I46,K46))</f>
        <v/>
      </c>
      <c r="U46" s="6"/>
      <c r="V46" s="6"/>
      <c r="W46" s="6" t="str">
        <f aca="false">IF(AND($A46="",$B46=""),"",IF(M46="Ambassador","1 - Ambassador",IF(M46="Member","2 - Member",IF(J46="Completed","3 - Presented",IF(H46&lt;&gt;"","4 - Shared",IF(F46&lt;&gt;"","5 - Contacted","6 - No Activity"))))))</f>
        <v/>
      </c>
      <c r="X46" s="6" t="n">
        <f aca="false">IF(AND($A46="",$B46=""),9999999+(ROW()-4),VALUE(LEFT($W46,1))*10000+(ROW()-4))</f>
        <v>10000041</v>
      </c>
    </row>
    <row r="47" customFormat="false" ht="15" hidden="false" customHeight="true" outlineLevel="0" collapsed="false">
      <c r="A47" s="6"/>
      <c r="B47" s="6"/>
      <c r="C47" s="6"/>
      <c r="D47" s="6"/>
      <c r="E47" s="6"/>
      <c r="F47" s="7"/>
      <c r="G47" s="6"/>
      <c r="H47" s="6"/>
      <c r="I47" s="7"/>
      <c r="J47" s="6"/>
      <c r="K47" s="7"/>
      <c r="L47" s="6"/>
      <c r="M47" s="6"/>
      <c r="N47" s="7"/>
      <c r="O47" s="6"/>
      <c r="P47" s="6"/>
      <c r="Q47" s="7"/>
      <c r="R47" s="6" t="str">
        <f aca="false">IF(AND($A47="",$B47=""),"",IF(Q47="Complete","Onboarded",IF(OR(M47="Member",M47="Ambassador"),"Sponsored",IF(K47&lt;&gt;"","Follow-Up",IF(I47&lt;&gt;"","Presented",IF(F47&lt;&gt;"","Contacted","New Lead"))))))</f>
        <v/>
      </c>
      <c r="S47" s="6"/>
      <c r="T47" s="6" t="str">
        <f aca="true">IF(MAX(F47,I47,K47)=0,"",TODAY()-MAX(F47,I47,K47))</f>
        <v/>
      </c>
      <c r="U47" s="6"/>
      <c r="V47" s="6"/>
      <c r="W47" s="6" t="str">
        <f aca="false">IF(AND($A47="",$B47=""),"",IF(M47="Ambassador","1 - Ambassador",IF(M47="Member","2 - Member",IF(J47="Completed","3 - Presented",IF(H47&lt;&gt;"","4 - Shared",IF(F47&lt;&gt;"","5 - Contacted","6 - No Activity"))))))</f>
        <v/>
      </c>
      <c r="X47" s="6" t="n">
        <f aca="false">IF(AND($A47="",$B47=""),9999999+(ROW()-4),VALUE(LEFT($W47,1))*10000+(ROW()-4))</f>
        <v>10000042</v>
      </c>
    </row>
    <row r="48" customFormat="false" ht="15" hidden="false" customHeight="true" outlineLevel="0" collapsed="false">
      <c r="A48" s="6"/>
      <c r="B48" s="6"/>
      <c r="C48" s="6"/>
      <c r="D48" s="6"/>
      <c r="E48" s="6"/>
      <c r="F48" s="7"/>
      <c r="G48" s="6"/>
      <c r="H48" s="6"/>
      <c r="I48" s="7"/>
      <c r="J48" s="6"/>
      <c r="K48" s="7"/>
      <c r="L48" s="6"/>
      <c r="M48" s="6"/>
      <c r="N48" s="7"/>
      <c r="O48" s="6"/>
      <c r="P48" s="6"/>
      <c r="Q48" s="7"/>
      <c r="R48" s="6" t="str">
        <f aca="false">IF(AND($A48="",$B48=""),"",IF(Q48="Complete","Onboarded",IF(OR(M48="Member",M48="Ambassador"),"Sponsored",IF(K48&lt;&gt;"","Follow-Up",IF(I48&lt;&gt;"","Presented",IF(F48&lt;&gt;"","Contacted","New Lead"))))))</f>
        <v/>
      </c>
      <c r="S48" s="6"/>
      <c r="T48" s="6" t="str">
        <f aca="true">IF(MAX(F48,I48,K48)=0,"",TODAY()-MAX(F48,I48,K48))</f>
        <v/>
      </c>
      <c r="U48" s="6"/>
      <c r="V48" s="6"/>
      <c r="W48" s="6" t="str">
        <f aca="false">IF(AND($A48="",$B48=""),"",IF(M48="Ambassador","1 - Ambassador",IF(M48="Member","2 - Member",IF(J48="Completed","3 - Presented",IF(H48&lt;&gt;"","4 - Shared",IF(F48&lt;&gt;"","5 - Contacted","6 - No Activity"))))))</f>
        <v/>
      </c>
      <c r="X48" s="6" t="n">
        <f aca="false">IF(AND($A48="",$B48=""),9999999+(ROW()-4),VALUE(LEFT($W48,1))*10000+(ROW()-4))</f>
        <v>10000043</v>
      </c>
    </row>
    <row r="49" customFormat="false" ht="15" hidden="false" customHeight="true" outlineLevel="0" collapsed="false">
      <c r="A49" s="6"/>
      <c r="B49" s="6"/>
      <c r="C49" s="6"/>
      <c r="D49" s="6"/>
      <c r="E49" s="6"/>
      <c r="F49" s="7"/>
      <c r="G49" s="6"/>
      <c r="H49" s="6"/>
      <c r="I49" s="7"/>
      <c r="J49" s="6"/>
      <c r="K49" s="7"/>
      <c r="L49" s="6"/>
      <c r="M49" s="6"/>
      <c r="N49" s="7"/>
      <c r="O49" s="6"/>
      <c r="P49" s="6"/>
      <c r="Q49" s="7"/>
      <c r="R49" s="6" t="str">
        <f aca="false">IF(AND($A49="",$B49=""),"",IF(Q49="Complete","Onboarded",IF(OR(M49="Member",M49="Ambassador"),"Sponsored",IF(K49&lt;&gt;"","Follow-Up",IF(I49&lt;&gt;"","Presented",IF(F49&lt;&gt;"","Contacted","New Lead"))))))</f>
        <v/>
      </c>
      <c r="S49" s="6"/>
      <c r="T49" s="6" t="str">
        <f aca="true">IF(MAX(F49,I49,K49)=0,"",TODAY()-MAX(F49,I49,K49))</f>
        <v/>
      </c>
      <c r="U49" s="6"/>
      <c r="V49" s="6"/>
      <c r="W49" s="6" t="str">
        <f aca="false">IF(AND($A49="",$B49=""),"",IF(M49="Ambassador","1 - Ambassador",IF(M49="Member","2 - Member",IF(J49="Completed","3 - Presented",IF(H49&lt;&gt;"","4 - Shared",IF(F49&lt;&gt;"","5 - Contacted","6 - No Activity"))))))</f>
        <v/>
      </c>
      <c r="X49" s="6" t="n">
        <f aca="false">IF(AND($A49="",$B49=""),9999999+(ROW()-4),VALUE(LEFT($W49,1))*10000+(ROW()-4))</f>
        <v>10000044</v>
      </c>
    </row>
    <row r="50" customFormat="false" ht="15" hidden="false" customHeight="true" outlineLevel="0" collapsed="false">
      <c r="A50" s="6"/>
      <c r="B50" s="6"/>
      <c r="C50" s="6"/>
      <c r="D50" s="6"/>
      <c r="E50" s="6"/>
      <c r="F50" s="7"/>
      <c r="G50" s="6"/>
      <c r="H50" s="6"/>
      <c r="I50" s="7"/>
      <c r="J50" s="6"/>
      <c r="K50" s="7"/>
      <c r="L50" s="6"/>
      <c r="M50" s="6"/>
      <c r="N50" s="7"/>
      <c r="O50" s="6"/>
      <c r="P50" s="6"/>
      <c r="Q50" s="7"/>
      <c r="R50" s="6" t="str">
        <f aca="false">IF(AND($A50="",$B50=""),"",IF(Q50="Complete","Onboarded",IF(OR(M50="Member",M50="Ambassador"),"Sponsored",IF(K50&lt;&gt;"","Follow-Up",IF(I50&lt;&gt;"","Presented",IF(F50&lt;&gt;"","Contacted","New Lead"))))))</f>
        <v/>
      </c>
      <c r="S50" s="6"/>
      <c r="T50" s="6" t="str">
        <f aca="true">IF(MAX(F50,I50,K50)=0,"",TODAY()-MAX(F50,I50,K50))</f>
        <v/>
      </c>
      <c r="U50" s="6"/>
      <c r="V50" s="6"/>
      <c r="W50" s="6" t="str">
        <f aca="false">IF(AND($A50="",$B50=""),"",IF(M50="Ambassador","1 - Ambassador",IF(M50="Member","2 - Member",IF(J50="Completed","3 - Presented",IF(H50&lt;&gt;"","4 - Shared",IF(F50&lt;&gt;"","5 - Contacted","6 - No Activity"))))))</f>
        <v/>
      </c>
      <c r="X50" s="6" t="n">
        <f aca="false">IF(AND($A50="",$B50=""),9999999+(ROW()-4),VALUE(LEFT($W50,1))*10000+(ROW()-4))</f>
        <v>10000045</v>
      </c>
    </row>
    <row r="51" customFormat="false" ht="15" hidden="false" customHeight="true" outlineLevel="0" collapsed="false">
      <c r="A51" s="6"/>
      <c r="B51" s="6"/>
      <c r="C51" s="6"/>
      <c r="D51" s="6"/>
      <c r="E51" s="6"/>
      <c r="F51" s="7"/>
      <c r="G51" s="6"/>
      <c r="H51" s="6"/>
      <c r="I51" s="7"/>
      <c r="J51" s="6"/>
      <c r="K51" s="7"/>
      <c r="L51" s="6"/>
      <c r="M51" s="6"/>
      <c r="N51" s="7"/>
      <c r="O51" s="6"/>
      <c r="P51" s="6"/>
      <c r="Q51" s="7"/>
      <c r="R51" s="6" t="str">
        <f aca="false">IF(AND($A51="",$B51=""),"",IF(Q51="Complete","Onboarded",IF(OR(M51="Member",M51="Ambassador"),"Sponsored",IF(K51&lt;&gt;"","Follow-Up",IF(I51&lt;&gt;"","Presented",IF(F51&lt;&gt;"","Contacted","New Lead"))))))</f>
        <v/>
      </c>
      <c r="S51" s="6"/>
      <c r="T51" s="6" t="str">
        <f aca="true">IF(MAX(F51,I51,K51)=0,"",TODAY()-MAX(F51,I51,K51))</f>
        <v/>
      </c>
      <c r="U51" s="6"/>
      <c r="V51" s="6"/>
      <c r="W51" s="6" t="str">
        <f aca="false">IF(AND($A51="",$B51=""),"",IF(M51="Ambassador","1 - Ambassador",IF(M51="Member","2 - Member",IF(J51="Completed","3 - Presented",IF(H51&lt;&gt;"","4 - Shared",IF(F51&lt;&gt;"","5 - Contacted","6 - No Activity"))))))</f>
        <v/>
      </c>
      <c r="X51" s="6" t="n">
        <f aca="false">IF(AND($A51="",$B51=""),9999999+(ROW()-4),VALUE(LEFT($W51,1))*10000+(ROW()-4))</f>
        <v>10000046</v>
      </c>
    </row>
    <row r="52" customFormat="false" ht="15" hidden="false" customHeight="true" outlineLevel="0" collapsed="false">
      <c r="A52" s="6"/>
      <c r="B52" s="6"/>
      <c r="C52" s="6"/>
      <c r="D52" s="6"/>
      <c r="E52" s="6"/>
      <c r="F52" s="7"/>
      <c r="G52" s="6"/>
      <c r="H52" s="6"/>
      <c r="I52" s="7"/>
      <c r="J52" s="6"/>
      <c r="K52" s="7"/>
      <c r="L52" s="6"/>
      <c r="M52" s="6"/>
      <c r="N52" s="7"/>
      <c r="O52" s="6"/>
      <c r="P52" s="6"/>
      <c r="Q52" s="7"/>
      <c r="R52" s="6" t="str">
        <f aca="false">IF(AND($A52="",$B52=""),"",IF(Q52="Complete","Onboarded",IF(OR(M52="Member",M52="Ambassador"),"Sponsored",IF(K52&lt;&gt;"","Follow-Up",IF(I52&lt;&gt;"","Presented",IF(F52&lt;&gt;"","Contacted","New Lead"))))))</f>
        <v/>
      </c>
      <c r="S52" s="6"/>
      <c r="T52" s="6" t="str">
        <f aca="true">IF(MAX(F52,I52,K52)=0,"",TODAY()-MAX(F52,I52,K52))</f>
        <v/>
      </c>
      <c r="U52" s="6"/>
      <c r="V52" s="6"/>
      <c r="W52" s="6" t="str">
        <f aca="false">IF(AND($A52="",$B52=""),"",IF(M52="Ambassador","1 - Ambassador",IF(M52="Member","2 - Member",IF(J52="Completed","3 - Presented",IF(H52&lt;&gt;"","4 - Shared",IF(F52&lt;&gt;"","5 - Contacted","6 - No Activity"))))))</f>
        <v/>
      </c>
      <c r="X52" s="6" t="n">
        <f aca="false">IF(AND($A52="",$B52=""),9999999+(ROW()-4),VALUE(LEFT($W52,1))*10000+(ROW()-4))</f>
        <v>10000047</v>
      </c>
    </row>
    <row r="53" customFormat="false" ht="15" hidden="false" customHeight="true" outlineLevel="0" collapsed="false">
      <c r="A53" s="6"/>
      <c r="B53" s="6"/>
      <c r="C53" s="6"/>
      <c r="D53" s="6"/>
      <c r="E53" s="6"/>
      <c r="F53" s="7"/>
      <c r="G53" s="6"/>
      <c r="H53" s="6"/>
      <c r="I53" s="7"/>
      <c r="J53" s="6"/>
      <c r="K53" s="7"/>
      <c r="L53" s="6"/>
      <c r="M53" s="6"/>
      <c r="N53" s="7"/>
      <c r="O53" s="6"/>
      <c r="P53" s="6"/>
      <c r="Q53" s="7"/>
      <c r="R53" s="6" t="str">
        <f aca="false">IF(AND($A53="",$B53=""),"",IF(Q53="Complete","Onboarded",IF(OR(M53="Member",M53="Ambassador"),"Sponsored",IF(K53&lt;&gt;"","Follow-Up",IF(I53&lt;&gt;"","Presented",IF(F53&lt;&gt;"","Contacted","New Lead"))))))</f>
        <v/>
      </c>
      <c r="S53" s="6"/>
      <c r="T53" s="6" t="str">
        <f aca="true">IF(MAX(F53,I53,K53)=0,"",TODAY()-MAX(F53,I53,K53))</f>
        <v/>
      </c>
      <c r="U53" s="6"/>
      <c r="V53" s="6"/>
      <c r="W53" s="6" t="str">
        <f aca="false">IF(AND($A53="",$B53=""),"",IF(M53="Ambassador","1 - Ambassador",IF(M53="Member","2 - Member",IF(J53="Completed","3 - Presented",IF(H53&lt;&gt;"","4 - Shared",IF(F53&lt;&gt;"","5 - Contacted","6 - No Activity"))))))</f>
        <v/>
      </c>
      <c r="X53" s="6" t="n">
        <f aca="false">IF(AND($A53="",$B53=""),9999999+(ROW()-4),VALUE(LEFT($W53,1))*10000+(ROW()-4))</f>
        <v>10000048</v>
      </c>
    </row>
    <row r="54" customFormat="false" ht="15" hidden="false" customHeight="true" outlineLevel="0" collapsed="false">
      <c r="A54" s="6"/>
      <c r="B54" s="6"/>
      <c r="C54" s="6"/>
      <c r="D54" s="6"/>
      <c r="E54" s="6"/>
      <c r="F54" s="7"/>
      <c r="G54" s="6"/>
      <c r="H54" s="6"/>
      <c r="I54" s="7"/>
      <c r="J54" s="6"/>
      <c r="K54" s="7"/>
      <c r="L54" s="6"/>
      <c r="M54" s="6"/>
      <c r="N54" s="7"/>
      <c r="O54" s="6"/>
      <c r="P54" s="6"/>
      <c r="Q54" s="7"/>
      <c r="R54" s="6" t="str">
        <f aca="false">IF(AND($A54="",$B54=""),"",IF(Q54="Complete","Onboarded",IF(OR(M54="Member",M54="Ambassador"),"Sponsored",IF(K54&lt;&gt;"","Follow-Up",IF(I54&lt;&gt;"","Presented",IF(F54&lt;&gt;"","Contacted","New Lead"))))))</f>
        <v/>
      </c>
      <c r="S54" s="6"/>
      <c r="T54" s="6" t="str">
        <f aca="true">IF(MAX(F54,I54,K54)=0,"",TODAY()-MAX(F54,I54,K54))</f>
        <v/>
      </c>
      <c r="U54" s="6"/>
      <c r="V54" s="6"/>
      <c r="W54" s="6" t="str">
        <f aca="false">IF(AND($A54="",$B54=""),"",IF(M54="Ambassador","1 - Ambassador",IF(M54="Member","2 - Member",IF(J54="Completed","3 - Presented",IF(H54&lt;&gt;"","4 - Shared",IF(F54&lt;&gt;"","5 - Contacted","6 - No Activity"))))))</f>
        <v/>
      </c>
      <c r="X54" s="6" t="n">
        <f aca="false">IF(AND($A54="",$B54=""),9999999+(ROW()-4),VALUE(LEFT($W54,1))*10000+(ROW()-4))</f>
        <v>10000049</v>
      </c>
    </row>
    <row r="55" customFormat="false" ht="15" hidden="false" customHeight="true" outlineLevel="0" collapsed="false">
      <c r="A55" s="6"/>
      <c r="B55" s="6"/>
      <c r="C55" s="6"/>
      <c r="D55" s="6"/>
      <c r="E55" s="6"/>
      <c r="F55" s="7"/>
      <c r="G55" s="6"/>
      <c r="H55" s="6"/>
      <c r="I55" s="7"/>
      <c r="J55" s="6"/>
      <c r="K55" s="7"/>
      <c r="L55" s="6"/>
      <c r="M55" s="6"/>
      <c r="N55" s="7"/>
      <c r="O55" s="6"/>
      <c r="P55" s="6"/>
      <c r="Q55" s="7"/>
      <c r="R55" s="6" t="str">
        <f aca="false">IF(AND($A55="",$B55=""),"",IF(Q55="Complete","Onboarded",IF(OR(M55="Member",M55="Ambassador"),"Sponsored",IF(K55&lt;&gt;"","Follow-Up",IF(I55&lt;&gt;"","Presented",IF(F55&lt;&gt;"","Contacted","New Lead"))))))</f>
        <v/>
      </c>
      <c r="S55" s="6"/>
      <c r="T55" s="6" t="str">
        <f aca="true">IF(MAX(F55,I55,K55)=0,"",TODAY()-MAX(F55,I55,K55))</f>
        <v/>
      </c>
      <c r="U55" s="6"/>
      <c r="V55" s="6"/>
      <c r="W55" s="6" t="str">
        <f aca="false">IF(AND($A55="",$B55=""),"",IF(M55="Ambassador","1 - Ambassador",IF(M55="Member","2 - Member",IF(J55="Completed","3 - Presented",IF(H55&lt;&gt;"","4 - Shared",IF(F55&lt;&gt;"","5 - Contacted","6 - No Activity"))))))</f>
        <v/>
      </c>
      <c r="X55" s="6" t="n">
        <f aca="false">IF(AND($A55="",$B55=""),9999999+(ROW()-4),VALUE(LEFT($W55,1))*10000+(ROW()-4))</f>
        <v>10000050</v>
      </c>
    </row>
    <row r="56" customFormat="false" ht="15" hidden="false" customHeight="true" outlineLevel="0" collapsed="false">
      <c r="A56" s="6"/>
      <c r="B56" s="6"/>
      <c r="C56" s="6"/>
      <c r="D56" s="6"/>
      <c r="E56" s="6"/>
      <c r="F56" s="7"/>
      <c r="G56" s="6"/>
      <c r="H56" s="6"/>
      <c r="I56" s="7"/>
      <c r="J56" s="6"/>
      <c r="K56" s="7"/>
      <c r="L56" s="6"/>
      <c r="M56" s="6"/>
      <c r="N56" s="7"/>
      <c r="O56" s="6"/>
      <c r="P56" s="6"/>
      <c r="Q56" s="7"/>
      <c r="R56" s="6" t="str">
        <f aca="false">IF(AND($A56="",$B56=""),"",IF(Q56="Complete","Onboarded",IF(OR(M56="Member",M56="Ambassador"),"Sponsored",IF(K56&lt;&gt;"","Follow-Up",IF(I56&lt;&gt;"","Presented",IF(F56&lt;&gt;"","Contacted","New Lead"))))))</f>
        <v/>
      </c>
      <c r="S56" s="6"/>
      <c r="T56" s="6" t="str">
        <f aca="true">IF(MAX(F56,I56,K56)=0,"",TODAY()-MAX(F56,I56,K56))</f>
        <v/>
      </c>
      <c r="U56" s="6"/>
      <c r="V56" s="6"/>
      <c r="W56" s="6" t="str">
        <f aca="false">IF(AND($A56="",$B56=""),"",IF(M56="Ambassador","1 - Ambassador",IF(M56="Member","2 - Member",IF(J56="Completed","3 - Presented",IF(H56&lt;&gt;"","4 - Shared",IF(F56&lt;&gt;"","5 - Contacted","6 - No Activity"))))))</f>
        <v/>
      </c>
      <c r="X56" s="6" t="n">
        <f aca="false">IF(AND($A56="",$B56=""),9999999+(ROW()-4),VALUE(LEFT($W56,1))*10000+(ROW()-4))</f>
        <v>10000051</v>
      </c>
    </row>
    <row r="57" customFormat="false" ht="15" hidden="false" customHeight="true" outlineLevel="0" collapsed="false">
      <c r="A57" s="6"/>
      <c r="B57" s="6"/>
      <c r="C57" s="6"/>
      <c r="D57" s="6"/>
      <c r="E57" s="6"/>
      <c r="F57" s="7"/>
      <c r="G57" s="6"/>
      <c r="H57" s="6"/>
      <c r="I57" s="7"/>
      <c r="J57" s="6"/>
      <c r="K57" s="7"/>
      <c r="L57" s="6"/>
      <c r="M57" s="6"/>
      <c r="N57" s="7"/>
      <c r="O57" s="6"/>
      <c r="P57" s="6"/>
      <c r="Q57" s="7"/>
      <c r="R57" s="6" t="str">
        <f aca="false">IF(AND($A57="",$B57=""),"",IF(Q57="Complete","Onboarded",IF(OR(M57="Member",M57="Ambassador"),"Sponsored",IF(K57&lt;&gt;"","Follow-Up",IF(I57&lt;&gt;"","Presented",IF(F57&lt;&gt;"","Contacted","New Lead"))))))</f>
        <v/>
      </c>
      <c r="S57" s="6"/>
      <c r="T57" s="6" t="str">
        <f aca="true">IF(MAX(F57,I57,K57)=0,"",TODAY()-MAX(F57,I57,K57))</f>
        <v/>
      </c>
      <c r="U57" s="6"/>
      <c r="V57" s="6"/>
      <c r="W57" s="6" t="str">
        <f aca="false">IF(AND($A57="",$B57=""),"",IF(M57="Ambassador","1 - Ambassador",IF(M57="Member","2 - Member",IF(J57="Completed","3 - Presented",IF(H57&lt;&gt;"","4 - Shared",IF(F57&lt;&gt;"","5 - Contacted","6 - No Activity"))))))</f>
        <v/>
      </c>
      <c r="X57" s="6" t="n">
        <f aca="false">IF(AND($A57="",$B57=""),9999999+(ROW()-4),VALUE(LEFT($W57,1))*10000+(ROW()-4))</f>
        <v>10000052</v>
      </c>
    </row>
    <row r="58" customFormat="false" ht="15" hidden="false" customHeight="true" outlineLevel="0" collapsed="false">
      <c r="A58" s="6"/>
      <c r="B58" s="6"/>
      <c r="C58" s="6"/>
      <c r="D58" s="6"/>
      <c r="E58" s="6"/>
      <c r="F58" s="7"/>
      <c r="G58" s="6"/>
      <c r="H58" s="6"/>
      <c r="I58" s="7"/>
      <c r="J58" s="6"/>
      <c r="K58" s="7"/>
      <c r="L58" s="6"/>
      <c r="M58" s="6"/>
      <c r="N58" s="7"/>
      <c r="O58" s="6"/>
      <c r="P58" s="6"/>
      <c r="Q58" s="7"/>
      <c r="R58" s="6" t="str">
        <f aca="false">IF(AND($A58="",$B58=""),"",IF(Q58="Complete","Onboarded",IF(OR(M58="Member",M58="Ambassador"),"Sponsored",IF(K58&lt;&gt;"","Follow-Up",IF(I58&lt;&gt;"","Presented",IF(F58&lt;&gt;"","Contacted","New Lead"))))))</f>
        <v/>
      </c>
      <c r="S58" s="6"/>
      <c r="T58" s="6" t="str">
        <f aca="true">IF(MAX(F58,I58,K58)=0,"",TODAY()-MAX(F58,I58,K58))</f>
        <v/>
      </c>
      <c r="U58" s="6"/>
      <c r="V58" s="6"/>
      <c r="W58" s="6" t="str">
        <f aca="false">IF(AND($A58="",$B58=""),"",IF(M58="Ambassador","1 - Ambassador",IF(M58="Member","2 - Member",IF(J58="Completed","3 - Presented",IF(H58&lt;&gt;"","4 - Shared",IF(F58&lt;&gt;"","5 - Contacted","6 - No Activity"))))))</f>
        <v/>
      </c>
      <c r="X58" s="6" t="n">
        <f aca="false">IF(AND($A58="",$B58=""),9999999+(ROW()-4),VALUE(LEFT($W58,1))*10000+(ROW()-4))</f>
        <v>10000053</v>
      </c>
    </row>
    <row r="59" customFormat="false" ht="15" hidden="false" customHeight="true" outlineLevel="0" collapsed="false">
      <c r="A59" s="6"/>
      <c r="B59" s="6"/>
      <c r="C59" s="6"/>
      <c r="D59" s="6"/>
      <c r="E59" s="6"/>
      <c r="F59" s="7"/>
      <c r="G59" s="6"/>
      <c r="H59" s="6"/>
      <c r="I59" s="7"/>
      <c r="J59" s="6"/>
      <c r="K59" s="7"/>
      <c r="L59" s="6"/>
      <c r="M59" s="6"/>
      <c r="N59" s="7"/>
      <c r="O59" s="6"/>
      <c r="P59" s="6"/>
      <c r="Q59" s="7"/>
      <c r="R59" s="6" t="str">
        <f aca="false">IF(AND($A59="",$B59=""),"",IF(Q59="Complete","Onboarded",IF(OR(M59="Member",M59="Ambassador"),"Sponsored",IF(K59&lt;&gt;"","Follow-Up",IF(I59&lt;&gt;"","Presented",IF(F59&lt;&gt;"","Contacted","New Lead"))))))</f>
        <v/>
      </c>
      <c r="S59" s="6"/>
      <c r="T59" s="6" t="str">
        <f aca="true">IF(MAX(F59,I59,K59)=0,"",TODAY()-MAX(F59,I59,K59))</f>
        <v/>
      </c>
      <c r="U59" s="6"/>
      <c r="V59" s="6"/>
      <c r="W59" s="6" t="str">
        <f aca="false">IF(AND($A59="",$B59=""),"",IF(M59="Ambassador","1 - Ambassador",IF(M59="Member","2 - Member",IF(J59="Completed","3 - Presented",IF(H59&lt;&gt;"","4 - Shared",IF(F59&lt;&gt;"","5 - Contacted","6 - No Activity"))))))</f>
        <v/>
      </c>
      <c r="X59" s="6" t="n">
        <f aca="false">IF(AND($A59="",$B59=""),9999999+(ROW()-4),VALUE(LEFT($W59,1))*10000+(ROW()-4))</f>
        <v>10000054</v>
      </c>
    </row>
    <row r="60" customFormat="false" ht="15" hidden="false" customHeight="true" outlineLevel="0" collapsed="false">
      <c r="A60" s="6"/>
      <c r="B60" s="6"/>
      <c r="C60" s="6"/>
      <c r="D60" s="6"/>
      <c r="E60" s="6"/>
      <c r="F60" s="7"/>
      <c r="G60" s="6"/>
      <c r="H60" s="6"/>
      <c r="I60" s="7"/>
      <c r="J60" s="6"/>
      <c r="K60" s="7"/>
      <c r="L60" s="6"/>
      <c r="M60" s="6"/>
      <c r="N60" s="7"/>
      <c r="O60" s="6"/>
      <c r="P60" s="6"/>
      <c r="Q60" s="7"/>
      <c r="R60" s="6" t="str">
        <f aca="false">IF(AND($A60="",$B60=""),"",IF(Q60="Complete","Onboarded",IF(OR(M60="Member",M60="Ambassador"),"Sponsored",IF(K60&lt;&gt;"","Follow-Up",IF(I60&lt;&gt;"","Presented",IF(F60&lt;&gt;"","Contacted","New Lead"))))))</f>
        <v/>
      </c>
      <c r="S60" s="6"/>
      <c r="T60" s="6" t="str">
        <f aca="true">IF(MAX(F60,I60,K60)=0,"",TODAY()-MAX(F60,I60,K60))</f>
        <v/>
      </c>
      <c r="U60" s="6"/>
      <c r="V60" s="6"/>
      <c r="W60" s="6" t="str">
        <f aca="false">IF(AND($A60="",$B60=""),"",IF(M60="Ambassador","1 - Ambassador",IF(M60="Member","2 - Member",IF(J60="Completed","3 - Presented",IF(H60&lt;&gt;"","4 - Shared",IF(F60&lt;&gt;"","5 - Contacted","6 - No Activity"))))))</f>
        <v/>
      </c>
      <c r="X60" s="6" t="n">
        <f aca="false">IF(AND($A60="",$B60=""),9999999+(ROW()-4),VALUE(LEFT($W60,1))*10000+(ROW()-4))</f>
        <v>10000055</v>
      </c>
    </row>
    <row r="61" customFormat="false" ht="15" hidden="false" customHeight="true" outlineLevel="0" collapsed="false">
      <c r="A61" s="6"/>
      <c r="B61" s="6"/>
      <c r="C61" s="6"/>
      <c r="D61" s="6"/>
      <c r="E61" s="6"/>
      <c r="F61" s="7"/>
      <c r="G61" s="6"/>
      <c r="H61" s="6"/>
      <c r="I61" s="7"/>
      <c r="J61" s="6"/>
      <c r="K61" s="7"/>
      <c r="L61" s="6"/>
      <c r="M61" s="6"/>
      <c r="N61" s="7"/>
      <c r="O61" s="6"/>
      <c r="P61" s="6"/>
      <c r="Q61" s="7"/>
      <c r="R61" s="6" t="str">
        <f aca="false">IF(AND($A61="",$B61=""),"",IF(Q61="Complete","Onboarded",IF(OR(M61="Member",M61="Ambassador"),"Sponsored",IF(K61&lt;&gt;"","Follow-Up",IF(I61&lt;&gt;"","Presented",IF(F61&lt;&gt;"","Contacted","New Lead"))))))</f>
        <v/>
      </c>
      <c r="S61" s="6"/>
      <c r="T61" s="6" t="str">
        <f aca="true">IF(MAX(F61,I61,K61)=0,"",TODAY()-MAX(F61,I61,K61))</f>
        <v/>
      </c>
      <c r="U61" s="6"/>
      <c r="V61" s="6"/>
      <c r="W61" s="6" t="str">
        <f aca="false">IF(AND($A61="",$B61=""),"",IF(M61="Ambassador","1 - Ambassador",IF(M61="Member","2 - Member",IF(J61="Completed","3 - Presented",IF(H61&lt;&gt;"","4 - Shared",IF(F61&lt;&gt;"","5 - Contacted","6 - No Activity"))))))</f>
        <v/>
      </c>
      <c r="X61" s="6" t="n">
        <f aca="false">IF(AND($A61="",$B61=""),9999999+(ROW()-4),VALUE(LEFT($W61,1))*10000+(ROW()-4))</f>
        <v>10000056</v>
      </c>
    </row>
    <row r="62" customFormat="false" ht="15" hidden="false" customHeight="true" outlineLevel="0" collapsed="false">
      <c r="A62" s="6"/>
      <c r="B62" s="6"/>
      <c r="C62" s="6"/>
      <c r="D62" s="6"/>
      <c r="E62" s="6"/>
      <c r="F62" s="7"/>
      <c r="G62" s="6"/>
      <c r="H62" s="6"/>
      <c r="I62" s="7"/>
      <c r="J62" s="6"/>
      <c r="K62" s="7"/>
      <c r="L62" s="6"/>
      <c r="M62" s="6"/>
      <c r="N62" s="7"/>
      <c r="O62" s="6"/>
      <c r="P62" s="6"/>
      <c r="Q62" s="7"/>
      <c r="R62" s="6" t="str">
        <f aca="false">IF(AND($A62="",$B62=""),"",IF(Q62="Complete","Onboarded",IF(OR(M62="Member",M62="Ambassador"),"Sponsored",IF(K62&lt;&gt;"","Follow-Up",IF(I62&lt;&gt;"","Presented",IF(F62&lt;&gt;"","Contacted","New Lead"))))))</f>
        <v/>
      </c>
      <c r="S62" s="6"/>
      <c r="T62" s="6" t="str">
        <f aca="true">IF(MAX(F62,I62,K62)=0,"",TODAY()-MAX(F62,I62,K62))</f>
        <v/>
      </c>
      <c r="U62" s="6"/>
      <c r="V62" s="6"/>
      <c r="W62" s="6" t="str">
        <f aca="false">IF(AND($A62="",$B62=""),"",IF(M62="Ambassador","1 - Ambassador",IF(M62="Member","2 - Member",IF(J62="Completed","3 - Presented",IF(H62&lt;&gt;"","4 - Shared",IF(F62&lt;&gt;"","5 - Contacted","6 - No Activity"))))))</f>
        <v/>
      </c>
      <c r="X62" s="6" t="n">
        <f aca="false">IF(AND($A62="",$B62=""),9999999+(ROW()-4),VALUE(LEFT($W62,1))*10000+(ROW()-4))</f>
        <v>10000057</v>
      </c>
    </row>
    <row r="63" customFormat="false" ht="15" hidden="false" customHeight="true" outlineLevel="0" collapsed="false">
      <c r="A63" s="6"/>
      <c r="B63" s="6"/>
      <c r="C63" s="6"/>
      <c r="D63" s="6"/>
      <c r="E63" s="6"/>
      <c r="F63" s="7"/>
      <c r="G63" s="6"/>
      <c r="H63" s="6"/>
      <c r="I63" s="7"/>
      <c r="J63" s="6"/>
      <c r="K63" s="7"/>
      <c r="L63" s="6"/>
      <c r="M63" s="6"/>
      <c r="N63" s="7"/>
      <c r="O63" s="6"/>
      <c r="P63" s="6"/>
      <c r="Q63" s="7"/>
      <c r="R63" s="6" t="str">
        <f aca="false">IF(AND($A63="",$B63=""),"",IF(Q63="Complete","Onboarded",IF(OR(M63="Member",M63="Ambassador"),"Sponsored",IF(K63&lt;&gt;"","Follow-Up",IF(I63&lt;&gt;"","Presented",IF(F63&lt;&gt;"","Contacted","New Lead"))))))</f>
        <v/>
      </c>
      <c r="S63" s="6"/>
      <c r="T63" s="6" t="str">
        <f aca="true">IF(MAX(F63,I63,K63)=0,"",TODAY()-MAX(F63,I63,K63))</f>
        <v/>
      </c>
      <c r="U63" s="6"/>
      <c r="V63" s="6"/>
      <c r="W63" s="6" t="str">
        <f aca="false">IF(AND($A63="",$B63=""),"",IF(M63="Ambassador","1 - Ambassador",IF(M63="Member","2 - Member",IF(J63="Completed","3 - Presented",IF(H63&lt;&gt;"","4 - Shared",IF(F63&lt;&gt;"","5 - Contacted","6 - No Activity"))))))</f>
        <v/>
      </c>
      <c r="X63" s="6" t="n">
        <f aca="false">IF(AND($A63="",$B63=""),9999999+(ROW()-4),VALUE(LEFT($W63,1))*10000+(ROW()-4))</f>
        <v>10000058</v>
      </c>
    </row>
    <row r="64" customFormat="false" ht="15" hidden="false" customHeight="true" outlineLevel="0" collapsed="false">
      <c r="A64" s="6"/>
      <c r="B64" s="6"/>
      <c r="C64" s="6"/>
      <c r="D64" s="6"/>
      <c r="E64" s="6"/>
      <c r="F64" s="7"/>
      <c r="G64" s="6"/>
      <c r="H64" s="6"/>
      <c r="I64" s="7"/>
      <c r="J64" s="6"/>
      <c r="K64" s="7"/>
      <c r="L64" s="6"/>
      <c r="M64" s="6"/>
      <c r="N64" s="7"/>
      <c r="O64" s="6"/>
      <c r="P64" s="6"/>
      <c r="Q64" s="7"/>
      <c r="R64" s="6" t="str">
        <f aca="false">IF(AND($A64="",$B64=""),"",IF(Q64="Complete","Onboarded",IF(OR(M64="Member",M64="Ambassador"),"Sponsored",IF(K64&lt;&gt;"","Follow-Up",IF(I64&lt;&gt;"","Presented",IF(F64&lt;&gt;"","Contacted","New Lead"))))))</f>
        <v/>
      </c>
      <c r="S64" s="6"/>
      <c r="T64" s="6" t="str">
        <f aca="true">IF(MAX(F64,I64,K64)=0,"",TODAY()-MAX(F64,I64,K64))</f>
        <v/>
      </c>
      <c r="U64" s="6"/>
      <c r="V64" s="6"/>
      <c r="W64" s="6" t="str">
        <f aca="false">IF(AND($A64="",$B64=""),"",IF(M64="Ambassador","1 - Ambassador",IF(M64="Member","2 - Member",IF(J64="Completed","3 - Presented",IF(H64&lt;&gt;"","4 - Shared",IF(F64&lt;&gt;"","5 - Contacted","6 - No Activity"))))))</f>
        <v/>
      </c>
      <c r="X64" s="6" t="n">
        <f aca="false">IF(AND($A64="",$B64=""),9999999+(ROW()-4),VALUE(LEFT($W64,1))*10000+(ROW()-4))</f>
        <v>10000059</v>
      </c>
    </row>
    <row r="65" customFormat="false" ht="15" hidden="false" customHeight="true" outlineLevel="0" collapsed="false">
      <c r="A65" s="6"/>
      <c r="B65" s="6"/>
      <c r="C65" s="6"/>
      <c r="D65" s="6"/>
      <c r="E65" s="6"/>
      <c r="F65" s="7"/>
      <c r="G65" s="6"/>
      <c r="H65" s="6"/>
      <c r="I65" s="7"/>
      <c r="J65" s="6"/>
      <c r="K65" s="7"/>
      <c r="L65" s="6"/>
      <c r="M65" s="6"/>
      <c r="N65" s="7"/>
      <c r="O65" s="6"/>
      <c r="P65" s="6"/>
      <c r="Q65" s="7"/>
      <c r="R65" s="6" t="str">
        <f aca="false">IF(AND($A65="",$B65=""),"",IF(Q65="Complete","Onboarded",IF(OR(M65="Member",M65="Ambassador"),"Sponsored",IF(K65&lt;&gt;"","Follow-Up",IF(I65&lt;&gt;"","Presented",IF(F65&lt;&gt;"","Contacted","New Lead"))))))</f>
        <v/>
      </c>
      <c r="S65" s="6"/>
      <c r="T65" s="6" t="str">
        <f aca="true">IF(MAX(F65,I65,K65)=0,"",TODAY()-MAX(F65,I65,K65))</f>
        <v/>
      </c>
      <c r="U65" s="6"/>
      <c r="V65" s="6"/>
      <c r="W65" s="6" t="str">
        <f aca="false">IF(AND($A65="",$B65=""),"",IF(M65="Ambassador","1 - Ambassador",IF(M65="Member","2 - Member",IF(J65="Completed","3 - Presented",IF(H65&lt;&gt;"","4 - Shared",IF(F65&lt;&gt;"","5 - Contacted","6 - No Activity"))))))</f>
        <v/>
      </c>
      <c r="X65" s="6" t="n">
        <f aca="false">IF(AND($A65="",$B65=""),9999999+(ROW()-4),VALUE(LEFT($W65,1))*10000+(ROW()-4))</f>
        <v>10000060</v>
      </c>
    </row>
    <row r="66" customFormat="false" ht="15" hidden="false" customHeight="true" outlineLevel="0" collapsed="false">
      <c r="A66" s="6"/>
      <c r="B66" s="6"/>
      <c r="C66" s="6"/>
      <c r="D66" s="6"/>
      <c r="E66" s="6"/>
      <c r="F66" s="7"/>
      <c r="G66" s="6"/>
      <c r="H66" s="6"/>
      <c r="I66" s="7"/>
      <c r="J66" s="6"/>
      <c r="K66" s="7"/>
      <c r="L66" s="6"/>
      <c r="M66" s="6"/>
      <c r="N66" s="7"/>
      <c r="O66" s="6"/>
      <c r="P66" s="6"/>
      <c r="Q66" s="7"/>
      <c r="R66" s="6" t="str">
        <f aca="false">IF(AND($A66="",$B66=""),"",IF(Q66="Complete","Onboarded",IF(OR(M66="Member",M66="Ambassador"),"Sponsored",IF(K66&lt;&gt;"","Follow-Up",IF(I66&lt;&gt;"","Presented",IF(F66&lt;&gt;"","Contacted","New Lead"))))))</f>
        <v/>
      </c>
      <c r="S66" s="6"/>
      <c r="T66" s="6" t="str">
        <f aca="true">IF(MAX(F66,I66,K66)=0,"",TODAY()-MAX(F66,I66,K66))</f>
        <v/>
      </c>
      <c r="U66" s="6"/>
      <c r="V66" s="6"/>
      <c r="W66" s="6" t="str">
        <f aca="false">IF(AND($A66="",$B66=""),"",IF(M66="Ambassador","1 - Ambassador",IF(M66="Member","2 - Member",IF(J66="Completed","3 - Presented",IF(H66&lt;&gt;"","4 - Shared",IF(F66&lt;&gt;"","5 - Contacted","6 - No Activity"))))))</f>
        <v/>
      </c>
      <c r="X66" s="6" t="n">
        <f aca="false">IF(AND($A66="",$B66=""),9999999+(ROW()-4),VALUE(LEFT($W66,1))*10000+(ROW()-4))</f>
        <v>10000061</v>
      </c>
    </row>
    <row r="67" customFormat="false" ht="15" hidden="false" customHeight="true" outlineLevel="0" collapsed="false">
      <c r="A67" s="6"/>
      <c r="B67" s="6"/>
      <c r="C67" s="6"/>
      <c r="D67" s="6"/>
      <c r="E67" s="6"/>
      <c r="F67" s="7"/>
      <c r="G67" s="6"/>
      <c r="H67" s="6"/>
      <c r="I67" s="7"/>
      <c r="J67" s="6"/>
      <c r="K67" s="7"/>
      <c r="L67" s="6"/>
      <c r="M67" s="6"/>
      <c r="N67" s="7"/>
      <c r="O67" s="6"/>
      <c r="P67" s="6"/>
      <c r="Q67" s="7"/>
      <c r="R67" s="6" t="str">
        <f aca="false">IF(AND($A67="",$B67=""),"",IF(Q67="Complete","Onboarded",IF(OR(M67="Member",M67="Ambassador"),"Sponsored",IF(K67&lt;&gt;"","Follow-Up",IF(I67&lt;&gt;"","Presented",IF(F67&lt;&gt;"","Contacted","New Lead"))))))</f>
        <v/>
      </c>
      <c r="S67" s="6"/>
      <c r="T67" s="6" t="str">
        <f aca="true">IF(MAX(F67,I67,K67)=0,"",TODAY()-MAX(F67,I67,K67))</f>
        <v/>
      </c>
      <c r="U67" s="6"/>
      <c r="V67" s="6"/>
      <c r="W67" s="6" t="str">
        <f aca="false">IF(AND($A67="",$B67=""),"",IF(M67="Ambassador","1 - Ambassador",IF(M67="Member","2 - Member",IF(J67="Completed","3 - Presented",IF(H67&lt;&gt;"","4 - Shared",IF(F67&lt;&gt;"","5 - Contacted","6 - No Activity"))))))</f>
        <v/>
      </c>
      <c r="X67" s="6" t="n">
        <f aca="false">IF(AND($A67="",$B67=""),9999999+(ROW()-4),VALUE(LEFT($W67,1))*10000+(ROW()-4))</f>
        <v>10000062</v>
      </c>
    </row>
    <row r="68" customFormat="false" ht="15" hidden="false" customHeight="true" outlineLevel="0" collapsed="false">
      <c r="A68" s="6"/>
      <c r="B68" s="6"/>
      <c r="C68" s="6"/>
      <c r="D68" s="6"/>
      <c r="E68" s="6"/>
      <c r="F68" s="7"/>
      <c r="G68" s="6"/>
      <c r="H68" s="6"/>
      <c r="I68" s="7"/>
      <c r="J68" s="6"/>
      <c r="K68" s="7"/>
      <c r="L68" s="6"/>
      <c r="M68" s="6"/>
      <c r="N68" s="7"/>
      <c r="O68" s="6"/>
      <c r="P68" s="6"/>
      <c r="Q68" s="7"/>
      <c r="R68" s="6" t="str">
        <f aca="false">IF(AND($A68="",$B68=""),"",IF(Q68="Complete","Onboarded",IF(OR(M68="Member",M68="Ambassador"),"Sponsored",IF(K68&lt;&gt;"","Follow-Up",IF(I68&lt;&gt;"","Presented",IF(F68&lt;&gt;"","Contacted","New Lead"))))))</f>
        <v/>
      </c>
      <c r="S68" s="6"/>
      <c r="T68" s="6" t="str">
        <f aca="true">IF(MAX(F68,I68,K68)=0,"",TODAY()-MAX(F68,I68,K68))</f>
        <v/>
      </c>
      <c r="U68" s="6"/>
      <c r="V68" s="6"/>
      <c r="W68" s="6" t="str">
        <f aca="false">IF(AND($A68="",$B68=""),"",IF(M68="Ambassador","1 - Ambassador",IF(M68="Member","2 - Member",IF(J68="Completed","3 - Presented",IF(H68&lt;&gt;"","4 - Shared",IF(F68&lt;&gt;"","5 - Contacted","6 - No Activity"))))))</f>
        <v/>
      </c>
      <c r="X68" s="6" t="n">
        <f aca="false">IF(AND($A68="",$B68=""),9999999+(ROW()-4),VALUE(LEFT($W68,1))*10000+(ROW()-4))</f>
        <v>10000063</v>
      </c>
    </row>
    <row r="69" customFormat="false" ht="15" hidden="false" customHeight="true" outlineLevel="0" collapsed="false">
      <c r="A69" s="6"/>
      <c r="B69" s="6"/>
      <c r="C69" s="6"/>
      <c r="D69" s="6"/>
      <c r="E69" s="6"/>
      <c r="F69" s="7"/>
      <c r="G69" s="6"/>
      <c r="H69" s="6"/>
      <c r="I69" s="7"/>
      <c r="J69" s="6"/>
      <c r="K69" s="7"/>
      <c r="L69" s="6"/>
      <c r="M69" s="6"/>
      <c r="N69" s="7"/>
      <c r="O69" s="6"/>
      <c r="P69" s="6"/>
      <c r="Q69" s="7"/>
      <c r="R69" s="6" t="str">
        <f aca="false">IF(AND($A69="",$B69=""),"",IF(Q69="Complete","Onboarded",IF(OR(M69="Member",M69="Ambassador"),"Sponsored",IF(K69&lt;&gt;"","Follow-Up",IF(I69&lt;&gt;"","Presented",IF(F69&lt;&gt;"","Contacted","New Lead"))))))</f>
        <v/>
      </c>
      <c r="S69" s="6"/>
      <c r="T69" s="6" t="str">
        <f aca="true">IF(MAX(F69,I69,K69)=0,"",TODAY()-MAX(F69,I69,K69))</f>
        <v/>
      </c>
      <c r="U69" s="6"/>
      <c r="V69" s="6"/>
      <c r="W69" s="6" t="str">
        <f aca="false">IF(AND($A69="",$B69=""),"",IF(M69="Ambassador","1 - Ambassador",IF(M69="Member","2 - Member",IF(J69="Completed","3 - Presented",IF(H69&lt;&gt;"","4 - Shared",IF(F69&lt;&gt;"","5 - Contacted","6 - No Activity"))))))</f>
        <v/>
      </c>
      <c r="X69" s="6" t="n">
        <f aca="false">IF(AND($A69="",$B69=""),9999999+(ROW()-4),VALUE(LEFT($W69,1))*10000+(ROW()-4))</f>
        <v>10000064</v>
      </c>
    </row>
    <row r="70" customFormat="false" ht="15" hidden="false" customHeight="true" outlineLevel="0" collapsed="false">
      <c r="A70" s="6"/>
      <c r="B70" s="6"/>
      <c r="C70" s="6"/>
      <c r="D70" s="6"/>
      <c r="E70" s="6"/>
      <c r="F70" s="7"/>
      <c r="G70" s="6"/>
      <c r="H70" s="6"/>
      <c r="I70" s="7"/>
      <c r="J70" s="6"/>
      <c r="K70" s="7"/>
      <c r="L70" s="6"/>
      <c r="M70" s="6"/>
      <c r="N70" s="7"/>
      <c r="O70" s="6"/>
      <c r="P70" s="6"/>
      <c r="Q70" s="7"/>
      <c r="R70" s="6" t="str">
        <f aca="false">IF(AND($A70="",$B70=""),"",IF(Q70="Complete","Onboarded",IF(OR(M70="Member",M70="Ambassador"),"Sponsored",IF(K70&lt;&gt;"","Follow-Up",IF(I70&lt;&gt;"","Presented",IF(F70&lt;&gt;"","Contacted","New Lead"))))))</f>
        <v/>
      </c>
      <c r="S70" s="6"/>
      <c r="T70" s="6" t="str">
        <f aca="true">IF(MAX(F70,I70,K70)=0,"",TODAY()-MAX(F70,I70,K70))</f>
        <v/>
      </c>
      <c r="U70" s="6"/>
      <c r="V70" s="6"/>
      <c r="W70" s="6" t="str">
        <f aca="false">IF(AND($A70="",$B70=""),"",IF(M70="Ambassador","1 - Ambassador",IF(M70="Member","2 - Member",IF(J70="Completed","3 - Presented",IF(H70&lt;&gt;"","4 - Shared",IF(F70&lt;&gt;"","5 - Contacted","6 - No Activity"))))))</f>
        <v/>
      </c>
      <c r="X70" s="6" t="n">
        <f aca="false">IF(AND($A70="",$B70=""),9999999+(ROW()-4),VALUE(LEFT($W70,1))*10000+(ROW()-4))</f>
        <v>10000065</v>
      </c>
    </row>
    <row r="71" customFormat="false" ht="15" hidden="false" customHeight="true" outlineLevel="0" collapsed="false">
      <c r="A71" s="6"/>
      <c r="B71" s="6"/>
      <c r="C71" s="6"/>
      <c r="D71" s="6"/>
      <c r="E71" s="6"/>
      <c r="F71" s="7"/>
      <c r="G71" s="6"/>
      <c r="H71" s="6"/>
      <c r="I71" s="7"/>
      <c r="J71" s="6"/>
      <c r="K71" s="7"/>
      <c r="L71" s="6"/>
      <c r="M71" s="6"/>
      <c r="N71" s="7"/>
      <c r="O71" s="6"/>
      <c r="P71" s="6"/>
      <c r="Q71" s="7"/>
      <c r="R71" s="6" t="str">
        <f aca="false">IF(AND($A71="",$B71=""),"",IF(Q71="Complete","Onboarded",IF(OR(M71="Member",M71="Ambassador"),"Sponsored",IF(K71&lt;&gt;"","Follow-Up",IF(I71&lt;&gt;"","Presented",IF(F71&lt;&gt;"","Contacted","New Lead"))))))</f>
        <v/>
      </c>
      <c r="S71" s="6"/>
      <c r="T71" s="6" t="str">
        <f aca="true">IF(MAX(F71,I71,K71)=0,"",TODAY()-MAX(F71,I71,K71))</f>
        <v/>
      </c>
      <c r="U71" s="6"/>
      <c r="V71" s="6"/>
      <c r="W71" s="6" t="str">
        <f aca="false">IF(AND($A71="",$B71=""),"",IF(M71="Ambassador","1 - Ambassador",IF(M71="Member","2 - Member",IF(J71="Completed","3 - Presented",IF(H71&lt;&gt;"","4 - Shared",IF(F71&lt;&gt;"","5 - Contacted","6 - No Activity"))))))</f>
        <v/>
      </c>
      <c r="X71" s="6" t="n">
        <f aca="false">IF(AND($A71="",$B71=""),9999999+(ROW()-4),VALUE(LEFT($W71,1))*10000+(ROW()-4))</f>
        <v>10000066</v>
      </c>
    </row>
    <row r="72" customFormat="false" ht="15" hidden="false" customHeight="true" outlineLevel="0" collapsed="false">
      <c r="A72" s="6"/>
      <c r="B72" s="6"/>
      <c r="C72" s="6"/>
      <c r="D72" s="6"/>
      <c r="E72" s="6"/>
      <c r="F72" s="7"/>
      <c r="G72" s="6"/>
      <c r="H72" s="6"/>
      <c r="I72" s="7"/>
      <c r="J72" s="6"/>
      <c r="K72" s="7"/>
      <c r="L72" s="6"/>
      <c r="M72" s="6"/>
      <c r="N72" s="7"/>
      <c r="O72" s="6"/>
      <c r="P72" s="6"/>
      <c r="Q72" s="7"/>
      <c r="R72" s="6" t="str">
        <f aca="false">IF(AND($A72="",$B72=""),"",IF(Q72="Complete","Onboarded",IF(OR(M72="Member",M72="Ambassador"),"Sponsored",IF(K72&lt;&gt;"","Follow-Up",IF(I72&lt;&gt;"","Presented",IF(F72&lt;&gt;"","Contacted","New Lead"))))))</f>
        <v/>
      </c>
      <c r="S72" s="6"/>
      <c r="T72" s="6" t="str">
        <f aca="true">IF(MAX(F72,I72,K72)=0,"",TODAY()-MAX(F72,I72,K72))</f>
        <v/>
      </c>
      <c r="U72" s="6"/>
      <c r="V72" s="6"/>
      <c r="W72" s="6" t="str">
        <f aca="false">IF(AND($A72="",$B72=""),"",IF(M72="Ambassador","1 - Ambassador",IF(M72="Member","2 - Member",IF(J72="Completed","3 - Presented",IF(H72&lt;&gt;"","4 - Shared",IF(F72&lt;&gt;"","5 - Contacted","6 - No Activity"))))))</f>
        <v/>
      </c>
      <c r="X72" s="6" t="n">
        <f aca="false">IF(AND($A72="",$B72=""),9999999+(ROW()-4),VALUE(LEFT($W72,1))*10000+(ROW()-4))</f>
        <v>10000067</v>
      </c>
    </row>
    <row r="73" customFormat="false" ht="15" hidden="false" customHeight="true" outlineLevel="0" collapsed="false">
      <c r="A73" s="6"/>
      <c r="B73" s="6"/>
      <c r="C73" s="6"/>
      <c r="D73" s="6"/>
      <c r="E73" s="6"/>
      <c r="F73" s="7"/>
      <c r="G73" s="6"/>
      <c r="H73" s="6"/>
      <c r="I73" s="7"/>
      <c r="J73" s="6"/>
      <c r="K73" s="7"/>
      <c r="L73" s="6"/>
      <c r="M73" s="6"/>
      <c r="N73" s="7"/>
      <c r="O73" s="6"/>
      <c r="P73" s="6"/>
      <c r="Q73" s="7"/>
      <c r="R73" s="6" t="str">
        <f aca="false">IF(AND($A73="",$B73=""),"",IF(Q73="Complete","Onboarded",IF(OR(M73="Member",M73="Ambassador"),"Sponsored",IF(K73&lt;&gt;"","Follow-Up",IF(I73&lt;&gt;"","Presented",IF(F73&lt;&gt;"","Contacted","New Lead"))))))</f>
        <v/>
      </c>
      <c r="S73" s="6"/>
      <c r="T73" s="6" t="str">
        <f aca="true">IF(MAX(F73,I73,K73)=0,"",TODAY()-MAX(F73,I73,K73))</f>
        <v/>
      </c>
      <c r="U73" s="6"/>
      <c r="V73" s="6"/>
      <c r="W73" s="6" t="str">
        <f aca="false">IF(AND($A73="",$B73=""),"",IF(M73="Ambassador","1 - Ambassador",IF(M73="Member","2 - Member",IF(J73="Completed","3 - Presented",IF(H73&lt;&gt;"","4 - Shared",IF(F73&lt;&gt;"","5 - Contacted","6 - No Activity"))))))</f>
        <v/>
      </c>
      <c r="X73" s="6" t="n">
        <f aca="false">IF(AND($A73="",$B73=""),9999999+(ROW()-4),VALUE(LEFT($W73,1))*10000+(ROW()-4))</f>
        <v>10000068</v>
      </c>
    </row>
    <row r="74" customFormat="false" ht="15" hidden="false" customHeight="true" outlineLevel="0" collapsed="false">
      <c r="A74" s="6"/>
      <c r="B74" s="6"/>
      <c r="C74" s="6"/>
      <c r="D74" s="6"/>
      <c r="E74" s="6"/>
      <c r="F74" s="7"/>
      <c r="G74" s="6"/>
      <c r="H74" s="6"/>
      <c r="I74" s="7"/>
      <c r="J74" s="6"/>
      <c r="K74" s="7"/>
      <c r="L74" s="6"/>
      <c r="M74" s="6"/>
      <c r="N74" s="7"/>
      <c r="O74" s="6"/>
      <c r="P74" s="6"/>
      <c r="Q74" s="7"/>
      <c r="R74" s="6" t="str">
        <f aca="false">IF(AND($A74="",$B74=""),"",IF(Q74="Complete","Onboarded",IF(OR(M74="Member",M74="Ambassador"),"Sponsored",IF(K74&lt;&gt;"","Follow-Up",IF(I74&lt;&gt;"","Presented",IF(F74&lt;&gt;"","Contacted","New Lead"))))))</f>
        <v/>
      </c>
      <c r="S74" s="6"/>
      <c r="T74" s="6" t="str">
        <f aca="true">IF(MAX(F74,I74,K74)=0,"",TODAY()-MAX(F74,I74,K74))</f>
        <v/>
      </c>
      <c r="U74" s="6"/>
      <c r="V74" s="6"/>
      <c r="W74" s="6" t="str">
        <f aca="false">IF(AND($A74="",$B74=""),"",IF(M74="Ambassador","1 - Ambassador",IF(M74="Member","2 - Member",IF(J74="Completed","3 - Presented",IF(H74&lt;&gt;"","4 - Shared",IF(F74&lt;&gt;"","5 - Contacted","6 - No Activity"))))))</f>
        <v/>
      </c>
      <c r="X74" s="6" t="n">
        <f aca="false">IF(AND($A74="",$B74=""),9999999+(ROW()-4),VALUE(LEFT($W74,1))*10000+(ROW()-4))</f>
        <v>10000069</v>
      </c>
    </row>
    <row r="75" customFormat="false" ht="15" hidden="false" customHeight="true" outlineLevel="0" collapsed="false">
      <c r="A75" s="6"/>
      <c r="B75" s="6"/>
      <c r="C75" s="6"/>
      <c r="D75" s="6"/>
      <c r="E75" s="6"/>
      <c r="F75" s="7"/>
      <c r="G75" s="6"/>
      <c r="H75" s="6"/>
      <c r="I75" s="7"/>
      <c r="J75" s="6"/>
      <c r="K75" s="7"/>
      <c r="L75" s="6"/>
      <c r="M75" s="6"/>
      <c r="N75" s="7"/>
      <c r="O75" s="6"/>
      <c r="P75" s="6"/>
      <c r="Q75" s="7"/>
      <c r="R75" s="6" t="str">
        <f aca="false">IF(AND($A75="",$B75=""),"",IF(Q75="Complete","Onboarded",IF(OR(M75="Member",M75="Ambassador"),"Sponsored",IF(K75&lt;&gt;"","Follow-Up",IF(I75&lt;&gt;"","Presented",IF(F75&lt;&gt;"","Contacted","New Lead"))))))</f>
        <v/>
      </c>
      <c r="S75" s="6"/>
      <c r="T75" s="6" t="str">
        <f aca="true">IF(MAX(F75,I75,K75)=0,"",TODAY()-MAX(F75,I75,K75))</f>
        <v/>
      </c>
      <c r="U75" s="6"/>
      <c r="V75" s="6"/>
      <c r="W75" s="6" t="str">
        <f aca="false">IF(AND($A75="",$B75=""),"",IF(M75="Ambassador","1 - Ambassador",IF(M75="Member","2 - Member",IF(J75="Completed","3 - Presented",IF(H75&lt;&gt;"","4 - Shared",IF(F75&lt;&gt;"","5 - Contacted","6 - No Activity"))))))</f>
        <v/>
      </c>
      <c r="X75" s="6" t="n">
        <f aca="false">IF(AND($A75="",$B75=""),9999999+(ROW()-4),VALUE(LEFT($W75,1))*10000+(ROW()-4))</f>
        <v>10000070</v>
      </c>
    </row>
    <row r="76" customFormat="false" ht="15" hidden="false" customHeight="true" outlineLevel="0" collapsed="false">
      <c r="A76" s="6"/>
      <c r="B76" s="6"/>
      <c r="C76" s="6"/>
      <c r="D76" s="6"/>
      <c r="E76" s="6"/>
      <c r="F76" s="7"/>
      <c r="G76" s="6"/>
      <c r="H76" s="6"/>
      <c r="I76" s="7"/>
      <c r="J76" s="6"/>
      <c r="K76" s="7"/>
      <c r="L76" s="6"/>
      <c r="M76" s="6"/>
      <c r="N76" s="7"/>
      <c r="O76" s="6"/>
      <c r="P76" s="6"/>
      <c r="Q76" s="7"/>
      <c r="R76" s="6" t="str">
        <f aca="false">IF(AND($A76="",$B76=""),"",IF(Q76="Complete","Onboarded",IF(OR(M76="Member",M76="Ambassador"),"Sponsored",IF(K76&lt;&gt;"","Follow-Up",IF(I76&lt;&gt;"","Presented",IF(F76&lt;&gt;"","Contacted","New Lead"))))))</f>
        <v/>
      </c>
      <c r="S76" s="6"/>
      <c r="T76" s="6" t="str">
        <f aca="true">IF(MAX(F76,I76,K76)=0,"",TODAY()-MAX(F76,I76,K76))</f>
        <v/>
      </c>
      <c r="U76" s="6"/>
      <c r="V76" s="6"/>
      <c r="W76" s="6" t="str">
        <f aca="false">IF(AND($A76="",$B76=""),"",IF(M76="Ambassador","1 - Ambassador",IF(M76="Member","2 - Member",IF(J76="Completed","3 - Presented",IF(H76&lt;&gt;"","4 - Shared",IF(F76&lt;&gt;"","5 - Contacted","6 - No Activity"))))))</f>
        <v/>
      </c>
      <c r="X76" s="6" t="n">
        <f aca="false">IF(AND($A76="",$B76=""),9999999+(ROW()-4),VALUE(LEFT($W76,1))*10000+(ROW()-4))</f>
        <v>10000071</v>
      </c>
    </row>
    <row r="77" customFormat="false" ht="15" hidden="false" customHeight="true" outlineLevel="0" collapsed="false">
      <c r="A77" s="6"/>
      <c r="B77" s="6"/>
      <c r="C77" s="6"/>
      <c r="D77" s="6"/>
      <c r="E77" s="6"/>
      <c r="F77" s="7"/>
      <c r="G77" s="6"/>
      <c r="H77" s="6"/>
      <c r="I77" s="7"/>
      <c r="J77" s="6"/>
      <c r="K77" s="7"/>
      <c r="L77" s="6"/>
      <c r="M77" s="6"/>
      <c r="N77" s="7"/>
      <c r="O77" s="6"/>
      <c r="P77" s="6"/>
      <c r="Q77" s="7"/>
      <c r="R77" s="6" t="str">
        <f aca="false">IF(AND($A77="",$B77=""),"",IF(Q77="Complete","Onboarded",IF(OR(M77="Member",M77="Ambassador"),"Sponsored",IF(K77&lt;&gt;"","Follow-Up",IF(I77&lt;&gt;"","Presented",IF(F77&lt;&gt;"","Contacted","New Lead"))))))</f>
        <v/>
      </c>
      <c r="S77" s="6"/>
      <c r="T77" s="6" t="str">
        <f aca="true">IF(MAX(F77,I77,K77)=0,"",TODAY()-MAX(F77,I77,K77))</f>
        <v/>
      </c>
      <c r="U77" s="6"/>
      <c r="V77" s="6"/>
      <c r="W77" s="6" t="str">
        <f aca="false">IF(AND($A77="",$B77=""),"",IF(M77="Ambassador","1 - Ambassador",IF(M77="Member","2 - Member",IF(J77="Completed","3 - Presented",IF(H77&lt;&gt;"","4 - Shared",IF(F77&lt;&gt;"","5 - Contacted","6 - No Activity"))))))</f>
        <v/>
      </c>
      <c r="X77" s="6" t="n">
        <f aca="false">IF(AND($A77="",$B77=""),9999999+(ROW()-4),VALUE(LEFT($W77,1))*10000+(ROW()-4))</f>
        <v>10000072</v>
      </c>
    </row>
    <row r="78" customFormat="false" ht="15" hidden="false" customHeight="true" outlineLevel="0" collapsed="false">
      <c r="A78" s="6"/>
      <c r="B78" s="6"/>
      <c r="C78" s="6"/>
      <c r="D78" s="6"/>
      <c r="E78" s="6"/>
      <c r="F78" s="7"/>
      <c r="G78" s="6"/>
      <c r="H78" s="6"/>
      <c r="I78" s="7"/>
      <c r="J78" s="6"/>
      <c r="K78" s="7"/>
      <c r="L78" s="6"/>
      <c r="M78" s="6"/>
      <c r="N78" s="7"/>
      <c r="O78" s="6"/>
      <c r="P78" s="6"/>
      <c r="Q78" s="7"/>
      <c r="R78" s="6" t="str">
        <f aca="false">IF(AND($A78="",$B78=""),"",IF(Q78="Complete","Onboarded",IF(OR(M78="Member",M78="Ambassador"),"Sponsored",IF(K78&lt;&gt;"","Follow-Up",IF(I78&lt;&gt;"","Presented",IF(F78&lt;&gt;"","Contacted","New Lead"))))))</f>
        <v/>
      </c>
      <c r="S78" s="6"/>
      <c r="T78" s="6" t="str">
        <f aca="true">IF(MAX(F78,I78,K78)=0,"",TODAY()-MAX(F78,I78,K78))</f>
        <v/>
      </c>
      <c r="U78" s="6"/>
      <c r="V78" s="6"/>
      <c r="W78" s="6" t="str">
        <f aca="false">IF(AND($A78="",$B78=""),"",IF(M78="Ambassador","1 - Ambassador",IF(M78="Member","2 - Member",IF(J78="Completed","3 - Presented",IF(H78&lt;&gt;"","4 - Shared",IF(F78&lt;&gt;"","5 - Contacted","6 - No Activity"))))))</f>
        <v/>
      </c>
      <c r="X78" s="6" t="n">
        <f aca="false">IF(AND($A78="",$B78=""),9999999+(ROW()-4),VALUE(LEFT($W78,1))*10000+(ROW()-4))</f>
        <v>10000073</v>
      </c>
    </row>
    <row r="79" customFormat="false" ht="15" hidden="false" customHeight="true" outlineLevel="0" collapsed="false">
      <c r="A79" s="6"/>
      <c r="B79" s="6"/>
      <c r="C79" s="6"/>
      <c r="D79" s="6"/>
      <c r="E79" s="6"/>
      <c r="F79" s="7"/>
      <c r="G79" s="6"/>
      <c r="H79" s="6"/>
      <c r="I79" s="7"/>
      <c r="J79" s="6"/>
      <c r="K79" s="7"/>
      <c r="L79" s="6"/>
      <c r="M79" s="6"/>
      <c r="N79" s="7"/>
      <c r="O79" s="6"/>
      <c r="P79" s="6"/>
      <c r="Q79" s="7"/>
      <c r="R79" s="6" t="str">
        <f aca="false">IF(AND($A79="",$B79=""),"",IF(Q79="Complete","Onboarded",IF(OR(M79="Member",M79="Ambassador"),"Sponsored",IF(K79&lt;&gt;"","Follow-Up",IF(I79&lt;&gt;"","Presented",IF(F79&lt;&gt;"","Contacted","New Lead"))))))</f>
        <v/>
      </c>
      <c r="S79" s="6"/>
      <c r="T79" s="6" t="str">
        <f aca="true">IF(MAX(F79,I79,K79)=0,"",TODAY()-MAX(F79,I79,K79))</f>
        <v/>
      </c>
      <c r="U79" s="6"/>
      <c r="V79" s="6"/>
      <c r="W79" s="6" t="str">
        <f aca="false">IF(AND($A79="",$B79=""),"",IF(M79="Ambassador","1 - Ambassador",IF(M79="Member","2 - Member",IF(J79="Completed","3 - Presented",IF(H79&lt;&gt;"","4 - Shared",IF(F79&lt;&gt;"","5 - Contacted","6 - No Activity"))))))</f>
        <v/>
      </c>
      <c r="X79" s="6" t="n">
        <f aca="false">IF(AND($A79="",$B79=""),9999999+(ROW()-4),VALUE(LEFT($W79,1))*10000+(ROW()-4))</f>
        <v>10000074</v>
      </c>
    </row>
    <row r="80" customFormat="false" ht="15" hidden="false" customHeight="true" outlineLevel="0" collapsed="false">
      <c r="A80" s="6"/>
      <c r="B80" s="6"/>
      <c r="C80" s="6"/>
      <c r="D80" s="6"/>
      <c r="E80" s="6"/>
      <c r="F80" s="7"/>
      <c r="G80" s="6"/>
      <c r="H80" s="6"/>
      <c r="I80" s="7"/>
      <c r="J80" s="6"/>
      <c r="K80" s="7"/>
      <c r="L80" s="6"/>
      <c r="M80" s="6"/>
      <c r="N80" s="7"/>
      <c r="O80" s="6"/>
      <c r="P80" s="6"/>
      <c r="Q80" s="7"/>
      <c r="R80" s="6" t="str">
        <f aca="false">IF(AND($A80="",$B80=""),"",IF(Q80="Complete","Onboarded",IF(OR(M80="Member",M80="Ambassador"),"Sponsored",IF(K80&lt;&gt;"","Follow-Up",IF(I80&lt;&gt;"","Presented",IF(F80&lt;&gt;"","Contacted","New Lead"))))))</f>
        <v/>
      </c>
      <c r="S80" s="6"/>
      <c r="T80" s="6" t="str">
        <f aca="true">IF(MAX(F80,I80,K80)=0,"",TODAY()-MAX(F80,I80,K80))</f>
        <v/>
      </c>
      <c r="U80" s="6"/>
      <c r="V80" s="6"/>
      <c r="W80" s="6" t="str">
        <f aca="false">IF(AND($A80="",$B80=""),"",IF(M80="Ambassador","1 - Ambassador",IF(M80="Member","2 - Member",IF(J80="Completed","3 - Presented",IF(H80&lt;&gt;"","4 - Shared",IF(F80&lt;&gt;"","5 - Contacted","6 - No Activity"))))))</f>
        <v/>
      </c>
      <c r="X80" s="6" t="n">
        <f aca="false">IF(AND($A80="",$B80=""),9999999+(ROW()-4),VALUE(LEFT($W80,1))*10000+(ROW()-4))</f>
        <v>10000075</v>
      </c>
    </row>
    <row r="81" customFormat="false" ht="15" hidden="false" customHeight="true" outlineLevel="0" collapsed="false">
      <c r="A81" s="6"/>
      <c r="B81" s="6"/>
      <c r="C81" s="6"/>
      <c r="D81" s="6"/>
      <c r="E81" s="6"/>
      <c r="F81" s="7"/>
      <c r="G81" s="6"/>
      <c r="H81" s="6"/>
      <c r="I81" s="7"/>
      <c r="J81" s="6"/>
      <c r="K81" s="7"/>
      <c r="L81" s="6"/>
      <c r="M81" s="6"/>
      <c r="N81" s="7"/>
      <c r="O81" s="6"/>
      <c r="P81" s="6"/>
      <c r="Q81" s="7"/>
      <c r="R81" s="6" t="str">
        <f aca="false">IF(AND($A81="",$B81=""),"",IF(Q81="Complete","Onboarded",IF(OR(M81="Member",M81="Ambassador"),"Sponsored",IF(K81&lt;&gt;"","Follow-Up",IF(I81&lt;&gt;"","Presented",IF(F81&lt;&gt;"","Contacted","New Lead"))))))</f>
        <v/>
      </c>
      <c r="S81" s="6"/>
      <c r="T81" s="6" t="str">
        <f aca="true">IF(MAX(F81,I81,K81)=0,"",TODAY()-MAX(F81,I81,K81))</f>
        <v/>
      </c>
      <c r="U81" s="6"/>
      <c r="V81" s="6"/>
      <c r="W81" s="6" t="str">
        <f aca="false">IF(AND($A81="",$B81=""),"",IF(M81="Ambassador","1 - Ambassador",IF(M81="Member","2 - Member",IF(J81="Completed","3 - Presented",IF(H81&lt;&gt;"","4 - Shared",IF(F81&lt;&gt;"","5 - Contacted","6 - No Activity"))))))</f>
        <v/>
      </c>
      <c r="X81" s="6" t="n">
        <f aca="false">IF(AND($A81="",$B81=""),9999999+(ROW()-4),VALUE(LEFT($W81,1))*10000+(ROW()-4))</f>
        <v>10000076</v>
      </c>
    </row>
    <row r="82" customFormat="false" ht="15" hidden="false" customHeight="true" outlineLevel="0" collapsed="false">
      <c r="A82" s="6"/>
      <c r="B82" s="6"/>
      <c r="C82" s="6"/>
      <c r="D82" s="6"/>
      <c r="E82" s="6"/>
      <c r="F82" s="7"/>
      <c r="G82" s="6"/>
      <c r="H82" s="6"/>
      <c r="I82" s="7"/>
      <c r="J82" s="6"/>
      <c r="K82" s="7"/>
      <c r="L82" s="6"/>
      <c r="M82" s="6"/>
      <c r="N82" s="7"/>
      <c r="O82" s="6"/>
      <c r="P82" s="6"/>
      <c r="Q82" s="7"/>
      <c r="R82" s="6" t="str">
        <f aca="false">IF(AND($A82="",$B82=""),"",IF(Q82="Complete","Onboarded",IF(OR(M82="Member",M82="Ambassador"),"Sponsored",IF(K82&lt;&gt;"","Follow-Up",IF(I82&lt;&gt;"","Presented",IF(F82&lt;&gt;"","Contacted","New Lead"))))))</f>
        <v/>
      </c>
      <c r="S82" s="6"/>
      <c r="T82" s="6" t="str">
        <f aca="true">IF(MAX(F82,I82,K82)=0,"",TODAY()-MAX(F82,I82,K82))</f>
        <v/>
      </c>
      <c r="U82" s="6"/>
      <c r="V82" s="6"/>
      <c r="W82" s="6" t="str">
        <f aca="false">IF(AND($A82="",$B82=""),"",IF(M82="Ambassador","1 - Ambassador",IF(M82="Member","2 - Member",IF(J82="Completed","3 - Presented",IF(H82&lt;&gt;"","4 - Shared",IF(F82&lt;&gt;"","5 - Contacted","6 - No Activity"))))))</f>
        <v/>
      </c>
      <c r="X82" s="6" t="n">
        <f aca="false">IF(AND($A82="",$B82=""),9999999+(ROW()-4),VALUE(LEFT($W82,1))*10000+(ROW()-4))</f>
        <v>10000077</v>
      </c>
    </row>
    <row r="83" customFormat="false" ht="15" hidden="false" customHeight="true" outlineLevel="0" collapsed="false">
      <c r="A83" s="6"/>
      <c r="B83" s="6"/>
      <c r="C83" s="6"/>
      <c r="D83" s="6"/>
      <c r="E83" s="6"/>
      <c r="F83" s="7"/>
      <c r="G83" s="6"/>
      <c r="H83" s="6"/>
      <c r="I83" s="7"/>
      <c r="J83" s="6"/>
      <c r="K83" s="7"/>
      <c r="L83" s="6"/>
      <c r="M83" s="6"/>
      <c r="N83" s="7"/>
      <c r="O83" s="6"/>
      <c r="P83" s="6"/>
      <c r="Q83" s="7"/>
      <c r="R83" s="6" t="str">
        <f aca="false">IF(AND($A83="",$B83=""),"",IF(Q83="Complete","Onboarded",IF(OR(M83="Member",M83="Ambassador"),"Sponsored",IF(K83&lt;&gt;"","Follow-Up",IF(I83&lt;&gt;"","Presented",IF(F83&lt;&gt;"","Contacted","New Lead"))))))</f>
        <v/>
      </c>
      <c r="S83" s="6"/>
      <c r="T83" s="6" t="str">
        <f aca="true">IF(MAX(F83,I83,K83)=0,"",TODAY()-MAX(F83,I83,K83))</f>
        <v/>
      </c>
      <c r="U83" s="6"/>
      <c r="V83" s="6"/>
      <c r="W83" s="6" t="str">
        <f aca="false">IF(AND($A83="",$B83=""),"",IF(M83="Ambassador","1 - Ambassador",IF(M83="Member","2 - Member",IF(J83="Completed","3 - Presented",IF(H83&lt;&gt;"","4 - Shared",IF(F83&lt;&gt;"","5 - Contacted","6 - No Activity"))))))</f>
        <v/>
      </c>
      <c r="X83" s="6" t="n">
        <f aca="false">IF(AND($A83="",$B83=""),9999999+(ROW()-4),VALUE(LEFT($W83,1))*10000+(ROW()-4))</f>
        <v>10000078</v>
      </c>
    </row>
    <row r="84" customFormat="false" ht="15" hidden="false" customHeight="true" outlineLevel="0" collapsed="false">
      <c r="A84" s="6"/>
      <c r="B84" s="6"/>
      <c r="C84" s="6"/>
      <c r="D84" s="6"/>
      <c r="E84" s="6"/>
      <c r="F84" s="7"/>
      <c r="G84" s="6"/>
      <c r="H84" s="6"/>
      <c r="I84" s="7"/>
      <c r="J84" s="6"/>
      <c r="K84" s="7"/>
      <c r="L84" s="6"/>
      <c r="M84" s="6"/>
      <c r="N84" s="7"/>
      <c r="O84" s="6"/>
      <c r="P84" s="6"/>
      <c r="Q84" s="7"/>
      <c r="R84" s="6" t="str">
        <f aca="false">IF(AND($A84="",$B84=""),"",IF(Q84="Complete","Onboarded",IF(OR(M84="Member",M84="Ambassador"),"Sponsored",IF(K84&lt;&gt;"","Follow-Up",IF(I84&lt;&gt;"","Presented",IF(F84&lt;&gt;"","Contacted","New Lead"))))))</f>
        <v/>
      </c>
      <c r="S84" s="6"/>
      <c r="T84" s="6" t="str">
        <f aca="true">IF(MAX(F84,I84,K84)=0,"",TODAY()-MAX(F84,I84,K84))</f>
        <v/>
      </c>
      <c r="U84" s="6"/>
      <c r="V84" s="6"/>
      <c r="W84" s="6" t="str">
        <f aca="false">IF(AND($A84="",$B84=""),"",IF(M84="Ambassador","1 - Ambassador",IF(M84="Member","2 - Member",IF(J84="Completed","3 - Presented",IF(H84&lt;&gt;"","4 - Shared",IF(F84&lt;&gt;"","5 - Contacted","6 - No Activity"))))))</f>
        <v/>
      </c>
      <c r="X84" s="6" t="n">
        <f aca="false">IF(AND($A84="",$B84=""),9999999+(ROW()-4),VALUE(LEFT($W84,1))*10000+(ROW()-4))</f>
        <v>10000079</v>
      </c>
    </row>
    <row r="85" customFormat="false" ht="15" hidden="false" customHeight="true" outlineLevel="0" collapsed="false">
      <c r="A85" s="6"/>
      <c r="B85" s="6"/>
      <c r="C85" s="6"/>
      <c r="D85" s="6"/>
      <c r="E85" s="6"/>
      <c r="F85" s="7"/>
      <c r="G85" s="6"/>
      <c r="H85" s="6"/>
      <c r="I85" s="7"/>
      <c r="J85" s="6"/>
      <c r="K85" s="7"/>
      <c r="L85" s="6"/>
      <c r="M85" s="6"/>
      <c r="N85" s="7"/>
      <c r="O85" s="6"/>
      <c r="P85" s="6"/>
      <c r="Q85" s="7"/>
      <c r="R85" s="6" t="str">
        <f aca="false">IF(AND($A85="",$B85=""),"",IF(Q85="Complete","Onboarded",IF(OR(M85="Member",M85="Ambassador"),"Sponsored",IF(K85&lt;&gt;"","Follow-Up",IF(I85&lt;&gt;"","Presented",IF(F85&lt;&gt;"","Contacted","New Lead"))))))</f>
        <v/>
      </c>
      <c r="S85" s="6"/>
      <c r="T85" s="6" t="str">
        <f aca="true">IF(MAX(F85,I85,K85)=0,"",TODAY()-MAX(F85,I85,K85))</f>
        <v/>
      </c>
      <c r="U85" s="6"/>
      <c r="V85" s="6"/>
      <c r="W85" s="6" t="str">
        <f aca="false">IF(AND($A85="",$B85=""),"",IF(M85="Ambassador","1 - Ambassador",IF(M85="Member","2 - Member",IF(J85="Completed","3 - Presented",IF(H85&lt;&gt;"","4 - Shared",IF(F85&lt;&gt;"","5 - Contacted","6 - No Activity"))))))</f>
        <v/>
      </c>
      <c r="X85" s="6" t="n">
        <f aca="false">IF(AND($A85="",$B85=""),9999999+(ROW()-4),VALUE(LEFT($W85,1))*10000+(ROW()-4))</f>
        <v>10000080</v>
      </c>
    </row>
    <row r="86" customFormat="false" ht="15" hidden="false" customHeight="true" outlineLevel="0" collapsed="false">
      <c r="A86" s="6"/>
      <c r="B86" s="6"/>
      <c r="C86" s="6"/>
      <c r="D86" s="6"/>
      <c r="E86" s="6"/>
      <c r="F86" s="7"/>
      <c r="G86" s="6"/>
      <c r="H86" s="6"/>
      <c r="I86" s="7"/>
      <c r="J86" s="6"/>
      <c r="K86" s="7"/>
      <c r="L86" s="6"/>
      <c r="M86" s="6"/>
      <c r="N86" s="7"/>
      <c r="O86" s="6"/>
      <c r="P86" s="6"/>
      <c r="Q86" s="7"/>
      <c r="R86" s="6" t="str">
        <f aca="false">IF(AND($A86="",$B86=""),"",IF(Q86="Complete","Onboarded",IF(OR(M86="Member",M86="Ambassador"),"Sponsored",IF(K86&lt;&gt;"","Follow-Up",IF(I86&lt;&gt;"","Presented",IF(F86&lt;&gt;"","Contacted","New Lead"))))))</f>
        <v/>
      </c>
      <c r="S86" s="6"/>
      <c r="T86" s="6" t="str">
        <f aca="true">IF(MAX(F86,I86,K86)=0,"",TODAY()-MAX(F86,I86,K86))</f>
        <v/>
      </c>
      <c r="U86" s="6"/>
      <c r="V86" s="6"/>
      <c r="W86" s="6" t="str">
        <f aca="false">IF(AND($A86="",$B86=""),"",IF(M86="Ambassador","1 - Ambassador",IF(M86="Member","2 - Member",IF(J86="Completed","3 - Presented",IF(H86&lt;&gt;"","4 - Shared",IF(F86&lt;&gt;"","5 - Contacted","6 - No Activity"))))))</f>
        <v/>
      </c>
      <c r="X86" s="6" t="n">
        <f aca="false">IF(AND($A86="",$B86=""),9999999+(ROW()-4),VALUE(LEFT($W86,1))*10000+(ROW()-4))</f>
        <v>10000081</v>
      </c>
    </row>
    <row r="87" customFormat="false" ht="15" hidden="false" customHeight="true" outlineLevel="0" collapsed="false">
      <c r="A87" s="6"/>
      <c r="B87" s="6"/>
      <c r="C87" s="6"/>
      <c r="D87" s="6"/>
      <c r="E87" s="6"/>
      <c r="F87" s="7"/>
      <c r="G87" s="6"/>
      <c r="H87" s="6"/>
      <c r="I87" s="7"/>
      <c r="J87" s="6"/>
      <c r="K87" s="7"/>
      <c r="L87" s="6"/>
      <c r="M87" s="6"/>
      <c r="N87" s="7"/>
      <c r="O87" s="6"/>
      <c r="P87" s="6"/>
      <c r="Q87" s="7"/>
      <c r="R87" s="6" t="str">
        <f aca="false">IF(AND($A87="",$B87=""),"",IF(Q87="Complete","Onboarded",IF(OR(M87="Member",M87="Ambassador"),"Sponsored",IF(K87&lt;&gt;"","Follow-Up",IF(I87&lt;&gt;"","Presented",IF(F87&lt;&gt;"","Contacted","New Lead"))))))</f>
        <v/>
      </c>
      <c r="S87" s="6"/>
      <c r="T87" s="6" t="str">
        <f aca="true">IF(MAX(F87,I87,K87)=0,"",TODAY()-MAX(F87,I87,K87))</f>
        <v/>
      </c>
      <c r="U87" s="6"/>
      <c r="V87" s="6"/>
      <c r="W87" s="6" t="str">
        <f aca="false">IF(AND($A87="",$B87=""),"",IF(M87="Ambassador","1 - Ambassador",IF(M87="Member","2 - Member",IF(J87="Completed","3 - Presented",IF(H87&lt;&gt;"","4 - Shared",IF(F87&lt;&gt;"","5 - Contacted","6 - No Activity"))))))</f>
        <v/>
      </c>
      <c r="X87" s="6" t="n">
        <f aca="false">IF(AND($A87="",$B87=""),9999999+(ROW()-4),VALUE(LEFT($W87,1))*10000+(ROW()-4))</f>
        <v>10000082</v>
      </c>
    </row>
    <row r="88" customFormat="false" ht="15" hidden="false" customHeight="true" outlineLevel="0" collapsed="false">
      <c r="A88" s="6"/>
      <c r="B88" s="6"/>
      <c r="C88" s="6"/>
      <c r="D88" s="6"/>
      <c r="E88" s="6"/>
      <c r="F88" s="7"/>
      <c r="G88" s="6"/>
      <c r="H88" s="6"/>
      <c r="I88" s="7"/>
      <c r="J88" s="6"/>
      <c r="K88" s="7"/>
      <c r="L88" s="6"/>
      <c r="M88" s="6"/>
      <c r="N88" s="7"/>
      <c r="O88" s="6"/>
      <c r="P88" s="6"/>
      <c r="Q88" s="7"/>
      <c r="R88" s="6" t="str">
        <f aca="false">IF(AND($A88="",$B88=""),"",IF(Q88="Complete","Onboarded",IF(OR(M88="Member",M88="Ambassador"),"Sponsored",IF(K88&lt;&gt;"","Follow-Up",IF(I88&lt;&gt;"","Presented",IF(F88&lt;&gt;"","Contacted","New Lead"))))))</f>
        <v/>
      </c>
      <c r="S88" s="6"/>
      <c r="T88" s="6" t="str">
        <f aca="true">IF(MAX(F88,I88,K88)=0,"",TODAY()-MAX(F88,I88,K88))</f>
        <v/>
      </c>
      <c r="U88" s="6"/>
      <c r="V88" s="6"/>
      <c r="W88" s="6" t="str">
        <f aca="false">IF(AND($A88="",$B88=""),"",IF(M88="Ambassador","1 - Ambassador",IF(M88="Member","2 - Member",IF(J88="Completed","3 - Presented",IF(H88&lt;&gt;"","4 - Shared",IF(F88&lt;&gt;"","5 - Contacted","6 - No Activity"))))))</f>
        <v/>
      </c>
      <c r="X88" s="6" t="n">
        <f aca="false">IF(AND($A88="",$B88=""),9999999+(ROW()-4),VALUE(LEFT($W88,1))*10000+(ROW()-4))</f>
        <v>10000083</v>
      </c>
    </row>
    <row r="89" customFormat="false" ht="15" hidden="false" customHeight="true" outlineLevel="0" collapsed="false">
      <c r="A89" s="6"/>
      <c r="B89" s="6"/>
      <c r="C89" s="6"/>
      <c r="D89" s="6"/>
      <c r="E89" s="6"/>
      <c r="F89" s="7"/>
      <c r="G89" s="6"/>
      <c r="H89" s="6"/>
      <c r="I89" s="7"/>
      <c r="J89" s="6"/>
      <c r="K89" s="7"/>
      <c r="L89" s="6"/>
      <c r="M89" s="6"/>
      <c r="N89" s="7"/>
      <c r="O89" s="6"/>
      <c r="P89" s="6"/>
      <c r="Q89" s="7"/>
      <c r="R89" s="6" t="str">
        <f aca="false">IF(AND($A89="",$B89=""),"",IF(Q89="Complete","Onboarded",IF(OR(M89="Member",M89="Ambassador"),"Sponsored",IF(K89&lt;&gt;"","Follow-Up",IF(I89&lt;&gt;"","Presented",IF(F89&lt;&gt;"","Contacted","New Lead"))))))</f>
        <v/>
      </c>
      <c r="S89" s="6"/>
      <c r="T89" s="6" t="str">
        <f aca="true">IF(MAX(F89,I89,K89)=0,"",TODAY()-MAX(F89,I89,K89))</f>
        <v/>
      </c>
      <c r="U89" s="6"/>
      <c r="V89" s="6"/>
      <c r="W89" s="6" t="str">
        <f aca="false">IF(AND($A89="",$B89=""),"",IF(M89="Ambassador","1 - Ambassador",IF(M89="Member","2 - Member",IF(J89="Completed","3 - Presented",IF(H89&lt;&gt;"","4 - Shared",IF(F89&lt;&gt;"","5 - Contacted","6 - No Activity"))))))</f>
        <v/>
      </c>
      <c r="X89" s="6" t="n">
        <f aca="false">IF(AND($A89="",$B89=""),9999999+(ROW()-4),VALUE(LEFT($W89,1))*10000+(ROW()-4))</f>
        <v>10000084</v>
      </c>
    </row>
    <row r="90" customFormat="false" ht="15" hidden="false" customHeight="true" outlineLevel="0" collapsed="false">
      <c r="A90" s="6"/>
      <c r="B90" s="6"/>
      <c r="C90" s="6"/>
      <c r="D90" s="6"/>
      <c r="E90" s="6"/>
      <c r="F90" s="7"/>
      <c r="G90" s="6"/>
      <c r="H90" s="6"/>
      <c r="I90" s="7"/>
      <c r="J90" s="6"/>
      <c r="K90" s="7"/>
      <c r="L90" s="6"/>
      <c r="M90" s="6"/>
      <c r="N90" s="7"/>
      <c r="O90" s="6"/>
      <c r="P90" s="6"/>
      <c r="Q90" s="7"/>
      <c r="R90" s="6" t="str">
        <f aca="false">IF(AND($A90="",$B90=""),"",IF(Q90="Complete","Onboarded",IF(OR(M90="Member",M90="Ambassador"),"Sponsored",IF(K90&lt;&gt;"","Follow-Up",IF(I90&lt;&gt;"","Presented",IF(F90&lt;&gt;"","Contacted","New Lead"))))))</f>
        <v/>
      </c>
      <c r="S90" s="6"/>
      <c r="T90" s="6" t="str">
        <f aca="true">IF(MAX(F90,I90,K90)=0,"",TODAY()-MAX(F90,I90,K90))</f>
        <v/>
      </c>
      <c r="U90" s="6"/>
      <c r="V90" s="6"/>
      <c r="W90" s="6" t="str">
        <f aca="false">IF(AND($A90="",$B90=""),"",IF(M90="Ambassador","1 - Ambassador",IF(M90="Member","2 - Member",IF(J90="Completed","3 - Presented",IF(H90&lt;&gt;"","4 - Shared",IF(F90&lt;&gt;"","5 - Contacted","6 - No Activity"))))))</f>
        <v/>
      </c>
      <c r="X90" s="6" t="n">
        <f aca="false">IF(AND($A90="",$B90=""),9999999+(ROW()-4),VALUE(LEFT($W90,1))*10000+(ROW()-4))</f>
        <v>10000085</v>
      </c>
    </row>
    <row r="91" customFormat="false" ht="15" hidden="false" customHeight="true" outlineLevel="0" collapsed="false">
      <c r="A91" s="6"/>
      <c r="B91" s="6"/>
      <c r="C91" s="6"/>
      <c r="D91" s="6"/>
      <c r="E91" s="6"/>
      <c r="F91" s="7"/>
      <c r="G91" s="6"/>
      <c r="H91" s="6"/>
      <c r="I91" s="7"/>
      <c r="J91" s="6"/>
      <c r="K91" s="7"/>
      <c r="L91" s="6"/>
      <c r="M91" s="6"/>
      <c r="N91" s="7"/>
      <c r="O91" s="6"/>
      <c r="P91" s="6"/>
      <c r="Q91" s="7"/>
      <c r="R91" s="6" t="str">
        <f aca="false">IF(AND($A91="",$B91=""),"",IF(Q91="Complete","Onboarded",IF(OR(M91="Member",M91="Ambassador"),"Sponsored",IF(K91&lt;&gt;"","Follow-Up",IF(I91&lt;&gt;"","Presented",IF(F91&lt;&gt;"","Contacted","New Lead"))))))</f>
        <v/>
      </c>
      <c r="S91" s="6"/>
      <c r="T91" s="6" t="str">
        <f aca="true">IF(MAX(F91,I91,K91)=0,"",TODAY()-MAX(F91,I91,K91))</f>
        <v/>
      </c>
      <c r="U91" s="6"/>
      <c r="V91" s="6"/>
      <c r="W91" s="6" t="str">
        <f aca="false">IF(AND($A91="",$B91=""),"",IF(M91="Ambassador","1 - Ambassador",IF(M91="Member","2 - Member",IF(J91="Completed","3 - Presented",IF(H91&lt;&gt;"","4 - Shared",IF(F91&lt;&gt;"","5 - Contacted","6 - No Activity"))))))</f>
        <v/>
      </c>
      <c r="X91" s="6" t="n">
        <f aca="false">IF(AND($A91="",$B91=""),9999999+(ROW()-4),VALUE(LEFT($W91,1))*10000+(ROW()-4))</f>
        <v>10000086</v>
      </c>
    </row>
    <row r="92" customFormat="false" ht="15" hidden="false" customHeight="true" outlineLevel="0" collapsed="false">
      <c r="A92" s="6"/>
      <c r="B92" s="6"/>
      <c r="C92" s="6"/>
      <c r="D92" s="6"/>
      <c r="E92" s="6"/>
      <c r="F92" s="7"/>
      <c r="G92" s="6"/>
      <c r="H92" s="6"/>
      <c r="I92" s="7"/>
      <c r="J92" s="6"/>
      <c r="K92" s="7"/>
      <c r="L92" s="6"/>
      <c r="M92" s="6"/>
      <c r="N92" s="7"/>
      <c r="O92" s="6"/>
      <c r="P92" s="6"/>
      <c r="Q92" s="7"/>
      <c r="R92" s="6" t="str">
        <f aca="false">IF(AND($A92="",$B92=""),"",IF(Q92="Complete","Onboarded",IF(OR(M92="Member",M92="Ambassador"),"Sponsored",IF(K92&lt;&gt;"","Follow-Up",IF(I92&lt;&gt;"","Presented",IF(F92&lt;&gt;"","Contacted","New Lead"))))))</f>
        <v/>
      </c>
      <c r="S92" s="6"/>
      <c r="T92" s="6" t="str">
        <f aca="true">IF(MAX(F92,I92,K92)=0,"",TODAY()-MAX(F92,I92,K92))</f>
        <v/>
      </c>
      <c r="U92" s="6"/>
      <c r="V92" s="6"/>
      <c r="W92" s="6" t="str">
        <f aca="false">IF(AND($A92="",$B92=""),"",IF(M92="Ambassador","1 - Ambassador",IF(M92="Member","2 - Member",IF(J92="Completed","3 - Presented",IF(H92&lt;&gt;"","4 - Shared",IF(F92&lt;&gt;"","5 - Contacted","6 - No Activity"))))))</f>
        <v/>
      </c>
      <c r="X92" s="6" t="n">
        <f aca="false">IF(AND($A92="",$B92=""),9999999+(ROW()-4),VALUE(LEFT($W92,1))*10000+(ROW()-4))</f>
        <v>10000087</v>
      </c>
    </row>
    <row r="93" customFormat="false" ht="15" hidden="false" customHeight="true" outlineLevel="0" collapsed="false">
      <c r="A93" s="6"/>
      <c r="B93" s="6"/>
      <c r="C93" s="6"/>
      <c r="D93" s="6"/>
      <c r="E93" s="6"/>
      <c r="F93" s="7"/>
      <c r="G93" s="6"/>
      <c r="H93" s="6"/>
      <c r="I93" s="7"/>
      <c r="J93" s="6"/>
      <c r="K93" s="7"/>
      <c r="L93" s="6"/>
      <c r="M93" s="6"/>
      <c r="N93" s="7"/>
      <c r="O93" s="6"/>
      <c r="P93" s="6"/>
      <c r="Q93" s="7"/>
      <c r="R93" s="6" t="str">
        <f aca="false">IF(AND($A93="",$B93=""),"",IF(Q93="Complete","Onboarded",IF(OR(M93="Member",M93="Ambassador"),"Sponsored",IF(K93&lt;&gt;"","Follow-Up",IF(I93&lt;&gt;"","Presented",IF(F93&lt;&gt;"","Contacted","New Lead"))))))</f>
        <v/>
      </c>
      <c r="S93" s="6"/>
      <c r="T93" s="6" t="str">
        <f aca="true">IF(MAX(F93,I93,K93)=0,"",TODAY()-MAX(F93,I93,K93))</f>
        <v/>
      </c>
      <c r="U93" s="6"/>
      <c r="V93" s="6"/>
      <c r="W93" s="6" t="str">
        <f aca="false">IF(AND($A93="",$B93=""),"",IF(M93="Ambassador","1 - Ambassador",IF(M93="Member","2 - Member",IF(J93="Completed","3 - Presented",IF(H93&lt;&gt;"","4 - Shared",IF(F93&lt;&gt;"","5 - Contacted","6 - No Activity"))))))</f>
        <v/>
      </c>
      <c r="X93" s="6" t="n">
        <f aca="false">IF(AND($A93="",$B93=""),9999999+(ROW()-4),VALUE(LEFT($W93,1))*10000+(ROW()-4))</f>
        <v>10000088</v>
      </c>
    </row>
    <row r="94" customFormat="false" ht="15" hidden="false" customHeight="true" outlineLevel="0" collapsed="false">
      <c r="A94" s="6"/>
      <c r="B94" s="6"/>
      <c r="C94" s="6"/>
      <c r="D94" s="6"/>
      <c r="E94" s="6"/>
      <c r="F94" s="7"/>
      <c r="G94" s="6"/>
      <c r="H94" s="6"/>
      <c r="I94" s="7"/>
      <c r="J94" s="6"/>
      <c r="K94" s="7"/>
      <c r="L94" s="6"/>
      <c r="M94" s="6"/>
      <c r="N94" s="7"/>
      <c r="O94" s="6"/>
      <c r="P94" s="6"/>
      <c r="Q94" s="7"/>
      <c r="R94" s="6" t="str">
        <f aca="false">IF(AND($A94="",$B94=""),"",IF(Q94="Complete","Onboarded",IF(OR(M94="Member",M94="Ambassador"),"Sponsored",IF(K94&lt;&gt;"","Follow-Up",IF(I94&lt;&gt;"","Presented",IF(F94&lt;&gt;"","Contacted","New Lead"))))))</f>
        <v/>
      </c>
      <c r="S94" s="6"/>
      <c r="T94" s="6" t="str">
        <f aca="true">IF(MAX(F94,I94,K94)=0,"",TODAY()-MAX(F94,I94,K94))</f>
        <v/>
      </c>
      <c r="U94" s="6"/>
      <c r="V94" s="6"/>
      <c r="W94" s="6" t="str">
        <f aca="false">IF(AND($A94="",$B94=""),"",IF(M94="Ambassador","1 - Ambassador",IF(M94="Member","2 - Member",IF(J94="Completed","3 - Presented",IF(H94&lt;&gt;"","4 - Shared",IF(F94&lt;&gt;"","5 - Contacted","6 - No Activity"))))))</f>
        <v/>
      </c>
      <c r="X94" s="6" t="n">
        <f aca="false">IF(AND($A94="",$B94=""),9999999+(ROW()-4),VALUE(LEFT($W94,1))*10000+(ROW()-4))</f>
        <v>10000089</v>
      </c>
    </row>
    <row r="95" customFormat="false" ht="15" hidden="false" customHeight="true" outlineLevel="0" collapsed="false">
      <c r="A95" s="6"/>
      <c r="B95" s="6"/>
      <c r="C95" s="6"/>
      <c r="D95" s="6"/>
      <c r="E95" s="6"/>
      <c r="F95" s="7"/>
      <c r="G95" s="6"/>
      <c r="H95" s="6"/>
      <c r="I95" s="7"/>
      <c r="J95" s="6"/>
      <c r="K95" s="7"/>
      <c r="L95" s="6"/>
      <c r="M95" s="6"/>
      <c r="N95" s="7"/>
      <c r="O95" s="6"/>
      <c r="P95" s="6"/>
      <c r="Q95" s="7"/>
      <c r="R95" s="6" t="str">
        <f aca="false">IF(AND($A95="",$B95=""),"",IF(Q95="Complete","Onboarded",IF(OR(M95="Member",M95="Ambassador"),"Sponsored",IF(K95&lt;&gt;"","Follow-Up",IF(I95&lt;&gt;"","Presented",IF(F95&lt;&gt;"","Contacted","New Lead"))))))</f>
        <v/>
      </c>
      <c r="S95" s="6"/>
      <c r="T95" s="6" t="str">
        <f aca="true">IF(MAX(F95,I95,K95)=0,"",TODAY()-MAX(F95,I95,K95))</f>
        <v/>
      </c>
      <c r="U95" s="6"/>
      <c r="V95" s="6"/>
      <c r="W95" s="6" t="str">
        <f aca="false">IF(AND($A95="",$B95=""),"",IF(M95="Ambassador","1 - Ambassador",IF(M95="Member","2 - Member",IF(J95="Completed","3 - Presented",IF(H95&lt;&gt;"","4 - Shared",IF(F95&lt;&gt;"","5 - Contacted","6 - No Activity"))))))</f>
        <v/>
      </c>
      <c r="X95" s="6" t="n">
        <f aca="false">IF(AND($A95="",$B95=""),9999999+(ROW()-4),VALUE(LEFT($W95,1))*10000+(ROW()-4))</f>
        <v>10000090</v>
      </c>
    </row>
    <row r="96" customFormat="false" ht="15" hidden="false" customHeight="true" outlineLevel="0" collapsed="false">
      <c r="A96" s="6"/>
      <c r="B96" s="6"/>
      <c r="C96" s="6"/>
      <c r="D96" s="6"/>
      <c r="E96" s="6"/>
      <c r="F96" s="7"/>
      <c r="G96" s="6"/>
      <c r="H96" s="6"/>
      <c r="I96" s="7"/>
      <c r="J96" s="6"/>
      <c r="K96" s="7"/>
      <c r="L96" s="6"/>
      <c r="M96" s="6"/>
      <c r="N96" s="7"/>
      <c r="O96" s="6"/>
      <c r="P96" s="6"/>
      <c r="Q96" s="7"/>
      <c r="R96" s="6" t="str">
        <f aca="false">IF(AND($A96="",$B96=""),"",IF(Q96="Complete","Onboarded",IF(OR(M96="Member",M96="Ambassador"),"Sponsored",IF(K96&lt;&gt;"","Follow-Up",IF(I96&lt;&gt;"","Presented",IF(F96&lt;&gt;"","Contacted","New Lead"))))))</f>
        <v/>
      </c>
      <c r="S96" s="6"/>
      <c r="T96" s="6" t="str">
        <f aca="true">IF(MAX(F96,I96,K96)=0,"",TODAY()-MAX(F96,I96,K96))</f>
        <v/>
      </c>
      <c r="U96" s="6"/>
      <c r="V96" s="6"/>
      <c r="W96" s="6" t="str">
        <f aca="false">IF(AND($A96="",$B96=""),"",IF(M96="Ambassador","1 - Ambassador",IF(M96="Member","2 - Member",IF(J96="Completed","3 - Presented",IF(H96&lt;&gt;"","4 - Shared",IF(F96&lt;&gt;"","5 - Contacted","6 - No Activity"))))))</f>
        <v/>
      </c>
      <c r="X96" s="6" t="n">
        <f aca="false">IF(AND($A96="",$B96=""),9999999+(ROW()-4),VALUE(LEFT($W96,1))*10000+(ROW()-4))</f>
        <v>10000091</v>
      </c>
    </row>
    <row r="97" customFormat="false" ht="15" hidden="false" customHeight="true" outlineLevel="0" collapsed="false">
      <c r="A97" s="6"/>
      <c r="B97" s="6"/>
      <c r="C97" s="6"/>
      <c r="D97" s="6"/>
      <c r="E97" s="6"/>
      <c r="F97" s="7"/>
      <c r="G97" s="6"/>
      <c r="H97" s="6"/>
      <c r="I97" s="7"/>
      <c r="J97" s="6"/>
      <c r="K97" s="7"/>
      <c r="L97" s="6"/>
      <c r="M97" s="6"/>
      <c r="N97" s="7"/>
      <c r="O97" s="6"/>
      <c r="P97" s="6"/>
      <c r="Q97" s="7"/>
      <c r="R97" s="6" t="str">
        <f aca="false">IF(AND($A97="",$B97=""),"",IF(Q97="Complete","Onboarded",IF(OR(M97="Member",M97="Ambassador"),"Sponsored",IF(K97&lt;&gt;"","Follow-Up",IF(I97&lt;&gt;"","Presented",IF(F97&lt;&gt;"","Contacted","New Lead"))))))</f>
        <v/>
      </c>
      <c r="S97" s="6"/>
      <c r="T97" s="6" t="str">
        <f aca="true">IF(MAX(F97,I97,K97)=0,"",TODAY()-MAX(F97,I97,K97))</f>
        <v/>
      </c>
      <c r="U97" s="6"/>
      <c r="V97" s="6"/>
      <c r="W97" s="6" t="str">
        <f aca="false">IF(AND($A97="",$B97=""),"",IF(M97="Ambassador","1 - Ambassador",IF(M97="Member","2 - Member",IF(J97="Completed","3 - Presented",IF(H97&lt;&gt;"","4 - Shared",IF(F97&lt;&gt;"","5 - Contacted","6 - No Activity"))))))</f>
        <v/>
      </c>
      <c r="X97" s="6" t="n">
        <f aca="false">IF(AND($A97="",$B97=""),9999999+(ROW()-4),VALUE(LEFT($W97,1))*10000+(ROW()-4))</f>
        <v>10000092</v>
      </c>
    </row>
    <row r="98" customFormat="false" ht="15" hidden="false" customHeight="true" outlineLevel="0" collapsed="false">
      <c r="A98" s="6"/>
      <c r="B98" s="6"/>
      <c r="C98" s="6"/>
      <c r="D98" s="6"/>
      <c r="E98" s="6"/>
      <c r="F98" s="7"/>
      <c r="G98" s="6"/>
      <c r="H98" s="6"/>
      <c r="I98" s="7"/>
      <c r="J98" s="6"/>
      <c r="K98" s="7"/>
      <c r="L98" s="6"/>
      <c r="M98" s="6"/>
      <c r="N98" s="7"/>
      <c r="O98" s="6"/>
      <c r="P98" s="6"/>
      <c r="Q98" s="7"/>
      <c r="R98" s="6" t="str">
        <f aca="false">IF(AND($A98="",$B98=""),"",IF(Q98="Complete","Onboarded",IF(OR(M98="Member",M98="Ambassador"),"Sponsored",IF(K98&lt;&gt;"","Follow-Up",IF(I98&lt;&gt;"","Presented",IF(F98&lt;&gt;"","Contacted","New Lead"))))))</f>
        <v/>
      </c>
      <c r="S98" s="6"/>
      <c r="T98" s="6" t="str">
        <f aca="true">IF(MAX(F98,I98,K98)=0,"",TODAY()-MAX(F98,I98,K98))</f>
        <v/>
      </c>
      <c r="U98" s="6"/>
      <c r="V98" s="6"/>
      <c r="W98" s="6" t="str">
        <f aca="false">IF(AND($A98="",$B98=""),"",IF(M98="Ambassador","1 - Ambassador",IF(M98="Member","2 - Member",IF(J98="Completed","3 - Presented",IF(H98&lt;&gt;"","4 - Shared",IF(F98&lt;&gt;"","5 - Contacted","6 - No Activity"))))))</f>
        <v/>
      </c>
      <c r="X98" s="6" t="n">
        <f aca="false">IF(AND($A98="",$B98=""),9999999+(ROW()-4),VALUE(LEFT($W98,1))*10000+(ROW()-4))</f>
        <v>10000093</v>
      </c>
    </row>
    <row r="99" customFormat="false" ht="15" hidden="false" customHeight="true" outlineLevel="0" collapsed="false">
      <c r="A99" s="6"/>
      <c r="B99" s="6"/>
      <c r="C99" s="6"/>
      <c r="D99" s="6"/>
      <c r="E99" s="6"/>
      <c r="F99" s="7"/>
      <c r="G99" s="6"/>
      <c r="H99" s="6"/>
      <c r="I99" s="7"/>
      <c r="J99" s="6"/>
      <c r="K99" s="7"/>
      <c r="L99" s="6"/>
      <c r="M99" s="6"/>
      <c r="N99" s="7"/>
      <c r="O99" s="6"/>
      <c r="P99" s="6"/>
      <c r="Q99" s="7"/>
      <c r="R99" s="6" t="str">
        <f aca="false">IF(AND($A99="",$B99=""),"",IF(Q99="Complete","Onboarded",IF(OR(M99="Member",M99="Ambassador"),"Sponsored",IF(K99&lt;&gt;"","Follow-Up",IF(I99&lt;&gt;"","Presented",IF(F99&lt;&gt;"","Contacted","New Lead"))))))</f>
        <v/>
      </c>
      <c r="S99" s="6"/>
      <c r="T99" s="6" t="str">
        <f aca="true">IF(MAX(F99,I99,K99)=0,"",TODAY()-MAX(F99,I99,K99))</f>
        <v/>
      </c>
      <c r="U99" s="6"/>
      <c r="V99" s="6"/>
      <c r="W99" s="6" t="str">
        <f aca="false">IF(AND($A99="",$B99=""),"",IF(M99="Ambassador","1 - Ambassador",IF(M99="Member","2 - Member",IF(J99="Completed","3 - Presented",IF(H99&lt;&gt;"","4 - Shared",IF(F99&lt;&gt;"","5 - Contacted","6 - No Activity"))))))</f>
        <v/>
      </c>
      <c r="X99" s="6" t="n">
        <f aca="false">IF(AND($A99="",$B99=""),9999999+(ROW()-4),VALUE(LEFT($W99,1))*10000+(ROW()-4))</f>
        <v>10000094</v>
      </c>
    </row>
    <row r="100" customFormat="false" ht="15" hidden="false" customHeight="true" outlineLevel="0" collapsed="false">
      <c r="A100" s="6"/>
      <c r="B100" s="6"/>
      <c r="C100" s="6"/>
      <c r="D100" s="6"/>
      <c r="E100" s="6"/>
      <c r="F100" s="7"/>
      <c r="G100" s="6"/>
      <c r="H100" s="6"/>
      <c r="I100" s="7"/>
      <c r="J100" s="6"/>
      <c r="K100" s="7"/>
      <c r="L100" s="6"/>
      <c r="M100" s="6"/>
      <c r="N100" s="7"/>
      <c r="O100" s="6"/>
      <c r="P100" s="6"/>
      <c r="Q100" s="7"/>
      <c r="R100" s="6" t="str">
        <f aca="false">IF(AND($A100="",$B100=""),"",IF(Q100="Complete","Onboarded",IF(OR(M100="Member",M100="Ambassador"),"Sponsored",IF(K100&lt;&gt;"","Follow-Up",IF(I100&lt;&gt;"","Presented",IF(F100&lt;&gt;"","Contacted","New Lead"))))))</f>
        <v/>
      </c>
      <c r="S100" s="6"/>
      <c r="T100" s="6" t="str">
        <f aca="true">IF(MAX(F100,I100,K100)=0,"",TODAY()-MAX(F100,I100,K100))</f>
        <v/>
      </c>
      <c r="U100" s="6"/>
      <c r="V100" s="6"/>
      <c r="W100" s="6" t="str">
        <f aca="false">IF(AND($A100="",$B100=""),"",IF(M100="Ambassador","1 - Ambassador",IF(M100="Member","2 - Member",IF(J100="Completed","3 - Presented",IF(H100&lt;&gt;"","4 - Shared",IF(F100&lt;&gt;"","5 - Contacted","6 - No Activity"))))))</f>
        <v/>
      </c>
      <c r="X100" s="6" t="n">
        <f aca="false">IF(AND($A100="",$B100=""),9999999+(ROW()-4),VALUE(LEFT($W100,1))*10000+(ROW()-4))</f>
        <v>10000095</v>
      </c>
    </row>
    <row r="101" customFormat="false" ht="15" hidden="false" customHeight="true" outlineLevel="0" collapsed="false">
      <c r="A101" s="6"/>
      <c r="B101" s="6"/>
      <c r="C101" s="6"/>
      <c r="D101" s="6"/>
      <c r="E101" s="6"/>
      <c r="F101" s="7"/>
      <c r="G101" s="6"/>
      <c r="H101" s="6"/>
      <c r="I101" s="7"/>
      <c r="J101" s="6"/>
      <c r="K101" s="7"/>
      <c r="L101" s="6"/>
      <c r="M101" s="6"/>
      <c r="N101" s="7"/>
      <c r="O101" s="6"/>
      <c r="P101" s="6"/>
      <c r="Q101" s="7"/>
      <c r="R101" s="6" t="str">
        <f aca="false">IF(AND($A101="",$B101=""),"",IF(Q101="Complete","Onboarded",IF(OR(M101="Member",M101="Ambassador"),"Sponsored",IF(K101&lt;&gt;"","Follow-Up",IF(I101&lt;&gt;"","Presented",IF(F101&lt;&gt;"","Contacted","New Lead"))))))</f>
        <v/>
      </c>
      <c r="S101" s="6"/>
      <c r="T101" s="6" t="str">
        <f aca="true">IF(MAX(F101,I101,K101)=0,"",TODAY()-MAX(F101,I101,K101))</f>
        <v/>
      </c>
      <c r="U101" s="6"/>
      <c r="V101" s="6"/>
      <c r="W101" s="6" t="str">
        <f aca="false">IF(AND($A101="",$B101=""),"",IF(M101="Ambassador","1 - Ambassador",IF(M101="Member","2 - Member",IF(J101="Completed","3 - Presented",IF(H101&lt;&gt;"","4 - Shared",IF(F101&lt;&gt;"","5 - Contacted","6 - No Activity"))))))</f>
        <v/>
      </c>
      <c r="X101" s="6" t="n">
        <f aca="false">IF(AND($A101="",$B101=""),9999999+(ROW()-4),VALUE(LEFT($W101,1))*10000+(ROW()-4))</f>
        <v>10000096</v>
      </c>
    </row>
    <row r="102" customFormat="false" ht="15" hidden="false" customHeight="true" outlineLevel="0" collapsed="false">
      <c r="A102" s="6"/>
      <c r="B102" s="6"/>
      <c r="C102" s="6"/>
      <c r="D102" s="6"/>
      <c r="E102" s="6"/>
      <c r="F102" s="7"/>
      <c r="G102" s="6"/>
      <c r="H102" s="6"/>
      <c r="I102" s="7"/>
      <c r="J102" s="6"/>
      <c r="K102" s="7"/>
      <c r="L102" s="6"/>
      <c r="M102" s="6"/>
      <c r="N102" s="7"/>
      <c r="O102" s="6"/>
      <c r="P102" s="6"/>
      <c r="Q102" s="7"/>
      <c r="R102" s="6" t="str">
        <f aca="false">IF(AND($A102="",$B102=""),"",IF(Q102="Complete","Onboarded",IF(OR(M102="Member",M102="Ambassador"),"Sponsored",IF(K102&lt;&gt;"","Follow-Up",IF(I102&lt;&gt;"","Presented",IF(F102&lt;&gt;"","Contacted","New Lead"))))))</f>
        <v/>
      </c>
      <c r="S102" s="6"/>
      <c r="T102" s="6" t="str">
        <f aca="true">IF(MAX(F102,I102,K102)=0,"",TODAY()-MAX(F102,I102,K102))</f>
        <v/>
      </c>
      <c r="U102" s="6"/>
      <c r="V102" s="6"/>
      <c r="W102" s="6" t="str">
        <f aca="false">IF(AND($A102="",$B102=""),"",IF(M102="Ambassador","1 - Ambassador",IF(M102="Member","2 - Member",IF(J102="Completed","3 - Presented",IF(H102&lt;&gt;"","4 - Shared",IF(F102&lt;&gt;"","5 - Contacted","6 - No Activity"))))))</f>
        <v/>
      </c>
      <c r="X102" s="6" t="n">
        <f aca="false">IF(AND($A102="",$B102=""),9999999+(ROW()-4),VALUE(LEFT($W102,1))*10000+(ROW()-4))</f>
        <v>10000097</v>
      </c>
    </row>
    <row r="103" customFormat="false" ht="15" hidden="false" customHeight="true" outlineLevel="0" collapsed="false">
      <c r="A103" s="6"/>
      <c r="B103" s="6"/>
      <c r="C103" s="6"/>
      <c r="D103" s="6"/>
      <c r="E103" s="6"/>
      <c r="F103" s="7"/>
      <c r="G103" s="6"/>
      <c r="H103" s="6"/>
      <c r="I103" s="7"/>
      <c r="J103" s="6"/>
      <c r="K103" s="7"/>
      <c r="L103" s="6"/>
      <c r="M103" s="6"/>
      <c r="N103" s="7"/>
      <c r="O103" s="6"/>
      <c r="P103" s="6"/>
      <c r="Q103" s="7"/>
      <c r="R103" s="6" t="str">
        <f aca="false">IF(AND($A103="",$B103=""),"",IF(Q103="Complete","Onboarded",IF(OR(M103="Member",M103="Ambassador"),"Sponsored",IF(K103&lt;&gt;"","Follow-Up",IF(I103&lt;&gt;"","Presented",IF(F103&lt;&gt;"","Contacted","New Lead"))))))</f>
        <v/>
      </c>
      <c r="S103" s="6"/>
      <c r="T103" s="6" t="str">
        <f aca="true">IF(MAX(F103,I103,K103)=0,"",TODAY()-MAX(F103,I103,K103))</f>
        <v/>
      </c>
      <c r="U103" s="6"/>
      <c r="V103" s="6"/>
      <c r="W103" s="6" t="str">
        <f aca="false">IF(AND($A103="",$B103=""),"",IF(M103="Ambassador","1 - Ambassador",IF(M103="Member","2 - Member",IF(J103="Completed","3 - Presented",IF(H103&lt;&gt;"","4 - Shared",IF(F103&lt;&gt;"","5 - Contacted","6 - No Activity"))))))</f>
        <v/>
      </c>
      <c r="X103" s="6" t="n">
        <f aca="false">IF(AND($A103="",$B103=""),9999999+(ROW()-4),VALUE(LEFT($W103,1))*10000+(ROW()-4))</f>
        <v>10000098</v>
      </c>
    </row>
    <row r="104" customFormat="false" ht="15" hidden="false" customHeight="true" outlineLevel="0" collapsed="false">
      <c r="A104" s="6"/>
      <c r="B104" s="6"/>
      <c r="C104" s="6"/>
      <c r="D104" s="6"/>
      <c r="E104" s="6"/>
      <c r="F104" s="7"/>
      <c r="G104" s="6"/>
      <c r="H104" s="6"/>
      <c r="I104" s="7"/>
      <c r="J104" s="6"/>
      <c r="K104" s="7"/>
      <c r="L104" s="6"/>
      <c r="M104" s="6"/>
      <c r="N104" s="7"/>
      <c r="O104" s="6"/>
      <c r="P104" s="6"/>
      <c r="Q104" s="7"/>
      <c r="R104" s="6" t="str">
        <f aca="false">IF(AND($A104="",$B104=""),"",IF(Q104="Complete","Onboarded",IF(OR(M104="Member",M104="Ambassador"),"Sponsored",IF(K104&lt;&gt;"","Follow-Up",IF(I104&lt;&gt;"","Presented",IF(F104&lt;&gt;"","Contacted","New Lead"))))))</f>
        <v/>
      </c>
      <c r="S104" s="6"/>
      <c r="T104" s="6" t="str">
        <f aca="true">IF(MAX(F104,I104,K104)=0,"",TODAY()-MAX(F104,I104,K104))</f>
        <v/>
      </c>
      <c r="U104" s="6"/>
      <c r="V104" s="6"/>
      <c r="W104" s="6" t="str">
        <f aca="false">IF(AND($A104="",$B104=""),"",IF(M104="Ambassador","1 - Ambassador",IF(M104="Member","2 - Member",IF(J104="Completed","3 - Presented",IF(H104&lt;&gt;"","4 - Shared",IF(F104&lt;&gt;"","5 - Contacted","6 - No Activity"))))))</f>
        <v/>
      </c>
      <c r="X104" s="6" t="n">
        <f aca="false">IF(AND($A104="",$B104=""),9999999+(ROW()-4),VALUE(LEFT($W104,1))*10000+(ROW()-4))</f>
        <v>10000099</v>
      </c>
    </row>
    <row r="105" customFormat="false" ht="15" hidden="false" customHeight="true" outlineLevel="0" collapsed="false">
      <c r="A105" s="6"/>
      <c r="B105" s="6"/>
      <c r="C105" s="6"/>
      <c r="D105" s="6"/>
      <c r="E105" s="6"/>
      <c r="F105" s="7"/>
      <c r="G105" s="6"/>
      <c r="H105" s="6"/>
      <c r="I105" s="7"/>
      <c r="J105" s="6"/>
      <c r="K105" s="7"/>
      <c r="L105" s="6"/>
      <c r="M105" s="6"/>
      <c r="N105" s="7"/>
      <c r="O105" s="6"/>
      <c r="P105" s="6"/>
      <c r="Q105" s="7"/>
      <c r="R105" s="6" t="str">
        <f aca="false">IF(AND($A105="",$B105=""),"",IF(Q105="Complete","Onboarded",IF(OR(M105="Member",M105="Ambassador"),"Sponsored",IF(K105&lt;&gt;"","Follow-Up",IF(I105&lt;&gt;"","Presented",IF(F105&lt;&gt;"","Contacted","New Lead"))))))</f>
        <v/>
      </c>
      <c r="S105" s="6"/>
      <c r="T105" s="6" t="str">
        <f aca="true">IF(MAX(F105,I105,K105)=0,"",TODAY()-MAX(F105,I105,K105))</f>
        <v/>
      </c>
      <c r="U105" s="6"/>
      <c r="V105" s="6"/>
      <c r="W105" s="6" t="str">
        <f aca="false">IF(AND($A105="",$B105=""),"",IF(M105="Ambassador","1 - Ambassador",IF(M105="Member","2 - Member",IF(J105="Completed","3 - Presented",IF(H105&lt;&gt;"","4 - Shared",IF(F105&lt;&gt;"","5 - Contacted","6 - No Activity"))))))</f>
        <v/>
      </c>
      <c r="X105" s="6" t="n">
        <f aca="false">IF(AND($A105="",$B105=""),9999999+(ROW()-4),VALUE(LEFT($W105,1))*10000+(ROW()-4))</f>
        <v>10000100</v>
      </c>
    </row>
    <row r="106" customFormat="false" ht="15" hidden="false" customHeight="true" outlineLevel="0" collapsed="false">
      <c r="A106" s="6"/>
      <c r="B106" s="6"/>
      <c r="C106" s="6"/>
      <c r="D106" s="6"/>
      <c r="E106" s="6"/>
      <c r="F106" s="7"/>
      <c r="G106" s="6"/>
      <c r="H106" s="6"/>
      <c r="I106" s="7"/>
      <c r="J106" s="6"/>
      <c r="K106" s="7"/>
      <c r="L106" s="6"/>
      <c r="M106" s="6"/>
      <c r="N106" s="7"/>
      <c r="O106" s="6"/>
      <c r="P106" s="6"/>
      <c r="Q106" s="7"/>
      <c r="R106" s="6" t="str">
        <f aca="false">IF(AND($A106="",$B106=""),"",IF(Q106="Complete","Onboarded",IF(OR(M106="Member",M106="Ambassador"),"Sponsored",IF(K106&lt;&gt;"","Follow-Up",IF(I106&lt;&gt;"","Presented",IF(F106&lt;&gt;"","Contacted","New Lead"))))))</f>
        <v/>
      </c>
      <c r="S106" s="6"/>
      <c r="T106" s="6" t="str">
        <f aca="true">IF(MAX(F106,I106,K106)=0,"",TODAY()-MAX(F106,I106,K106))</f>
        <v/>
      </c>
      <c r="U106" s="6"/>
      <c r="V106" s="6"/>
      <c r="W106" s="6" t="str">
        <f aca="false">IF(AND($A106="",$B106=""),"",IF(M106="Ambassador","1 - Ambassador",IF(M106="Member","2 - Member",IF(J106="Completed","3 - Presented",IF(H106&lt;&gt;"","4 - Shared",IF(F106&lt;&gt;"","5 - Contacted","6 - No Activity"))))))</f>
        <v/>
      </c>
      <c r="X106" s="6" t="n">
        <f aca="false">IF(AND($A106="",$B106=""),9999999+(ROW()-4),VALUE(LEFT($W106,1))*10000+(ROW()-4))</f>
        <v>10000101</v>
      </c>
    </row>
    <row r="107" customFormat="false" ht="15" hidden="false" customHeight="true" outlineLevel="0" collapsed="false">
      <c r="A107" s="6"/>
      <c r="B107" s="6"/>
      <c r="C107" s="6"/>
      <c r="D107" s="6"/>
      <c r="E107" s="6"/>
      <c r="F107" s="7"/>
      <c r="G107" s="6"/>
      <c r="H107" s="6"/>
      <c r="I107" s="7"/>
      <c r="J107" s="6"/>
      <c r="K107" s="7"/>
      <c r="L107" s="6"/>
      <c r="M107" s="6"/>
      <c r="N107" s="7"/>
      <c r="O107" s="6"/>
      <c r="P107" s="6"/>
      <c r="Q107" s="7"/>
      <c r="R107" s="6" t="str">
        <f aca="false">IF(AND($A107="",$B107=""),"",IF(Q107="Complete","Onboarded",IF(OR(M107="Member",M107="Ambassador"),"Sponsored",IF(K107&lt;&gt;"","Follow-Up",IF(I107&lt;&gt;"","Presented",IF(F107&lt;&gt;"","Contacted","New Lead"))))))</f>
        <v/>
      </c>
      <c r="S107" s="6"/>
      <c r="T107" s="6" t="str">
        <f aca="true">IF(MAX(F107,I107,K107)=0,"",TODAY()-MAX(F107,I107,K107))</f>
        <v/>
      </c>
      <c r="U107" s="6"/>
      <c r="V107" s="6"/>
      <c r="W107" s="6" t="str">
        <f aca="false">IF(AND($A107="",$B107=""),"",IF(M107="Ambassador","1 - Ambassador",IF(M107="Member","2 - Member",IF(J107="Completed","3 - Presented",IF(H107&lt;&gt;"","4 - Shared",IF(F107&lt;&gt;"","5 - Contacted","6 - No Activity"))))))</f>
        <v/>
      </c>
      <c r="X107" s="6" t="n">
        <f aca="false">IF(AND($A107="",$B107=""),9999999+(ROW()-4),VALUE(LEFT($W107,1))*10000+(ROW()-4))</f>
        <v>10000102</v>
      </c>
    </row>
    <row r="108" customFormat="false" ht="15" hidden="false" customHeight="true" outlineLevel="0" collapsed="false">
      <c r="A108" s="6"/>
      <c r="B108" s="6"/>
      <c r="C108" s="6"/>
      <c r="D108" s="6"/>
      <c r="E108" s="6"/>
      <c r="F108" s="7"/>
      <c r="G108" s="6"/>
      <c r="H108" s="6"/>
      <c r="I108" s="7"/>
      <c r="J108" s="6"/>
      <c r="K108" s="7"/>
      <c r="L108" s="6"/>
      <c r="M108" s="6"/>
      <c r="N108" s="7"/>
      <c r="O108" s="6"/>
      <c r="P108" s="6"/>
      <c r="Q108" s="7"/>
      <c r="R108" s="6" t="str">
        <f aca="false">IF(AND($A108="",$B108=""),"",IF(Q108="Complete","Onboarded",IF(OR(M108="Member",M108="Ambassador"),"Sponsored",IF(K108&lt;&gt;"","Follow-Up",IF(I108&lt;&gt;"","Presented",IF(F108&lt;&gt;"","Contacted","New Lead"))))))</f>
        <v/>
      </c>
      <c r="S108" s="6"/>
      <c r="T108" s="6" t="str">
        <f aca="true">IF(MAX(F108,I108,K108)=0,"",TODAY()-MAX(F108,I108,K108))</f>
        <v/>
      </c>
      <c r="U108" s="6"/>
      <c r="V108" s="6"/>
      <c r="W108" s="6" t="str">
        <f aca="false">IF(AND($A108="",$B108=""),"",IF(M108="Ambassador","1 - Ambassador",IF(M108="Member","2 - Member",IF(J108="Completed","3 - Presented",IF(H108&lt;&gt;"","4 - Shared",IF(F108&lt;&gt;"","5 - Contacted","6 - No Activity"))))))</f>
        <v/>
      </c>
      <c r="X108" s="6" t="n">
        <f aca="false">IF(AND($A108="",$B108=""),9999999+(ROW()-4),VALUE(LEFT($W108,1))*10000+(ROW()-4))</f>
        <v>10000103</v>
      </c>
    </row>
    <row r="109" customFormat="false" ht="15" hidden="false" customHeight="true" outlineLevel="0" collapsed="false">
      <c r="A109" s="6"/>
      <c r="B109" s="6"/>
      <c r="C109" s="6"/>
      <c r="D109" s="6"/>
      <c r="E109" s="6"/>
      <c r="F109" s="7"/>
      <c r="G109" s="6"/>
      <c r="H109" s="6"/>
      <c r="I109" s="7"/>
      <c r="J109" s="6"/>
      <c r="K109" s="7"/>
      <c r="L109" s="6"/>
      <c r="M109" s="6"/>
      <c r="N109" s="7"/>
      <c r="O109" s="6"/>
      <c r="P109" s="6"/>
      <c r="Q109" s="7"/>
      <c r="R109" s="6" t="str">
        <f aca="false">IF(AND($A109="",$B109=""),"",IF(Q109="Complete","Onboarded",IF(OR(M109="Member",M109="Ambassador"),"Sponsored",IF(K109&lt;&gt;"","Follow-Up",IF(I109&lt;&gt;"","Presented",IF(F109&lt;&gt;"","Contacted","New Lead"))))))</f>
        <v/>
      </c>
      <c r="S109" s="6"/>
      <c r="T109" s="6" t="str">
        <f aca="true">IF(MAX(F109,I109,K109)=0,"",TODAY()-MAX(F109,I109,K109))</f>
        <v/>
      </c>
      <c r="U109" s="6"/>
      <c r="V109" s="6"/>
      <c r="W109" s="6" t="str">
        <f aca="false">IF(AND($A109="",$B109=""),"",IF(M109="Ambassador","1 - Ambassador",IF(M109="Member","2 - Member",IF(J109="Completed","3 - Presented",IF(H109&lt;&gt;"","4 - Shared",IF(F109&lt;&gt;"","5 - Contacted","6 - No Activity"))))))</f>
        <v/>
      </c>
      <c r="X109" s="6" t="n">
        <f aca="false">IF(AND($A109="",$B109=""),9999999+(ROW()-4),VALUE(LEFT($W109,1))*10000+(ROW()-4))</f>
        <v>10000104</v>
      </c>
    </row>
    <row r="110" customFormat="false" ht="15" hidden="false" customHeight="true" outlineLevel="0" collapsed="false">
      <c r="A110" s="6"/>
      <c r="B110" s="6"/>
      <c r="C110" s="6"/>
      <c r="D110" s="6"/>
      <c r="E110" s="6"/>
      <c r="F110" s="7"/>
      <c r="G110" s="6"/>
      <c r="H110" s="6"/>
      <c r="I110" s="7"/>
      <c r="J110" s="6"/>
      <c r="K110" s="7"/>
      <c r="L110" s="6"/>
      <c r="M110" s="6"/>
      <c r="N110" s="7"/>
      <c r="O110" s="6"/>
      <c r="P110" s="6"/>
      <c r="Q110" s="7"/>
      <c r="R110" s="6" t="str">
        <f aca="false">IF(AND($A110="",$B110=""),"",IF(Q110="Complete","Onboarded",IF(OR(M110="Member",M110="Ambassador"),"Sponsored",IF(K110&lt;&gt;"","Follow-Up",IF(I110&lt;&gt;"","Presented",IF(F110&lt;&gt;"","Contacted","New Lead"))))))</f>
        <v/>
      </c>
      <c r="S110" s="6"/>
      <c r="T110" s="6" t="str">
        <f aca="true">IF(MAX(F110,I110,K110)=0,"",TODAY()-MAX(F110,I110,K110))</f>
        <v/>
      </c>
      <c r="U110" s="6"/>
      <c r="V110" s="6"/>
      <c r="W110" s="6" t="str">
        <f aca="false">IF(AND($A110="",$B110=""),"",IF(M110="Ambassador","1 - Ambassador",IF(M110="Member","2 - Member",IF(J110="Completed","3 - Presented",IF(H110&lt;&gt;"","4 - Shared",IF(F110&lt;&gt;"","5 - Contacted","6 - No Activity"))))))</f>
        <v/>
      </c>
      <c r="X110" s="6" t="n">
        <f aca="false">IF(AND($A110="",$B110=""),9999999+(ROW()-4),VALUE(LEFT($W110,1))*10000+(ROW()-4))</f>
        <v>10000105</v>
      </c>
    </row>
    <row r="111" customFormat="false" ht="15" hidden="false" customHeight="true" outlineLevel="0" collapsed="false">
      <c r="A111" s="6"/>
      <c r="B111" s="6"/>
      <c r="C111" s="6"/>
      <c r="D111" s="6"/>
      <c r="E111" s="6"/>
      <c r="F111" s="7"/>
      <c r="G111" s="6"/>
      <c r="H111" s="6"/>
      <c r="I111" s="7"/>
      <c r="J111" s="6"/>
      <c r="K111" s="7"/>
      <c r="L111" s="6"/>
      <c r="M111" s="6"/>
      <c r="N111" s="7"/>
      <c r="O111" s="6"/>
      <c r="P111" s="6"/>
      <c r="Q111" s="7"/>
      <c r="R111" s="6" t="str">
        <f aca="false">IF(AND($A111="",$B111=""),"",IF(Q111="Complete","Onboarded",IF(OR(M111="Member",M111="Ambassador"),"Sponsored",IF(K111&lt;&gt;"","Follow-Up",IF(I111&lt;&gt;"","Presented",IF(F111&lt;&gt;"","Contacted","New Lead"))))))</f>
        <v/>
      </c>
      <c r="S111" s="6"/>
      <c r="T111" s="6" t="str">
        <f aca="true">IF(MAX(F111,I111,K111)=0,"",TODAY()-MAX(F111,I111,K111))</f>
        <v/>
      </c>
      <c r="U111" s="6"/>
      <c r="V111" s="6"/>
      <c r="W111" s="6" t="str">
        <f aca="false">IF(AND($A111="",$B111=""),"",IF(M111="Ambassador","1 - Ambassador",IF(M111="Member","2 - Member",IF(J111="Completed","3 - Presented",IF(H111&lt;&gt;"","4 - Shared",IF(F111&lt;&gt;"","5 - Contacted","6 - No Activity"))))))</f>
        <v/>
      </c>
      <c r="X111" s="6" t="n">
        <f aca="false">IF(AND($A111="",$B111=""),9999999+(ROW()-4),VALUE(LEFT($W111,1))*10000+(ROW()-4))</f>
        <v>10000106</v>
      </c>
    </row>
    <row r="112" customFormat="false" ht="15" hidden="false" customHeight="true" outlineLevel="0" collapsed="false">
      <c r="A112" s="6"/>
      <c r="B112" s="6"/>
      <c r="C112" s="6"/>
      <c r="D112" s="6"/>
      <c r="E112" s="6"/>
      <c r="F112" s="7"/>
      <c r="G112" s="6"/>
      <c r="H112" s="6"/>
      <c r="I112" s="7"/>
      <c r="J112" s="6"/>
      <c r="K112" s="7"/>
      <c r="L112" s="6"/>
      <c r="M112" s="6"/>
      <c r="N112" s="7"/>
      <c r="O112" s="6"/>
      <c r="P112" s="6"/>
      <c r="Q112" s="7"/>
      <c r="R112" s="6" t="str">
        <f aca="false">IF(AND($A112="",$B112=""),"",IF(Q112="Complete","Onboarded",IF(OR(M112="Member",M112="Ambassador"),"Sponsored",IF(K112&lt;&gt;"","Follow-Up",IF(I112&lt;&gt;"","Presented",IF(F112&lt;&gt;"","Contacted","New Lead"))))))</f>
        <v/>
      </c>
      <c r="S112" s="6"/>
      <c r="T112" s="6" t="str">
        <f aca="true">IF(MAX(F112,I112,K112)=0,"",TODAY()-MAX(F112,I112,K112))</f>
        <v/>
      </c>
      <c r="U112" s="6"/>
      <c r="V112" s="6"/>
      <c r="W112" s="6" t="str">
        <f aca="false">IF(AND($A112="",$B112=""),"",IF(M112="Ambassador","1 - Ambassador",IF(M112="Member","2 - Member",IF(J112="Completed","3 - Presented",IF(H112&lt;&gt;"","4 - Shared",IF(F112&lt;&gt;"","5 - Contacted","6 - No Activity"))))))</f>
        <v/>
      </c>
      <c r="X112" s="6" t="n">
        <f aca="false">IF(AND($A112="",$B112=""),9999999+(ROW()-4),VALUE(LEFT($W112,1))*10000+(ROW()-4))</f>
        <v>10000107</v>
      </c>
    </row>
    <row r="113" customFormat="false" ht="15" hidden="false" customHeight="true" outlineLevel="0" collapsed="false">
      <c r="A113" s="6"/>
      <c r="B113" s="6"/>
      <c r="C113" s="6"/>
      <c r="D113" s="6"/>
      <c r="E113" s="6"/>
      <c r="F113" s="7"/>
      <c r="G113" s="6"/>
      <c r="H113" s="6"/>
      <c r="I113" s="7"/>
      <c r="J113" s="6"/>
      <c r="K113" s="7"/>
      <c r="L113" s="6"/>
      <c r="M113" s="6"/>
      <c r="N113" s="7"/>
      <c r="O113" s="6"/>
      <c r="P113" s="6"/>
      <c r="Q113" s="7"/>
      <c r="R113" s="6" t="str">
        <f aca="false">IF(AND($A113="",$B113=""),"",IF(Q113="Complete","Onboarded",IF(OR(M113="Member",M113="Ambassador"),"Sponsored",IF(K113&lt;&gt;"","Follow-Up",IF(I113&lt;&gt;"","Presented",IF(F113&lt;&gt;"","Contacted","New Lead"))))))</f>
        <v/>
      </c>
      <c r="S113" s="6"/>
      <c r="T113" s="6" t="str">
        <f aca="true">IF(MAX(F113,I113,K113)=0,"",TODAY()-MAX(F113,I113,K113))</f>
        <v/>
      </c>
      <c r="U113" s="6"/>
      <c r="V113" s="6"/>
      <c r="W113" s="6" t="str">
        <f aca="false">IF(AND($A113="",$B113=""),"",IF(M113="Ambassador","1 - Ambassador",IF(M113="Member","2 - Member",IF(J113="Completed","3 - Presented",IF(H113&lt;&gt;"","4 - Shared",IF(F113&lt;&gt;"","5 - Contacted","6 - No Activity"))))))</f>
        <v/>
      </c>
      <c r="X113" s="6" t="n">
        <f aca="false">IF(AND($A113="",$B113=""),9999999+(ROW()-4),VALUE(LEFT($W113,1))*10000+(ROW()-4))</f>
        <v>10000108</v>
      </c>
    </row>
    <row r="114" customFormat="false" ht="15" hidden="false" customHeight="true" outlineLevel="0" collapsed="false">
      <c r="A114" s="6"/>
      <c r="B114" s="6"/>
      <c r="C114" s="6"/>
      <c r="D114" s="6"/>
      <c r="E114" s="6"/>
      <c r="F114" s="7"/>
      <c r="G114" s="6"/>
      <c r="H114" s="6"/>
      <c r="I114" s="7"/>
      <c r="J114" s="6"/>
      <c r="K114" s="7"/>
      <c r="L114" s="6"/>
      <c r="M114" s="6"/>
      <c r="N114" s="7"/>
      <c r="O114" s="6"/>
      <c r="P114" s="6"/>
      <c r="Q114" s="7"/>
      <c r="R114" s="6" t="str">
        <f aca="false">IF(AND($A114="",$B114=""),"",IF(Q114="Complete","Onboarded",IF(OR(M114="Member",M114="Ambassador"),"Sponsored",IF(K114&lt;&gt;"","Follow-Up",IF(I114&lt;&gt;"","Presented",IF(F114&lt;&gt;"","Contacted","New Lead"))))))</f>
        <v/>
      </c>
      <c r="S114" s="6"/>
      <c r="T114" s="6" t="str">
        <f aca="true">IF(MAX(F114,I114,K114)=0,"",TODAY()-MAX(F114,I114,K114))</f>
        <v/>
      </c>
      <c r="U114" s="6"/>
      <c r="V114" s="6"/>
      <c r="W114" s="6" t="str">
        <f aca="false">IF(AND($A114="",$B114=""),"",IF(M114="Ambassador","1 - Ambassador",IF(M114="Member","2 - Member",IF(J114="Completed","3 - Presented",IF(H114&lt;&gt;"","4 - Shared",IF(F114&lt;&gt;"","5 - Contacted","6 - No Activity"))))))</f>
        <v/>
      </c>
      <c r="X114" s="6" t="n">
        <f aca="false">IF(AND($A114="",$B114=""),9999999+(ROW()-4),VALUE(LEFT($W114,1))*10000+(ROW()-4))</f>
        <v>10000109</v>
      </c>
    </row>
    <row r="115" customFormat="false" ht="15" hidden="false" customHeight="true" outlineLevel="0" collapsed="false">
      <c r="A115" s="6"/>
      <c r="B115" s="6"/>
      <c r="C115" s="6"/>
      <c r="D115" s="6"/>
      <c r="E115" s="6"/>
      <c r="F115" s="7"/>
      <c r="G115" s="6"/>
      <c r="H115" s="6"/>
      <c r="I115" s="7"/>
      <c r="J115" s="6"/>
      <c r="K115" s="7"/>
      <c r="L115" s="6"/>
      <c r="M115" s="6"/>
      <c r="N115" s="7"/>
      <c r="O115" s="6"/>
      <c r="P115" s="6"/>
      <c r="Q115" s="7"/>
      <c r="R115" s="6" t="str">
        <f aca="false">IF(AND($A115="",$B115=""),"",IF(Q115="Complete","Onboarded",IF(OR(M115="Member",M115="Ambassador"),"Sponsored",IF(K115&lt;&gt;"","Follow-Up",IF(I115&lt;&gt;"","Presented",IF(F115&lt;&gt;"","Contacted","New Lead"))))))</f>
        <v/>
      </c>
      <c r="S115" s="6"/>
      <c r="T115" s="6" t="str">
        <f aca="true">IF(MAX(F115,I115,K115)=0,"",TODAY()-MAX(F115,I115,K115))</f>
        <v/>
      </c>
      <c r="U115" s="6"/>
      <c r="V115" s="6"/>
      <c r="W115" s="6" t="str">
        <f aca="false">IF(AND($A115="",$B115=""),"",IF(M115="Ambassador","1 - Ambassador",IF(M115="Member","2 - Member",IF(J115="Completed","3 - Presented",IF(H115&lt;&gt;"","4 - Shared",IF(F115&lt;&gt;"","5 - Contacted","6 - No Activity"))))))</f>
        <v/>
      </c>
      <c r="X115" s="6" t="n">
        <f aca="false">IF(AND($A115="",$B115=""),9999999+(ROW()-4),VALUE(LEFT($W115,1))*10000+(ROW()-4))</f>
        <v>10000110</v>
      </c>
    </row>
    <row r="116" customFormat="false" ht="15" hidden="false" customHeight="true" outlineLevel="0" collapsed="false">
      <c r="A116" s="6"/>
      <c r="B116" s="6"/>
      <c r="C116" s="6"/>
      <c r="D116" s="6"/>
      <c r="E116" s="6"/>
      <c r="F116" s="7"/>
      <c r="G116" s="6"/>
      <c r="H116" s="6"/>
      <c r="I116" s="7"/>
      <c r="J116" s="6"/>
      <c r="K116" s="7"/>
      <c r="L116" s="6"/>
      <c r="M116" s="6"/>
      <c r="N116" s="7"/>
      <c r="O116" s="6"/>
      <c r="P116" s="6"/>
      <c r="Q116" s="7"/>
      <c r="R116" s="6" t="str">
        <f aca="false">IF(AND($A116="",$B116=""),"",IF(Q116="Complete","Onboarded",IF(OR(M116="Member",M116="Ambassador"),"Sponsored",IF(K116&lt;&gt;"","Follow-Up",IF(I116&lt;&gt;"","Presented",IF(F116&lt;&gt;"","Contacted","New Lead"))))))</f>
        <v/>
      </c>
      <c r="S116" s="6"/>
      <c r="T116" s="6" t="str">
        <f aca="true">IF(MAX(F116,I116,K116)=0,"",TODAY()-MAX(F116,I116,K116))</f>
        <v/>
      </c>
      <c r="U116" s="6"/>
      <c r="V116" s="6"/>
      <c r="W116" s="6" t="str">
        <f aca="false">IF(AND($A116="",$B116=""),"",IF(M116="Ambassador","1 - Ambassador",IF(M116="Member","2 - Member",IF(J116="Completed","3 - Presented",IF(H116&lt;&gt;"","4 - Shared",IF(F116&lt;&gt;"","5 - Contacted","6 - No Activity"))))))</f>
        <v/>
      </c>
      <c r="X116" s="6" t="n">
        <f aca="false">IF(AND($A116="",$B116=""),9999999+(ROW()-4),VALUE(LEFT($W116,1))*10000+(ROW()-4))</f>
        <v>10000111</v>
      </c>
    </row>
    <row r="117" customFormat="false" ht="15" hidden="false" customHeight="true" outlineLevel="0" collapsed="false">
      <c r="A117" s="6"/>
      <c r="B117" s="6"/>
      <c r="C117" s="6"/>
      <c r="D117" s="6"/>
      <c r="E117" s="6"/>
      <c r="F117" s="7"/>
      <c r="G117" s="6"/>
      <c r="H117" s="6"/>
      <c r="I117" s="7"/>
      <c r="J117" s="6"/>
      <c r="K117" s="7"/>
      <c r="L117" s="6"/>
      <c r="M117" s="6"/>
      <c r="N117" s="7"/>
      <c r="O117" s="6"/>
      <c r="P117" s="6"/>
      <c r="Q117" s="7"/>
      <c r="R117" s="6" t="str">
        <f aca="false">IF(AND($A117="",$B117=""),"",IF(Q117="Complete","Onboarded",IF(OR(M117="Member",M117="Ambassador"),"Sponsored",IF(K117&lt;&gt;"","Follow-Up",IF(I117&lt;&gt;"","Presented",IF(F117&lt;&gt;"","Contacted","New Lead"))))))</f>
        <v/>
      </c>
      <c r="S117" s="6"/>
      <c r="T117" s="6" t="str">
        <f aca="true">IF(MAX(F117,I117,K117)=0,"",TODAY()-MAX(F117,I117,K117))</f>
        <v/>
      </c>
      <c r="U117" s="6"/>
      <c r="V117" s="6"/>
      <c r="W117" s="6" t="str">
        <f aca="false">IF(AND($A117="",$B117=""),"",IF(M117="Ambassador","1 - Ambassador",IF(M117="Member","2 - Member",IF(J117="Completed","3 - Presented",IF(H117&lt;&gt;"","4 - Shared",IF(F117&lt;&gt;"","5 - Contacted","6 - No Activity"))))))</f>
        <v/>
      </c>
      <c r="X117" s="6" t="n">
        <f aca="false">IF(AND($A117="",$B117=""),9999999+(ROW()-4),VALUE(LEFT($W117,1))*10000+(ROW()-4))</f>
        <v>10000112</v>
      </c>
    </row>
    <row r="118" customFormat="false" ht="15" hidden="false" customHeight="true" outlineLevel="0" collapsed="false">
      <c r="A118" s="6"/>
      <c r="B118" s="6"/>
      <c r="C118" s="6"/>
      <c r="D118" s="6"/>
      <c r="E118" s="6"/>
      <c r="F118" s="7"/>
      <c r="G118" s="6"/>
      <c r="H118" s="6"/>
      <c r="I118" s="7"/>
      <c r="J118" s="6"/>
      <c r="K118" s="7"/>
      <c r="L118" s="6"/>
      <c r="M118" s="6"/>
      <c r="N118" s="7"/>
      <c r="O118" s="6"/>
      <c r="P118" s="6"/>
      <c r="Q118" s="7"/>
      <c r="R118" s="6" t="str">
        <f aca="false">IF(AND($A118="",$B118=""),"",IF(Q118="Complete","Onboarded",IF(OR(M118="Member",M118="Ambassador"),"Sponsored",IF(K118&lt;&gt;"","Follow-Up",IF(I118&lt;&gt;"","Presented",IF(F118&lt;&gt;"","Contacted","New Lead"))))))</f>
        <v/>
      </c>
      <c r="S118" s="6"/>
      <c r="T118" s="6" t="str">
        <f aca="true">IF(MAX(F118,I118,K118)=0,"",TODAY()-MAX(F118,I118,K118))</f>
        <v/>
      </c>
      <c r="U118" s="6"/>
      <c r="V118" s="6"/>
      <c r="W118" s="6" t="str">
        <f aca="false">IF(AND($A118="",$B118=""),"",IF(M118="Ambassador","1 - Ambassador",IF(M118="Member","2 - Member",IF(J118="Completed","3 - Presented",IF(H118&lt;&gt;"","4 - Shared",IF(F118&lt;&gt;"","5 - Contacted","6 - No Activity"))))))</f>
        <v/>
      </c>
      <c r="X118" s="6" t="n">
        <f aca="false">IF(AND($A118="",$B118=""),9999999+(ROW()-4),VALUE(LEFT($W118,1))*10000+(ROW()-4))</f>
        <v>10000113</v>
      </c>
    </row>
    <row r="119" customFormat="false" ht="15" hidden="false" customHeight="true" outlineLevel="0" collapsed="false">
      <c r="A119" s="6"/>
      <c r="B119" s="6"/>
      <c r="C119" s="6"/>
      <c r="D119" s="6"/>
      <c r="E119" s="6"/>
      <c r="F119" s="7"/>
      <c r="G119" s="6"/>
      <c r="H119" s="6"/>
      <c r="I119" s="7"/>
      <c r="J119" s="6"/>
      <c r="K119" s="7"/>
      <c r="L119" s="6"/>
      <c r="M119" s="6"/>
      <c r="N119" s="7"/>
      <c r="O119" s="6"/>
      <c r="P119" s="6"/>
      <c r="Q119" s="7"/>
      <c r="R119" s="6" t="str">
        <f aca="false">IF(AND($A119="",$B119=""),"",IF(Q119="Complete","Onboarded",IF(OR(M119="Member",M119="Ambassador"),"Sponsored",IF(K119&lt;&gt;"","Follow-Up",IF(I119&lt;&gt;"","Presented",IF(F119&lt;&gt;"","Contacted","New Lead"))))))</f>
        <v/>
      </c>
      <c r="S119" s="6"/>
      <c r="T119" s="6" t="str">
        <f aca="true">IF(MAX(F119,I119,K119)=0,"",TODAY()-MAX(F119,I119,K119))</f>
        <v/>
      </c>
      <c r="U119" s="6"/>
      <c r="V119" s="6"/>
      <c r="W119" s="6" t="str">
        <f aca="false">IF(AND($A119="",$B119=""),"",IF(M119="Ambassador","1 - Ambassador",IF(M119="Member","2 - Member",IF(J119="Completed","3 - Presented",IF(H119&lt;&gt;"","4 - Shared",IF(F119&lt;&gt;"","5 - Contacted","6 - No Activity"))))))</f>
        <v/>
      </c>
      <c r="X119" s="6" t="n">
        <f aca="false">IF(AND($A119="",$B119=""),9999999+(ROW()-4),VALUE(LEFT($W119,1))*10000+(ROW()-4))</f>
        <v>10000114</v>
      </c>
    </row>
    <row r="120" customFormat="false" ht="15" hidden="false" customHeight="true" outlineLevel="0" collapsed="false">
      <c r="A120" s="6"/>
      <c r="B120" s="6"/>
      <c r="C120" s="6"/>
      <c r="D120" s="6"/>
      <c r="E120" s="6"/>
      <c r="F120" s="7"/>
      <c r="G120" s="6"/>
      <c r="H120" s="6"/>
      <c r="I120" s="7"/>
      <c r="J120" s="6"/>
      <c r="K120" s="7"/>
      <c r="L120" s="6"/>
      <c r="M120" s="6"/>
      <c r="N120" s="7"/>
      <c r="O120" s="6"/>
      <c r="P120" s="6"/>
      <c r="Q120" s="7"/>
      <c r="R120" s="6" t="str">
        <f aca="false">IF(AND($A120="",$B120=""),"",IF(Q120="Complete","Onboarded",IF(OR(M120="Member",M120="Ambassador"),"Sponsored",IF(K120&lt;&gt;"","Follow-Up",IF(I120&lt;&gt;"","Presented",IF(F120&lt;&gt;"","Contacted","New Lead"))))))</f>
        <v/>
      </c>
      <c r="S120" s="6"/>
      <c r="T120" s="6" t="str">
        <f aca="true">IF(MAX(F120,I120,K120)=0,"",TODAY()-MAX(F120,I120,K120))</f>
        <v/>
      </c>
      <c r="U120" s="6"/>
      <c r="V120" s="6"/>
      <c r="W120" s="6" t="str">
        <f aca="false">IF(AND($A120="",$B120=""),"",IF(M120="Ambassador","1 - Ambassador",IF(M120="Member","2 - Member",IF(J120="Completed","3 - Presented",IF(H120&lt;&gt;"","4 - Shared",IF(F120&lt;&gt;"","5 - Contacted","6 - No Activity"))))))</f>
        <v/>
      </c>
      <c r="X120" s="6" t="n">
        <f aca="false">IF(AND($A120="",$B120=""),9999999+(ROW()-4),VALUE(LEFT($W120,1))*10000+(ROW()-4))</f>
        <v>10000115</v>
      </c>
    </row>
    <row r="121" customFormat="false" ht="15" hidden="false" customHeight="true" outlineLevel="0" collapsed="false">
      <c r="A121" s="6"/>
      <c r="B121" s="6"/>
      <c r="C121" s="6"/>
      <c r="D121" s="6"/>
      <c r="E121" s="6"/>
      <c r="F121" s="7"/>
      <c r="G121" s="6"/>
      <c r="H121" s="6"/>
      <c r="I121" s="7"/>
      <c r="J121" s="6"/>
      <c r="K121" s="7"/>
      <c r="L121" s="6"/>
      <c r="M121" s="6"/>
      <c r="N121" s="7"/>
      <c r="O121" s="6"/>
      <c r="P121" s="6"/>
      <c r="Q121" s="7"/>
      <c r="R121" s="6" t="str">
        <f aca="false">IF(AND($A121="",$B121=""),"",IF(Q121="Complete","Onboarded",IF(OR(M121="Member",M121="Ambassador"),"Sponsored",IF(K121&lt;&gt;"","Follow-Up",IF(I121&lt;&gt;"","Presented",IF(F121&lt;&gt;"","Contacted","New Lead"))))))</f>
        <v/>
      </c>
      <c r="S121" s="6"/>
      <c r="T121" s="6" t="str">
        <f aca="true">IF(MAX(F121,I121,K121)=0,"",TODAY()-MAX(F121,I121,K121))</f>
        <v/>
      </c>
      <c r="U121" s="6"/>
      <c r="V121" s="6"/>
      <c r="W121" s="6" t="str">
        <f aca="false">IF(AND($A121="",$B121=""),"",IF(M121="Ambassador","1 - Ambassador",IF(M121="Member","2 - Member",IF(J121="Completed","3 - Presented",IF(H121&lt;&gt;"","4 - Shared",IF(F121&lt;&gt;"","5 - Contacted","6 - No Activity"))))))</f>
        <v/>
      </c>
      <c r="X121" s="6" t="n">
        <f aca="false">IF(AND($A121="",$B121=""),9999999+(ROW()-4),VALUE(LEFT($W121,1))*10000+(ROW()-4))</f>
        <v>10000116</v>
      </c>
    </row>
    <row r="122" customFormat="false" ht="15" hidden="false" customHeight="true" outlineLevel="0" collapsed="false">
      <c r="A122" s="6"/>
      <c r="B122" s="6"/>
      <c r="C122" s="6"/>
      <c r="D122" s="6"/>
      <c r="E122" s="6"/>
      <c r="F122" s="7"/>
      <c r="G122" s="6"/>
      <c r="H122" s="6"/>
      <c r="I122" s="7"/>
      <c r="J122" s="6"/>
      <c r="K122" s="7"/>
      <c r="L122" s="6"/>
      <c r="M122" s="6"/>
      <c r="N122" s="7"/>
      <c r="O122" s="6"/>
      <c r="P122" s="6"/>
      <c r="Q122" s="7"/>
      <c r="R122" s="6" t="str">
        <f aca="false">IF(AND($A122="",$B122=""),"",IF(Q122="Complete","Onboarded",IF(OR(M122="Member",M122="Ambassador"),"Sponsored",IF(K122&lt;&gt;"","Follow-Up",IF(I122&lt;&gt;"","Presented",IF(F122&lt;&gt;"","Contacted","New Lead"))))))</f>
        <v/>
      </c>
      <c r="S122" s="6"/>
      <c r="T122" s="6" t="str">
        <f aca="true">IF(MAX(F122,I122,K122)=0,"",TODAY()-MAX(F122,I122,K122))</f>
        <v/>
      </c>
      <c r="U122" s="6"/>
      <c r="V122" s="6"/>
      <c r="W122" s="6" t="str">
        <f aca="false">IF(AND($A122="",$B122=""),"",IF(M122="Ambassador","1 - Ambassador",IF(M122="Member","2 - Member",IF(J122="Completed","3 - Presented",IF(H122&lt;&gt;"","4 - Shared",IF(F122&lt;&gt;"","5 - Contacted","6 - No Activity"))))))</f>
        <v/>
      </c>
      <c r="X122" s="6" t="n">
        <f aca="false">IF(AND($A122="",$B122=""),9999999+(ROW()-4),VALUE(LEFT($W122,1))*10000+(ROW()-4))</f>
        <v>10000117</v>
      </c>
    </row>
    <row r="123" customFormat="false" ht="15" hidden="false" customHeight="true" outlineLevel="0" collapsed="false">
      <c r="A123" s="6"/>
      <c r="B123" s="6"/>
      <c r="C123" s="6"/>
      <c r="D123" s="6"/>
      <c r="E123" s="6"/>
      <c r="F123" s="7"/>
      <c r="G123" s="6"/>
      <c r="H123" s="6"/>
      <c r="I123" s="7"/>
      <c r="J123" s="6"/>
      <c r="K123" s="7"/>
      <c r="L123" s="6"/>
      <c r="M123" s="6"/>
      <c r="N123" s="7"/>
      <c r="O123" s="6"/>
      <c r="P123" s="6"/>
      <c r="Q123" s="7"/>
      <c r="R123" s="6" t="str">
        <f aca="false">IF(AND($A123="",$B123=""),"",IF(Q123="Complete","Onboarded",IF(OR(M123="Member",M123="Ambassador"),"Sponsored",IF(K123&lt;&gt;"","Follow-Up",IF(I123&lt;&gt;"","Presented",IF(F123&lt;&gt;"","Contacted","New Lead"))))))</f>
        <v/>
      </c>
      <c r="S123" s="6"/>
      <c r="T123" s="6" t="str">
        <f aca="true">IF(MAX(F123,I123,K123)=0,"",TODAY()-MAX(F123,I123,K123))</f>
        <v/>
      </c>
      <c r="U123" s="6"/>
      <c r="V123" s="6"/>
      <c r="W123" s="6" t="str">
        <f aca="false">IF(AND($A123="",$B123=""),"",IF(M123="Ambassador","1 - Ambassador",IF(M123="Member","2 - Member",IF(J123="Completed","3 - Presented",IF(H123&lt;&gt;"","4 - Shared",IF(F123&lt;&gt;"","5 - Contacted","6 - No Activity"))))))</f>
        <v/>
      </c>
      <c r="X123" s="6" t="n">
        <f aca="false">IF(AND($A123="",$B123=""),9999999+(ROW()-4),VALUE(LEFT($W123,1))*10000+(ROW()-4))</f>
        <v>10000118</v>
      </c>
    </row>
    <row r="124" customFormat="false" ht="15" hidden="false" customHeight="true" outlineLevel="0" collapsed="false">
      <c r="A124" s="6"/>
      <c r="B124" s="6"/>
      <c r="C124" s="6"/>
      <c r="D124" s="6"/>
      <c r="E124" s="6"/>
      <c r="F124" s="7"/>
      <c r="G124" s="6"/>
      <c r="H124" s="6"/>
      <c r="I124" s="7"/>
      <c r="J124" s="6"/>
      <c r="K124" s="7"/>
      <c r="L124" s="6"/>
      <c r="M124" s="6"/>
      <c r="N124" s="7"/>
      <c r="O124" s="6"/>
      <c r="P124" s="6"/>
      <c r="Q124" s="7"/>
      <c r="R124" s="6" t="str">
        <f aca="false">IF(AND($A124="",$B124=""),"",IF(Q124="Complete","Onboarded",IF(OR(M124="Member",M124="Ambassador"),"Sponsored",IF(K124&lt;&gt;"","Follow-Up",IF(I124&lt;&gt;"","Presented",IF(F124&lt;&gt;"","Contacted","New Lead"))))))</f>
        <v/>
      </c>
      <c r="S124" s="6"/>
      <c r="T124" s="6" t="str">
        <f aca="true">IF(MAX(F124,I124,K124)=0,"",TODAY()-MAX(F124,I124,K124))</f>
        <v/>
      </c>
      <c r="U124" s="6"/>
      <c r="V124" s="6"/>
      <c r="W124" s="6" t="str">
        <f aca="false">IF(AND($A124="",$B124=""),"",IF(M124="Ambassador","1 - Ambassador",IF(M124="Member","2 - Member",IF(J124="Completed","3 - Presented",IF(H124&lt;&gt;"","4 - Shared",IF(F124&lt;&gt;"","5 - Contacted","6 - No Activity"))))))</f>
        <v/>
      </c>
      <c r="X124" s="6" t="n">
        <f aca="false">IF(AND($A124="",$B124=""),9999999+(ROW()-4),VALUE(LEFT($W124,1))*10000+(ROW()-4))</f>
        <v>10000119</v>
      </c>
    </row>
    <row r="125" customFormat="false" ht="15" hidden="false" customHeight="true" outlineLevel="0" collapsed="false">
      <c r="A125" s="6"/>
      <c r="B125" s="6"/>
      <c r="C125" s="6"/>
      <c r="D125" s="6"/>
      <c r="E125" s="6"/>
      <c r="F125" s="7"/>
      <c r="G125" s="6"/>
      <c r="H125" s="6"/>
      <c r="I125" s="7"/>
      <c r="J125" s="6"/>
      <c r="K125" s="7"/>
      <c r="L125" s="6"/>
      <c r="M125" s="6"/>
      <c r="N125" s="7"/>
      <c r="O125" s="6"/>
      <c r="P125" s="6"/>
      <c r="Q125" s="7"/>
      <c r="R125" s="6" t="str">
        <f aca="false">IF(AND($A125="",$B125=""),"",IF(Q125="Complete","Onboarded",IF(OR(M125="Member",M125="Ambassador"),"Sponsored",IF(K125&lt;&gt;"","Follow-Up",IF(I125&lt;&gt;"","Presented",IF(F125&lt;&gt;"","Contacted","New Lead"))))))</f>
        <v/>
      </c>
      <c r="S125" s="6"/>
      <c r="T125" s="6" t="str">
        <f aca="true">IF(MAX(F125,I125,K125)=0,"",TODAY()-MAX(F125,I125,K125))</f>
        <v/>
      </c>
      <c r="U125" s="6"/>
      <c r="V125" s="6"/>
      <c r="W125" s="6" t="str">
        <f aca="false">IF(AND($A125="",$B125=""),"",IF(M125="Ambassador","1 - Ambassador",IF(M125="Member","2 - Member",IF(J125="Completed","3 - Presented",IF(H125&lt;&gt;"","4 - Shared",IF(F125&lt;&gt;"","5 - Contacted","6 - No Activity"))))))</f>
        <v/>
      </c>
      <c r="X125" s="6" t="n">
        <f aca="false">IF(AND($A125="",$B125=""),9999999+(ROW()-4),VALUE(LEFT($W125,1))*10000+(ROW()-4))</f>
        <v>10000120</v>
      </c>
    </row>
    <row r="126" customFormat="false" ht="15" hidden="false" customHeight="true" outlineLevel="0" collapsed="false">
      <c r="A126" s="6"/>
      <c r="B126" s="6"/>
      <c r="C126" s="6"/>
      <c r="D126" s="6"/>
      <c r="E126" s="6"/>
      <c r="F126" s="7"/>
      <c r="G126" s="6"/>
      <c r="H126" s="6"/>
      <c r="I126" s="7"/>
      <c r="J126" s="6"/>
      <c r="K126" s="7"/>
      <c r="L126" s="6"/>
      <c r="M126" s="6"/>
      <c r="N126" s="7"/>
      <c r="O126" s="6"/>
      <c r="P126" s="6"/>
      <c r="Q126" s="7"/>
      <c r="R126" s="6" t="str">
        <f aca="false">IF(AND($A126="",$B126=""),"",IF(Q126="Complete","Onboarded",IF(OR(M126="Member",M126="Ambassador"),"Sponsored",IF(K126&lt;&gt;"","Follow-Up",IF(I126&lt;&gt;"","Presented",IF(F126&lt;&gt;"","Contacted","New Lead"))))))</f>
        <v/>
      </c>
      <c r="S126" s="6"/>
      <c r="T126" s="6" t="str">
        <f aca="true">IF(MAX(F126,I126,K126)=0,"",TODAY()-MAX(F126,I126,K126))</f>
        <v/>
      </c>
      <c r="U126" s="6"/>
      <c r="V126" s="6"/>
      <c r="W126" s="6" t="str">
        <f aca="false">IF(AND($A126="",$B126=""),"",IF(M126="Ambassador","1 - Ambassador",IF(M126="Member","2 - Member",IF(J126="Completed","3 - Presented",IF(H126&lt;&gt;"","4 - Shared",IF(F126&lt;&gt;"","5 - Contacted","6 - No Activity"))))))</f>
        <v/>
      </c>
      <c r="X126" s="6" t="n">
        <f aca="false">IF(AND($A126="",$B126=""),9999999+(ROW()-4),VALUE(LEFT($W126,1))*10000+(ROW()-4))</f>
        <v>10000121</v>
      </c>
    </row>
    <row r="127" customFormat="false" ht="15" hidden="false" customHeight="true" outlineLevel="0" collapsed="false">
      <c r="A127" s="6"/>
      <c r="B127" s="6"/>
      <c r="C127" s="6"/>
      <c r="D127" s="6"/>
      <c r="E127" s="6"/>
      <c r="F127" s="7"/>
      <c r="G127" s="6"/>
      <c r="H127" s="6"/>
      <c r="I127" s="7"/>
      <c r="J127" s="6"/>
      <c r="K127" s="7"/>
      <c r="L127" s="6"/>
      <c r="M127" s="6"/>
      <c r="N127" s="7"/>
      <c r="O127" s="6"/>
      <c r="P127" s="6"/>
      <c r="Q127" s="7"/>
      <c r="R127" s="6" t="str">
        <f aca="false">IF(AND($A127="",$B127=""),"",IF(Q127="Complete","Onboarded",IF(OR(M127="Member",M127="Ambassador"),"Sponsored",IF(K127&lt;&gt;"","Follow-Up",IF(I127&lt;&gt;"","Presented",IF(F127&lt;&gt;"","Contacted","New Lead"))))))</f>
        <v/>
      </c>
      <c r="S127" s="6"/>
      <c r="T127" s="6" t="str">
        <f aca="true">IF(MAX(F127,I127,K127)=0,"",TODAY()-MAX(F127,I127,K127))</f>
        <v/>
      </c>
      <c r="U127" s="6"/>
      <c r="V127" s="6"/>
      <c r="W127" s="6" t="str">
        <f aca="false">IF(AND($A127="",$B127=""),"",IF(M127="Ambassador","1 - Ambassador",IF(M127="Member","2 - Member",IF(J127="Completed","3 - Presented",IF(H127&lt;&gt;"","4 - Shared",IF(F127&lt;&gt;"","5 - Contacted","6 - No Activity"))))))</f>
        <v/>
      </c>
      <c r="X127" s="6" t="n">
        <f aca="false">IF(AND($A127="",$B127=""),9999999+(ROW()-4),VALUE(LEFT($W127,1))*10000+(ROW()-4))</f>
        <v>10000122</v>
      </c>
    </row>
    <row r="128" customFormat="false" ht="15" hidden="false" customHeight="true" outlineLevel="0" collapsed="false">
      <c r="A128" s="6"/>
      <c r="B128" s="6"/>
      <c r="C128" s="6"/>
      <c r="D128" s="6"/>
      <c r="E128" s="6"/>
      <c r="F128" s="7"/>
      <c r="G128" s="6"/>
      <c r="H128" s="6"/>
      <c r="I128" s="7"/>
      <c r="J128" s="6"/>
      <c r="K128" s="7"/>
      <c r="L128" s="6"/>
      <c r="M128" s="6"/>
      <c r="N128" s="7"/>
      <c r="O128" s="6"/>
      <c r="P128" s="6"/>
      <c r="Q128" s="7"/>
      <c r="R128" s="6" t="str">
        <f aca="false">IF(AND($A128="",$B128=""),"",IF(Q128="Complete","Onboarded",IF(OR(M128="Member",M128="Ambassador"),"Sponsored",IF(K128&lt;&gt;"","Follow-Up",IF(I128&lt;&gt;"","Presented",IF(F128&lt;&gt;"","Contacted","New Lead"))))))</f>
        <v/>
      </c>
      <c r="S128" s="6"/>
      <c r="T128" s="6" t="str">
        <f aca="true">IF(MAX(F128,I128,K128)=0,"",TODAY()-MAX(F128,I128,K128))</f>
        <v/>
      </c>
      <c r="U128" s="6"/>
      <c r="V128" s="6"/>
      <c r="W128" s="6" t="str">
        <f aca="false">IF(AND($A128="",$B128=""),"",IF(M128="Ambassador","1 - Ambassador",IF(M128="Member","2 - Member",IF(J128="Completed","3 - Presented",IF(H128&lt;&gt;"","4 - Shared",IF(F128&lt;&gt;"","5 - Contacted","6 - No Activity"))))))</f>
        <v/>
      </c>
      <c r="X128" s="6" t="n">
        <f aca="false">IF(AND($A128="",$B128=""),9999999+(ROW()-4),VALUE(LEFT($W128,1))*10000+(ROW()-4))</f>
        <v>10000123</v>
      </c>
    </row>
    <row r="129" customFormat="false" ht="15" hidden="false" customHeight="true" outlineLevel="0" collapsed="false">
      <c r="A129" s="6"/>
      <c r="B129" s="6"/>
      <c r="C129" s="6"/>
      <c r="D129" s="6"/>
      <c r="E129" s="6"/>
      <c r="F129" s="7"/>
      <c r="G129" s="6"/>
      <c r="H129" s="6"/>
      <c r="I129" s="7"/>
      <c r="J129" s="6"/>
      <c r="K129" s="7"/>
      <c r="L129" s="6"/>
      <c r="M129" s="6"/>
      <c r="N129" s="7"/>
      <c r="O129" s="6"/>
      <c r="P129" s="6"/>
      <c r="Q129" s="7"/>
      <c r="R129" s="6" t="str">
        <f aca="false">IF(AND($A129="",$B129=""),"",IF(Q129="Complete","Onboarded",IF(OR(M129="Member",M129="Ambassador"),"Sponsored",IF(K129&lt;&gt;"","Follow-Up",IF(I129&lt;&gt;"","Presented",IF(F129&lt;&gt;"","Contacted","New Lead"))))))</f>
        <v/>
      </c>
      <c r="S129" s="6"/>
      <c r="T129" s="6" t="str">
        <f aca="true">IF(MAX(F129,I129,K129)=0,"",TODAY()-MAX(F129,I129,K129))</f>
        <v/>
      </c>
      <c r="U129" s="6"/>
      <c r="V129" s="6"/>
      <c r="W129" s="6" t="str">
        <f aca="false">IF(AND($A129="",$B129=""),"",IF(M129="Ambassador","1 - Ambassador",IF(M129="Member","2 - Member",IF(J129="Completed","3 - Presented",IF(H129&lt;&gt;"","4 - Shared",IF(F129&lt;&gt;"","5 - Contacted","6 - No Activity"))))))</f>
        <v/>
      </c>
      <c r="X129" s="6" t="n">
        <f aca="false">IF(AND($A129="",$B129=""),9999999+(ROW()-4),VALUE(LEFT($W129,1))*10000+(ROW()-4))</f>
        <v>10000124</v>
      </c>
    </row>
    <row r="130" customFormat="false" ht="15" hidden="false" customHeight="true" outlineLevel="0" collapsed="false">
      <c r="A130" s="6"/>
      <c r="B130" s="6"/>
      <c r="C130" s="6"/>
      <c r="D130" s="6"/>
      <c r="E130" s="6"/>
      <c r="F130" s="7"/>
      <c r="G130" s="6"/>
      <c r="H130" s="6"/>
      <c r="I130" s="7"/>
      <c r="J130" s="6"/>
      <c r="K130" s="7"/>
      <c r="L130" s="6"/>
      <c r="M130" s="6"/>
      <c r="N130" s="7"/>
      <c r="O130" s="6"/>
      <c r="P130" s="6"/>
      <c r="Q130" s="7"/>
      <c r="R130" s="6" t="str">
        <f aca="false">IF(AND($A130="",$B130=""),"",IF(Q130="Complete","Onboarded",IF(OR(M130="Member",M130="Ambassador"),"Sponsored",IF(K130&lt;&gt;"","Follow-Up",IF(I130&lt;&gt;"","Presented",IF(F130&lt;&gt;"","Contacted","New Lead"))))))</f>
        <v/>
      </c>
      <c r="S130" s="6"/>
      <c r="T130" s="6" t="str">
        <f aca="true">IF(MAX(F130,I130,K130)=0,"",TODAY()-MAX(F130,I130,K130))</f>
        <v/>
      </c>
      <c r="U130" s="6"/>
      <c r="V130" s="6"/>
      <c r="W130" s="6" t="str">
        <f aca="false">IF(AND($A130="",$B130=""),"",IF(M130="Ambassador","1 - Ambassador",IF(M130="Member","2 - Member",IF(J130="Completed","3 - Presented",IF(H130&lt;&gt;"","4 - Shared",IF(F130&lt;&gt;"","5 - Contacted","6 - No Activity"))))))</f>
        <v/>
      </c>
      <c r="X130" s="6" t="n">
        <f aca="false">IF(AND($A130="",$B130=""),9999999+(ROW()-4),VALUE(LEFT($W130,1))*10000+(ROW()-4))</f>
        <v>10000125</v>
      </c>
    </row>
    <row r="131" customFormat="false" ht="15" hidden="false" customHeight="true" outlineLevel="0" collapsed="false">
      <c r="A131" s="6"/>
      <c r="B131" s="6"/>
      <c r="C131" s="6"/>
      <c r="D131" s="6"/>
      <c r="E131" s="6"/>
      <c r="F131" s="7"/>
      <c r="G131" s="6"/>
      <c r="H131" s="6"/>
      <c r="I131" s="7"/>
      <c r="J131" s="6"/>
      <c r="K131" s="7"/>
      <c r="L131" s="6"/>
      <c r="M131" s="6"/>
      <c r="N131" s="7"/>
      <c r="O131" s="6"/>
      <c r="P131" s="6"/>
      <c r="Q131" s="7"/>
      <c r="R131" s="6" t="str">
        <f aca="false">IF(AND($A131="",$B131=""),"",IF(Q131="Complete","Onboarded",IF(OR(M131="Member",M131="Ambassador"),"Sponsored",IF(K131&lt;&gt;"","Follow-Up",IF(I131&lt;&gt;"","Presented",IF(F131&lt;&gt;"","Contacted","New Lead"))))))</f>
        <v/>
      </c>
      <c r="S131" s="6"/>
      <c r="T131" s="6" t="str">
        <f aca="true">IF(MAX(F131,I131,K131)=0,"",TODAY()-MAX(F131,I131,K131))</f>
        <v/>
      </c>
      <c r="U131" s="6"/>
      <c r="V131" s="6"/>
      <c r="W131" s="6" t="str">
        <f aca="false">IF(AND($A131="",$B131=""),"",IF(M131="Ambassador","1 - Ambassador",IF(M131="Member","2 - Member",IF(J131="Completed","3 - Presented",IF(H131&lt;&gt;"","4 - Shared",IF(F131&lt;&gt;"","5 - Contacted","6 - No Activity"))))))</f>
        <v/>
      </c>
      <c r="X131" s="6" t="n">
        <f aca="false">IF(AND($A131="",$B131=""),9999999+(ROW()-4),VALUE(LEFT($W131,1))*10000+(ROW()-4))</f>
        <v>10000126</v>
      </c>
    </row>
    <row r="132" customFormat="false" ht="15" hidden="false" customHeight="true" outlineLevel="0" collapsed="false">
      <c r="A132" s="6"/>
      <c r="B132" s="6"/>
      <c r="C132" s="6"/>
      <c r="D132" s="6"/>
      <c r="E132" s="6"/>
      <c r="F132" s="7"/>
      <c r="G132" s="6"/>
      <c r="H132" s="6"/>
      <c r="I132" s="7"/>
      <c r="J132" s="6"/>
      <c r="K132" s="7"/>
      <c r="L132" s="6"/>
      <c r="M132" s="6"/>
      <c r="N132" s="7"/>
      <c r="O132" s="6"/>
      <c r="P132" s="6"/>
      <c r="Q132" s="7"/>
      <c r="R132" s="6" t="str">
        <f aca="false">IF(AND($A132="",$B132=""),"",IF(Q132="Complete","Onboarded",IF(OR(M132="Member",M132="Ambassador"),"Sponsored",IF(K132&lt;&gt;"","Follow-Up",IF(I132&lt;&gt;"","Presented",IF(F132&lt;&gt;"","Contacted","New Lead"))))))</f>
        <v/>
      </c>
      <c r="S132" s="6"/>
      <c r="T132" s="6" t="str">
        <f aca="true">IF(MAX(F132,I132,K132)=0,"",TODAY()-MAX(F132,I132,K132))</f>
        <v/>
      </c>
      <c r="U132" s="6"/>
      <c r="V132" s="6"/>
      <c r="W132" s="6" t="str">
        <f aca="false">IF(AND($A132="",$B132=""),"",IF(M132="Ambassador","1 - Ambassador",IF(M132="Member","2 - Member",IF(J132="Completed","3 - Presented",IF(H132&lt;&gt;"","4 - Shared",IF(F132&lt;&gt;"","5 - Contacted","6 - No Activity"))))))</f>
        <v/>
      </c>
      <c r="X132" s="6" t="n">
        <f aca="false">IF(AND($A132="",$B132=""),9999999+(ROW()-4),VALUE(LEFT($W132,1))*10000+(ROW()-4))</f>
        <v>10000127</v>
      </c>
    </row>
    <row r="133" customFormat="false" ht="15" hidden="false" customHeight="true" outlineLevel="0" collapsed="false">
      <c r="A133" s="6"/>
      <c r="B133" s="6"/>
      <c r="C133" s="6"/>
      <c r="D133" s="6"/>
      <c r="E133" s="6"/>
      <c r="F133" s="7"/>
      <c r="G133" s="6"/>
      <c r="H133" s="6"/>
      <c r="I133" s="7"/>
      <c r="J133" s="6"/>
      <c r="K133" s="7"/>
      <c r="L133" s="6"/>
      <c r="M133" s="6"/>
      <c r="N133" s="7"/>
      <c r="O133" s="6"/>
      <c r="P133" s="6"/>
      <c r="Q133" s="7"/>
      <c r="R133" s="6" t="str">
        <f aca="false">IF(AND($A133="",$B133=""),"",IF(Q133="Complete","Onboarded",IF(OR(M133="Member",M133="Ambassador"),"Sponsored",IF(K133&lt;&gt;"","Follow-Up",IF(I133&lt;&gt;"","Presented",IF(F133&lt;&gt;"","Contacted","New Lead"))))))</f>
        <v/>
      </c>
      <c r="S133" s="6"/>
      <c r="T133" s="6" t="str">
        <f aca="true">IF(MAX(F133,I133,K133)=0,"",TODAY()-MAX(F133,I133,K133))</f>
        <v/>
      </c>
      <c r="U133" s="6"/>
      <c r="V133" s="6"/>
      <c r="W133" s="6" t="str">
        <f aca="false">IF(AND($A133="",$B133=""),"",IF(M133="Ambassador","1 - Ambassador",IF(M133="Member","2 - Member",IF(J133="Completed","3 - Presented",IF(H133&lt;&gt;"","4 - Shared",IF(F133&lt;&gt;"","5 - Contacted","6 - No Activity"))))))</f>
        <v/>
      </c>
      <c r="X133" s="6" t="n">
        <f aca="false">IF(AND($A133="",$B133=""),9999999+(ROW()-4),VALUE(LEFT($W133,1))*10000+(ROW()-4))</f>
        <v>10000128</v>
      </c>
    </row>
    <row r="134" customFormat="false" ht="15" hidden="false" customHeight="true" outlineLevel="0" collapsed="false">
      <c r="A134" s="6"/>
      <c r="B134" s="6"/>
      <c r="C134" s="6"/>
      <c r="D134" s="6"/>
      <c r="E134" s="6"/>
      <c r="F134" s="7"/>
      <c r="G134" s="6"/>
      <c r="H134" s="6"/>
      <c r="I134" s="7"/>
      <c r="J134" s="6"/>
      <c r="K134" s="7"/>
      <c r="L134" s="6"/>
      <c r="M134" s="6"/>
      <c r="N134" s="7"/>
      <c r="O134" s="6"/>
      <c r="P134" s="6"/>
      <c r="Q134" s="7"/>
      <c r="R134" s="6" t="str">
        <f aca="false">IF(AND($A134="",$B134=""),"",IF(Q134="Complete","Onboarded",IF(OR(M134="Member",M134="Ambassador"),"Sponsored",IF(K134&lt;&gt;"","Follow-Up",IF(I134&lt;&gt;"","Presented",IF(F134&lt;&gt;"","Contacted","New Lead"))))))</f>
        <v/>
      </c>
      <c r="S134" s="6"/>
      <c r="T134" s="6" t="str">
        <f aca="true">IF(MAX(F134,I134,K134)=0,"",TODAY()-MAX(F134,I134,K134))</f>
        <v/>
      </c>
      <c r="U134" s="6"/>
      <c r="V134" s="6"/>
      <c r="W134" s="6" t="str">
        <f aca="false">IF(AND($A134="",$B134=""),"",IF(M134="Ambassador","1 - Ambassador",IF(M134="Member","2 - Member",IF(J134="Completed","3 - Presented",IF(H134&lt;&gt;"","4 - Shared",IF(F134&lt;&gt;"","5 - Contacted","6 - No Activity"))))))</f>
        <v/>
      </c>
      <c r="X134" s="6" t="n">
        <f aca="false">IF(AND($A134="",$B134=""),9999999+(ROW()-4),VALUE(LEFT($W134,1))*10000+(ROW()-4))</f>
        <v>10000129</v>
      </c>
    </row>
    <row r="135" customFormat="false" ht="15" hidden="false" customHeight="true" outlineLevel="0" collapsed="false">
      <c r="A135" s="6"/>
      <c r="B135" s="6"/>
      <c r="C135" s="6"/>
      <c r="D135" s="6"/>
      <c r="E135" s="6"/>
      <c r="F135" s="7"/>
      <c r="G135" s="6"/>
      <c r="H135" s="6"/>
      <c r="I135" s="7"/>
      <c r="J135" s="6"/>
      <c r="K135" s="7"/>
      <c r="L135" s="6"/>
      <c r="M135" s="6"/>
      <c r="N135" s="7"/>
      <c r="O135" s="6"/>
      <c r="P135" s="6"/>
      <c r="Q135" s="7"/>
      <c r="R135" s="6" t="str">
        <f aca="false">IF(AND($A135="",$B135=""),"",IF(Q135="Complete","Onboarded",IF(OR(M135="Member",M135="Ambassador"),"Sponsored",IF(K135&lt;&gt;"","Follow-Up",IF(I135&lt;&gt;"","Presented",IF(F135&lt;&gt;"","Contacted","New Lead"))))))</f>
        <v/>
      </c>
      <c r="S135" s="6"/>
      <c r="T135" s="6" t="str">
        <f aca="true">IF(MAX(F135,I135,K135)=0,"",TODAY()-MAX(F135,I135,K135))</f>
        <v/>
      </c>
      <c r="U135" s="6"/>
      <c r="V135" s="6"/>
      <c r="W135" s="6" t="str">
        <f aca="false">IF(AND($A135="",$B135=""),"",IF(M135="Ambassador","1 - Ambassador",IF(M135="Member","2 - Member",IF(J135="Completed","3 - Presented",IF(H135&lt;&gt;"","4 - Shared",IF(F135&lt;&gt;"","5 - Contacted","6 - No Activity"))))))</f>
        <v/>
      </c>
      <c r="X135" s="6" t="n">
        <f aca="false">IF(AND($A135="",$B135=""),9999999+(ROW()-4),VALUE(LEFT($W135,1))*10000+(ROW()-4))</f>
        <v>10000130</v>
      </c>
    </row>
    <row r="136" customFormat="false" ht="15" hidden="false" customHeight="true" outlineLevel="0" collapsed="false">
      <c r="A136" s="6"/>
      <c r="B136" s="6"/>
      <c r="C136" s="6"/>
      <c r="D136" s="6"/>
      <c r="E136" s="6"/>
      <c r="F136" s="7"/>
      <c r="G136" s="6"/>
      <c r="H136" s="6"/>
      <c r="I136" s="7"/>
      <c r="J136" s="6"/>
      <c r="K136" s="7"/>
      <c r="L136" s="6"/>
      <c r="M136" s="6"/>
      <c r="N136" s="7"/>
      <c r="O136" s="6"/>
      <c r="P136" s="6"/>
      <c r="Q136" s="7"/>
      <c r="R136" s="6" t="str">
        <f aca="false">IF(AND($A136="",$B136=""),"",IF(Q136="Complete","Onboarded",IF(OR(M136="Member",M136="Ambassador"),"Sponsored",IF(K136&lt;&gt;"","Follow-Up",IF(I136&lt;&gt;"","Presented",IF(F136&lt;&gt;"","Contacted","New Lead"))))))</f>
        <v/>
      </c>
      <c r="S136" s="6"/>
      <c r="T136" s="6" t="str">
        <f aca="true">IF(MAX(F136,I136,K136)=0,"",TODAY()-MAX(F136,I136,K136))</f>
        <v/>
      </c>
      <c r="U136" s="6"/>
      <c r="V136" s="6"/>
      <c r="W136" s="6" t="str">
        <f aca="false">IF(AND($A136="",$B136=""),"",IF(M136="Ambassador","1 - Ambassador",IF(M136="Member","2 - Member",IF(J136="Completed","3 - Presented",IF(H136&lt;&gt;"","4 - Shared",IF(F136&lt;&gt;"","5 - Contacted","6 - No Activity"))))))</f>
        <v/>
      </c>
      <c r="X136" s="6" t="n">
        <f aca="false">IF(AND($A136="",$B136=""),9999999+(ROW()-4),VALUE(LEFT($W136,1))*10000+(ROW()-4))</f>
        <v>10000131</v>
      </c>
    </row>
    <row r="137" customFormat="false" ht="15" hidden="false" customHeight="true" outlineLevel="0" collapsed="false">
      <c r="A137" s="6"/>
      <c r="B137" s="6"/>
      <c r="C137" s="6"/>
      <c r="D137" s="6"/>
      <c r="E137" s="6"/>
      <c r="F137" s="7"/>
      <c r="G137" s="6"/>
      <c r="H137" s="6"/>
      <c r="I137" s="7"/>
      <c r="J137" s="6"/>
      <c r="K137" s="7"/>
      <c r="L137" s="6"/>
      <c r="M137" s="6"/>
      <c r="N137" s="7"/>
      <c r="O137" s="6"/>
      <c r="P137" s="6"/>
      <c r="Q137" s="7"/>
      <c r="R137" s="6" t="str">
        <f aca="false">IF(AND($A137="",$B137=""),"",IF(Q137="Complete","Onboarded",IF(OR(M137="Member",M137="Ambassador"),"Sponsored",IF(K137&lt;&gt;"","Follow-Up",IF(I137&lt;&gt;"","Presented",IF(F137&lt;&gt;"","Contacted","New Lead"))))))</f>
        <v/>
      </c>
      <c r="S137" s="6"/>
      <c r="T137" s="6" t="str">
        <f aca="true">IF(MAX(F137,I137,K137)=0,"",TODAY()-MAX(F137,I137,K137))</f>
        <v/>
      </c>
      <c r="U137" s="6"/>
      <c r="V137" s="6"/>
      <c r="W137" s="6" t="str">
        <f aca="false">IF(AND($A137="",$B137=""),"",IF(M137="Ambassador","1 - Ambassador",IF(M137="Member","2 - Member",IF(J137="Completed","3 - Presented",IF(H137&lt;&gt;"","4 - Shared",IF(F137&lt;&gt;"","5 - Contacted","6 - No Activity"))))))</f>
        <v/>
      </c>
      <c r="X137" s="6" t="n">
        <f aca="false">IF(AND($A137="",$B137=""),9999999+(ROW()-4),VALUE(LEFT($W137,1))*10000+(ROW()-4))</f>
        <v>10000132</v>
      </c>
    </row>
    <row r="138" customFormat="false" ht="15" hidden="false" customHeight="true" outlineLevel="0" collapsed="false">
      <c r="A138" s="6"/>
      <c r="B138" s="6"/>
      <c r="C138" s="6"/>
      <c r="D138" s="6"/>
      <c r="E138" s="6"/>
      <c r="F138" s="7"/>
      <c r="G138" s="6"/>
      <c r="H138" s="6"/>
      <c r="I138" s="7"/>
      <c r="J138" s="6"/>
      <c r="K138" s="7"/>
      <c r="L138" s="6"/>
      <c r="M138" s="6"/>
      <c r="N138" s="7"/>
      <c r="O138" s="6"/>
      <c r="P138" s="6"/>
      <c r="Q138" s="7"/>
      <c r="R138" s="6" t="str">
        <f aca="false">IF(AND($A138="",$B138=""),"",IF(Q138="Complete","Onboarded",IF(OR(M138="Member",M138="Ambassador"),"Sponsored",IF(K138&lt;&gt;"","Follow-Up",IF(I138&lt;&gt;"","Presented",IF(F138&lt;&gt;"","Contacted","New Lead"))))))</f>
        <v/>
      </c>
      <c r="S138" s="6"/>
      <c r="T138" s="6" t="str">
        <f aca="true">IF(MAX(F138,I138,K138)=0,"",TODAY()-MAX(F138,I138,K138))</f>
        <v/>
      </c>
      <c r="U138" s="6"/>
      <c r="V138" s="6"/>
      <c r="W138" s="6" t="str">
        <f aca="false">IF(AND($A138="",$B138=""),"",IF(M138="Ambassador","1 - Ambassador",IF(M138="Member","2 - Member",IF(J138="Completed","3 - Presented",IF(H138&lt;&gt;"","4 - Shared",IF(F138&lt;&gt;"","5 - Contacted","6 - No Activity"))))))</f>
        <v/>
      </c>
      <c r="X138" s="6" t="n">
        <f aca="false">IF(AND($A138="",$B138=""),9999999+(ROW()-4),VALUE(LEFT($W138,1))*10000+(ROW()-4))</f>
        <v>10000133</v>
      </c>
    </row>
    <row r="139" customFormat="false" ht="15" hidden="false" customHeight="true" outlineLevel="0" collapsed="false">
      <c r="A139" s="6"/>
      <c r="B139" s="6"/>
      <c r="C139" s="6"/>
      <c r="D139" s="6"/>
      <c r="E139" s="6"/>
      <c r="F139" s="7"/>
      <c r="G139" s="6"/>
      <c r="H139" s="6"/>
      <c r="I139" s="7"/>
      <c r="J139" s="6"/>
      <c r="K139" s="7"/>
      <c r="L139" s="6"/>
      <c r="M139" s="6"/>
      <c r="N139" s="7"/>
      <c r="O139" s="6"/>
      <c r="P139" s="6"/>
      <c r="Q139" s="7"/>
      <c r="R139" s="6" t="str">
        <f aca="false">IF(AND($A139="",$B139=""),"",IF(Q139="Complete","Onboarded",IF(OR(M139="Member",M139="Ambassador"),"Sponsored",IF(K139&lt;&gt;"","Follow-Up",IF(I139&lt;&gt;"","Presented",IF(F139&lt;&gt;"","Contacted","New Lead"))))))</f>
        <v/>
      </c>
      <c r="S139" s="6"/>
      <c r="T139" s="6" t="str">
        <f aca="true">IF(MAX(F139,I139,K139)=0,"",TODAY()-MAX(F139,I139,K139))</f>
        <v/>
      </c>
      <c r="U139" s="6"/>
      <c r="V139" s="6"/>
      <c r="W139" s="6" t="str">
        <f aca="false">IF(AND($A139="",$B139=""),"",IF(M139="Ambassador","1 - Ambassador",IF(M139="Member","2 - Member",IF(J139="Completed","3 - Presented",IF(H139&lt;&gt;"","4 - Shared",IF(F139&lt;&gt;"","5 - Contacted","6 - No Activity"))))))</f>
        <v/>
      </c>
      <c r="X139" s="6" t="n">
        <f aca="false">IF(AND($A139="",$B139=""),9999999+(ROW()-4),VALUE(LEFT($W139,1))*10000+(ROW()-4))</f>
        <v>10000134</v>
      </c>
    </row>
    <row r="140" customFormat="false" ht="15" hidden="false" customHeight="true" outlineLevel="0" collapsed="false">
      <c r="A140" s="6"/>
      <c r="B140" s="6"/>
      <c r="C140" s="6"/>
      <c r="D140" s="6"/>
      <c r="E140" s="6"/>
      <c r="F140" s="7"/>
      <c r="G140" s="6"/>
      <c r="H140" s="6"/>
      <c r="I140" s="7"/>
      <c r="J140" s="6"/>
      <c r="K140" s="7"/>
      <c r="L140" s="6"/>
      <c r="M140" s="6"/>
      <c r="N140" s="7"/>
      <c r="O140" s="6"/>
      <c r="P140" s="6"/>
      <c r="Q140" s="7"/>
      <c r="R140" s="6" t="str">
        <f aca="false">IF(AND($A140="",$B140=""),"",IF(Q140="Complete","Onboarded",IF(OR(M140="Member",M140="Ambassador"),"Sponsored",IF(K140&lt;&gt;"","Follow-Up",IF(I140&lt;&gt;"","Presented",IF(F140&lt;&gt;"","Contacted","New Lead"))))))</f>
        <v/>
      </c>
      <c r="S140" s="6"/>
      <c r="T140" s="6" t="str">
        <f aca="true">IF(MAX(F140,I140,K140)=0,"",TODAY()-MAX(F140,I140,K140))</f>
        <v/>
      </c>
      <c r="U140" s="6"/>
      <c r="V140" s="6"/>
      <c r="W140" s="6" t="str">
        <f aca="false">IF(AND($A140="",$B140=""),"",IF(M140="Ambassador","1 - Ambassador",IF(M140="Member","2 - Member",IF(J140="Completed","3 - Presented",IF(H140&lt;&gt;"","4 - Shared",IF(F140&lt;&gt;"","5 - Contacted","6 - No Activity"))))))</f>
        <v/>
      </c>
      <c r="X140" s="6" t="n">
        <f aca="false">IF(AND($A140="",$B140=""),9999999+(ROW()-4),VALUE(LEFT($W140,1))*10000+(ROW()-4))</f>
        <v>10000135</v>
      </c>
    </row>
    <row r="141" customFormat="false" ht="15" hidden="false" customHeight="true" outlineLevel="0" collapsed="false">
      <c r="A141" s="6"/>
      <c r="B141" s="6"/>
      <c r="C141" s="6"/>
      <c r="D141" s="6"/>
      <c r="E141" s="6"/>
      <c r="F141" s="7"/>
      <c r="G141" s="6"/>
      <c r="H141" s="6"/>
      <c r="I141" s="7"/>
      <c r="J141" s="6"/>
      <c r="K141" s="7"/>
      <c r="L141" s="6"/>
      <c r="M141" s="6"/>
      <c r="N141" s="7"/>
      <c r="O141" s="6"/>
      <c r="P141" s="6"/>
      <c r="Q141" s="7"/>
      <c r="R141" s="6" t="str">
        <f aca="false">IF(AND($A141="",$B141=""),"",IF(Q141="Complete","Onboarded",IF(OR(M141="Member",M141="Ambassador"),"Sponsored",IF(K141&lt;&gt;"","Follow-Up",IF(I141&lt;&gt;"","Presented",IF(F141&lt;&gt;"","Contacted","New Lead"))))))</f>
        <v/>
      </c>
      <c r="S141" s="6"/>
      <c r="T141" s="6" t="str">
        <f aca="true">IF(MAX(F141,I141,K141)=0,"",TODAY()-MAX(F141,I141,K141))</f>
        <v/>
      </c>
      <c r="U141" s="6"/>
      <c r="V141" s="6"/>
      <c r="W141" s="6" t="str">
        <f aca="false">IF(AND($A141="",$B141=""),"",IF(M141="Ambassador","1 - Ambassador",IF(M141="Member","2 - Member",IF(J141="Completed","3 - Presented",IF(H141&lt;&gt;"","4 - Shared",IF(F141&lt;&gt;"","5 - Contacted","6 - No Activity"))))))</f>
        <v/>
      </c>
      <c r="X141" s="6" t="n">
        <f aca="false">IF(AND($A141="",$B141=""),9999999+(ROW()-4),VALUE(LEFT($W141,1))*10000+(ROW()-4))</f>
        <v>10000136</v>
      </c>
    </row>
    <row r="142" customFormat="false" ht="15" hidden="false" customHeight="true" outlineLevel="0" collapsed="false">
      <c r="A142" s="6"/>
      <c r="B142" s="6"/>
      <c r="C142" s="6"/>
      <c r="D142" s="6"/>
      <c r="E142" s="6"/>
      <c r="F142" s="7"/>
      <c r="G142" s="6"/>
      <c r="H142" s="6"/>
      <c r="I142" s="7"/>
      <c r="J142" s="6"/>
      <c r="K142" s="7"/>
      <c r="L142" s="6"/>
      <c r="M142" s="6"/>
      <c r="N142" s="7"/>
      <c r="O142" s="6"/>
      <c r="P142" s="6"/>
      <c r="Q142" s="7"/>
      <c r="R142" s="6" t="str">
        <f aca="false">IF(AND($A142="",$B142=""),"",IF(Q142="Complete","Onboarded",IF(OR(M142="Member",M142="Ambassador"),"Sponsored",IF(K142&lt;&gt;"","Follow-Up",IF(I142&lt;&gt;"","Presented",IF(F142&lt;&gt;"","Contacted","New Lead"))))))</f>
        <v/>
      </c>
      <c r="S142" s="6"/>
      <c r="T142" s="6" t="str">
        <f aca="true">IF(MAX(F142,I142,K142)=0,"",TODAY()-MAX(F142,I142,K142))</f>
        <v/>
      </c>
      <c r="U142" s="6"/>
      <c r="V142" s="6"/>
      <c r="W142" s="6" t="str">
        <f aca="false">IF(AND($A142="",$B142=""),"",IF(M142="Ambassador","1 - Ambassador",IF(M142="Member","2 - Member",IF(J142="Completed","3 - Presented",IF(H142&lt;&gt;"","4 - Shared",IF(F142&lt;&gt;"","5 - Contacted","6 - No Activity"))))))</f>
        <v/>
      </c>
      <c r="X142" s="6" t="n">
        <f aca="false">IF(AND($A142="",$B142=""),9999999+(ROW()-4),VALUE(LEFT($W142,1))*10000+(ROW()-4))</f>
        <v>10000137</v>
      </c>
    </row>
    <row r="143" customFormat="false" ht="15" hidden="false" customHeight="true" outlineLevel="0" collapsed="false">
      <c r="A143" s="6"/>
      <c r="B143" s="6"/>
      <c r="C143" s="6"/>
      <c r="D143" s="6"/>
      <c r="E143" s="6"/>
      <c r="F143" s="7"/>
      <c r="G143" s="6"/>
      <c r="H143" s="6"/>
      <c r="I143" s="7"/>
      <c r="J143" s="6"/>
      <c r="K143" s="7"/>
      <c r="L143" s="6"/>
      <c r="M143" s="6"/>
      <c r="N143" s="7"/>
      <c r="O143" s="6"/>
      <c r="P143" s="6"/>
      <c r="Q143" s="7"/>
      <c r="R143" s="6" t="str">
        <f aca="false">IF(AND($A143="",$B143=""),"",IF(Q143="Complete","Onboarded",IF(OR(M143="Member",M143="Ambassador"),"Sponsored",IF(K143&lt;&gt;"","Follow-Up",IF(I143&lt;&gt;"","Presented",IF(F143&lt;&gt;"","Contacted","New Lead"))))))</f>
        <v/>
      </c>
      <c r="S143" s="6"/>
      <c r="T143" s="6" t="str">
        <f aca="true">IF(MAX(F143,I143,K143)=0,"",TODAY()-MAX(F143,I143,K143))</f>
        <v/>
      </c>
      <c r="U143" s="6"/>
      <c r="V143" s="6"/>
      <c r="W143" s="6" t="str">
        <f aca="false">IF(AND($A143="",$B143=""),"",IF(M143="Ambassador","1 - Ambassador",IF(M143="Member","2 - Member",IF(J143="Completed","3 - Presented",IF(H143&lt;&gt;"","4 - Shared",IF(F143&lt;&gt;"","5 - Contacted","6 - No Activity"))))))</f>
        <v/>
      </c>
      <c r="X143" s="6" t="n">
        <f aca="false">IF(AND($A143="",$B143=""),9999999+(ROW()-4),VALUE(LEFT($W143,1))*10000+(ROW()-4))</f>
        <v>10000138</v>
      </c>
    </row>
    <row r="144" customFormat="false" ht="15" hidden="false" customHeight="true" outlineLevel="0" collapsed="false">
      <c r="A144" s="6"/>
      <c r="B144" s="6"/>
      <c r="C144" s="6"/>
      <c r="D144" s="6"/>
      <c r="E144" s="6"/>
      <c r="F144" s="7"/>
      <c r="G144" s="6"/>
      <c r="H144" s="6"/>
      <c r="I144" s="7"/>
      <c r="J144" s="6"/>
      <c r="K144" s="7"/>
      <c r="L144" s="6"/>
      <c r="M144" s="6"/>
      <c r="N144" s="7"/>
      <c r="O144" s="6"/>
      <c r="P144" s="6"/>
      <c r="Q144" s="7"/>
      <c r="R144" s="6" t="str">
        <f aca="false">IF(AND($A144="",$B144=""),"",IF(Q144="Complete","Onboarded",IF(OR(M144="Member",M144="Ambassador"),"Sponsored",IF(K144&lt;&gt;"","Follow-Up",IF(I144&lt;&gt;"","Presented",IF(F144&lt;&gt;"","Contacted","New Lead"))))))</f>
        <v/>
      </c>
      <c r="S144" s="6"/>
      <c r="T144" s="6" t="str">
        <f aca="true">IF(MAX(F144,I144,K144)=0,"",TODAY()-MAX(F144,I144,K144))</f>
        <v/>
      </c>
      <c r="U144" s="6"/>
      <c r="V144" s="6"/>
      <c r="W144" s="6" t="str">
        <f aca="false">IF(AND($A144="",$B144=""),"",IF(M144="Ambassador","1 - Ambassador",IF(M144="Member","2 - Member",IF(J144="Completed","3 - Presented",IF(H144&lt;&gt;"","4 - Shared",IF(F144&lt;&gt;"","5 - Contacted","6 - No Activity"))))))</f>
        <v/>
      </c>
      <c r="X144" s="6" t="n">
        <f aca="false">IF(AND($A144="",$B144=""),9999999+(ROW()-4),VALUE(LEFT($W144,1))*10000+(ROW()-4))</f>
        <v>10000139</v>
      </c>
    </row>
    <row r="145" customFormat="false" ht="15" hidden="false" customHeight="true" outlineLevel="0" collapsed="false">
      <c r="A145" s="6"/>
      <c r="B145" s="6"/>
      <c r="C145" s="6"/>
      <c r="D145" s="6"/>
      <c r="E145" s="6"/>
      <c r="F145" s="7"/>
      <c r="G145" s="6"/>
      <c r="H145" s="6"/>
      <c r="I145" s="7"/>
      <c r="J145" s="6"/>
      <c r="K145" s="7"/>
      <c r="L145" s="6"/>
      <c r="M145" s="6"/>
      <c r="N145" s="7"/>
      <c r="O145" s="6"/>
      <c r="P145" s="6"/>
      <c r="Q145" s="7"/>
      <c r="R145" s="6" t="str">
        <f aca="false">IF(AND($A145="",$B145=""),"",IF(Q145="Complete","Onboarded",IF(OR(M145="Member",M145="Ambassador"),"Sponsored",IF(K145&lt;&gt;"","Follow-Up",IF(I145&lt;&gt;"","Presented",IF(F145&lt;&gt;"","Contacted","New Lead"))))))</f>
        <v/>
      </c>
      <c r="S145" s="6"/>
      <c r="T145" s="6" t="str">
        <f aca="true">IF(MAX(F145,I145,K145)=0,"",TODAY()-MAX(F145,I145,K145))</f>
        <v/>
      </c>
      <c r="U145" s="6"/>
      <c r="V145" s="6"/>
      <c r="W145" s="6" t="str">
        <f aca="false">IF(AND($A145="",$B145=""),"",IF(M145="Ambassador","1 - Ambassador",IF(M145="Member","2 - Member",IF(J145="Completed","3 - Presented",IF(H145&lt;&gt;"","4 - Shared",IF(F145&lt;&gt;"","5 - Contacted","6 - No Activity"))))))</f>
        <v/>
      </c>
      <c r="X145" s="6" t="n">
        <f aca="false">IF(AND($A145="",$B145=""),9999999+(ROW()-4),VALUE(LEFT($W145,1))*10000+(ROW()-4))</f>
        <v>10000140</v>
      </c>
    </row>
    <row r="146" customFormat="false" ht="15" hidden="false" customHeight="true" outlineLevel="0" collapsed="false">
      <c r="A146" s="6"/>
      <c r="B146" s="6"/>
      <c r="C146" s="6"/>
      <c r="D146" s="6"/>
      <c r="E146" s="6"/>
      <c r="F146" s="7"/>
      <c r="G146" s="6"/>
      <c r="H146" s="6"/>
      <c r="I146" s="7"/>
      <c r="J146" s="6"/>
      <c r="K146" s="7"/>
      <c r="L146" s="6"/>
      <c r="M146" s="6"/>
      <c r="N146" s="7"/>
      <c r="O146" s="6"/>
      <c r="P146" s="6"/>
      <c r="Q146" s="7"/>
      <c r="R146" s="6" t="str">
        <f aca="false">IF(AND($A146="",$B146=""),"",IF(Q146="Complete","Onboarded",IF(OR(M146="Member",M146="Ambassador"),"Sponsored",IF(K146&lt;&gt;"","Follow-Up",IF(I146&lt;&gt;"","Presented",IF(F146&lt;&gt;"","Contacted","New Lead"))))))</f>
        <v/>
      </c>
      <c r="S146" s="6"/>
      <c r="T146" s="6" t="str">
        <f aca="true">IF(MAX(F146,I146,K146)=0,"",TODAY()-MAX(F146,I146,K146))</f>
        <v/>
      </c>
      <c r="U146" s="6"/>
      <c r="V146" s="6"/>
      <c r="W146" s="6" t="str">
        <f aca="false">IF(AND($A146="",$B146=""),"",IF(M146="Ambassador","1 - Ambassador",IF(M146="Member","2 - Member",IF(J146="Completed","3 - Presented",IF(H146&lt;&gt;"","4 - Shared",IF(F146&lt;&gt;"","5 - Contacted","6 - No Activity"))))))</f>
        <v/>
      </c>
      <c r="X146" s="6" t="n">
        <f aca="false">IF(AND($A146="",$B146=""),9999999+(ROW()-4),VALUE(LEFT($W146,1))*10000+(ROW()-4))</f>
        <v>10000141</v>
      </c>
    </row>
    <row r="147" customFormat="false" ht="15" hidden="false" customHeight="true" outlineLevel="0" collapsed="false">
      <c r="A147" s="6"/>
      <c r="B147" s="6"/>
      <c r="C147" s="6"/>
      <c r="D147" s="6"/>
      <c r="E147" s="6"/>
      <c r="F147" s="7"/>
      <c r="G147" s="6"/>
      <c r="H147" s="6"/>
      <c r="I147" s="7"/>
      <c r="J147" s="6"/>
      <c r="K147" s="7"/>
      <c r="L147" s="6"/>
      <c r="M147" s="6"/>
      <c r="N147" s="7"/>
      <c r="O147" s="6"/>
      <c r="P147" s="6"/>
      <c r="Q147" s="7"/>
      <c r="R147" s="6" t="str">
        <f aca="false">IF(AND($A147="",$B147=""),"",IF(Q147="Complete","Onboarded",IF(OR(M147="Member",M147="Ambassador"),"Sponsored",IF(K147&lt;&gt;"","Follow-Up",IF(I147&lt;&gt;"","Presented",IF(F147&lt;&gt;"","Contacted","New Lead"))))))</f>
        <v/>
      </c>
      <c r="S147" s="6"/>
      <c r="T147" s="6" t="str">
        <f aca="true">IF(MAX(F147,I147,K147)=0,"",TODAY()-MAX(F147,I147,K147))</f>
        <v/>
      </c>
      <c r="U147" s="6"/>
      <c r="V147" s="6"/>
      <c r="W147" s="6" t="str">
        <f aca="false">IF(AND($A147="",$B147=""),"",IF(M147="Ambassador","1 - Ambassador",IF(M147="Member","2 - Member",IF(J147="Completed","3 - Presented",IF(H147&lt;&gt;"","4 - Shared",IF(F147&lt;&gt;"","5 - Contacted","6 - No Activity"))))))</f>
        <v/>
      </c>
      <c r="X147" s="6" t="n">
        <f aca="false">IF(AND($A147="",$B147=""),9999999+(ROW()-4),VALUE(LEFT($W147,1))*10000+(ROW()-4))</f>
        <v>10000142</v>
      </c>
    </row>
    <row r="148" customFormat="false" ht="15" hidden="false" customHeight="true" outlineLevel="0" collapsed="false">
      <c r="A148" s="6"/>
      <c r="B148" s="6"/>
      <c r="C148" s="6"/>
      <c r="D148" s="6"/>
      <c r="E148" s="6"/>
      <c r="F148" s="7"/>
      <c r="G148" s="6"/>
      <c r="H148" s="6"/>
      <c r="I148" s="7"/>
      <c r="J148" s="6"/>
      <c r="K148" s="7"/>
      <c r="L148" s="6"/>
      <c r="M148" s="6"/>
      <c r="N148" s="7"/>
      <c r="O148" s="6"/>
      <c r="P148" s="6"/>
      <c r="Q148" s="7"/>
      <c r="R148" s="6" t="str">
        <f aca="false">IF(AND($A148="",$B148=""),"",IF(Q148="Complete","Onboarded",IF(OR(M148="Member",M148="Ambassador"),"Sponsored",IF(K148&lt;&gt;"","Follow-Up",IF(I148&lt;&gt;"","Presented",IF(F148&lt;&gt;"","Contacted","New Lead"))))))</f>
        <v/>
      </c>
      <c r="S148" s="6"/>
      <c r="T148" s="6" t="str">
        <f aca="true">IF(MAX(F148,I148,K148)=0,"",TODAY()-MAX(F148,I148,K148))</f>
        <v/>
      </c>
      <c r="U148" s="6"/>
      <c r="V148" s="6"/>
      <c r="W148" s="6" t="str">
        <f aca="false">IF(AND($A148="",$B148=""),"",IF(M148="Ambassador","1 - Ambassador",IF(M148="Member","2 - Member",IF(J148="Completed","3 - Presented",IF(H148&lt;&gt;"","4 - Shared",IF(F148&lt;&gt;"","5 - Contacted","6 - No Activity"))))))</f>
        <v/>
      </c>
      <c r="X148" s="6" t="n">
        <f aca="false">IF(AND($A148="",$B148=""),9999999+(ROW()-4),VALUE(LEFT($W148,1))*10000+(ROW()-4))</f>
        <v>10000143</v>
      </c>
    </row>
    <row r="149" customFormat="false" ht="15" hidden="false" customHeight="true" outlineLevel="0" collapsed="false">
      <c r="A149" s="6"/>
      <c r="B149" s="6"/>
      <c r="C149" s="6"/>
      <c r="D149" s="6"/>
      <c r="E149" s="6"/>
      <c r="F149" s="7"/>
      <c r="G149" s="6"/>
      <c r="H149" s="6"/>
      <c r="I149" s="7"/>
      <c r="J149" s="6"/>
      <c r="K149" s="7"/>
      <c r="L149" s="6"/>
      <c r="M149" s="6"/>
      <c r="N149" s="7"/>
      <c r="O149" s="6"/>
      <c r="P149" s="6"/>
      <c r="Q149" s="7"/>
      <c r="R149" s="6" t="str">
        <f aca="false">IF(AND($A149="",$B149=""),"",IF(Q149="Complete","Onboarded",IF(OR(M149="Member",M149="Ambassador"),"Sponsored",IF(K149&lt;&gt;"","Follow-Up",IF(I149&lt;&gt;"","Presented",IF(F149&lt;&gt;"","Contacted","New Lead"))))))</f>
        <v/>
      </c>
      <c r="S149" s="6"/>
      <c r="T149" s="6" t="str">
        <f aca="true">IF(MAX(F149,I149,K149)=0,"",TODAY()-MAX(F149,I149,K149))</f>
        <v/>
      </c>
      <c r="U149" s="6"/>
      <c r="V149" s="6"/>
      <c r="W149" s="6" t="str">
        <f aca="false">IF(AND($A149="",$B149=""),"",IF(M149="Ambassador","1 - Ambassador",IF(M149="Member","2 - Member",IF(J149="Completed","3 - Presented",IF(H149&lt;&gt;"","4 - Shared",IF(F149&lt;&gt;"","5 - Contacted","6 - No Activity"))))))</f>
        <v/>
      </c>
      <c r="X149" s="6" t="n">
        <f aca="false">IF(AND($A149="",$B149=""),9999999+(ROW()-4),VALUE(LEFT($W149,1))*10000+(ROW()-4))</f>
        <v>10000144</v>
      </c>
    </row>
    <row r="150" customFormat="false" ht="15" hidden="false" customHeight="true" outlineLevel="0" collapsed="false">
      <c r="A150" s="6"/>
      <c r="B150" s="6"/>
      <c r="C150" s="6"/>
      <c r="D150" s="6"/>
      <c r="E150" s="6"/>
      <c r="F150" s="7"/>
      <c r="G150" s="6"/>
      <c r="H150" s="6"/>
      <c r="I150" s="7"/>
      <c r="J150" s="6"/>
      <c r="K150" s="7"/>
      <c r="L150" s="6"/>
      <c r="M150" s="6"/>
      <c r="N150" s="7"/>
      <c r="O150" s="6"/>
      <c r="P150" s="6"/>
      <c r="Q150" s="7"/>
      <c r="R150" s="6" t="str">
        <f aca="false">IF(AND($A150="",$B150=""),"",IF(Q150="Complete","Onboarded",IF(OR(M150="Member",M150="Ambassador"),"Sponsored",IF(K150&lt;&gt;"","Follow-Up",IF(I150&lt;&gt;"","Presented",IF(F150&lt;&gt;"","Contacted","New Lead"))))))</f>
        <v/>
      </c>
      <c r="S150" s="6"/>
      <c r="T150" s="6" t="str">
        <f aca="true">IF(MAX(F150,I150,K150)=0,"",TODAY()-MAX(F150,I150,K150))</f>
        <v/>
      </c>
      <c r="U150" s="6"/>
      <c r="V150" s="6"/>
      <c r="W150" s="6" t="str">
        <f aca="false">IF(AND($A150="",$B150=""),"",IF(M150="Ambassador","1 - Ambassador",IF(M150="Member","2 - Member",IF(J150="Completed","3 - Presented",IF(H150&lt;&gt;"","4 - Shared",IF(F150&lt;&gt;"","5 - Contacted","6 - No Activity"))))))</f>
        <v/>
      </c>
      <c r="X150" s="6" t="n">
        <f aca="false">IF(AND($A150="",$B150=""),9999999+(ROW()-4),VALUE(LEFT($W150,1))*10000+(ROW()-4))</f>
        <v>10000145</v>
      </c>
    </row>
    <row r="151" customFormat="false" ht="15" hidden="false" customHeight="true" outlineLevel="0" collapsed="false">
      <c r="A151" s="6"/>
      <c r="B151" s="6"/>
      <c r="C151" s="6"/>
      <c r="D151" s="6"/>
      <c r="E151" s="6"/>
      <c r="F151" s="7"/>
      <c r="G151" s="6"/>
      <c r="H151" s="6"/>
      <c r="I151" s="7"/>
      <c r="J151" s="6"/>
      <c r="K151" s="7"/>
      <c r="L151" s="6"/>
      <c r="M151" s="6"/>
      <c r="N151" s="7"/>
      <c r="O151" s="6"/>
      <c r="P151" s="6"/>
      <c r="Q151" s="7"/>
      <c r="R151" s="6" t="str">
        <f aca="false">IF(AND($A151="",$B151=""),"",IF(Q151="Complete","Onboarded",IF(OR(M151="Member",M151="Ambassador"),"Sponsored",IF(K151&lt;&gt;"","Follow-Up",IF(I151&lt;&gt;"","Presented",IF(F151&lt;&gt;"","Contacted","New Lead"))))))</f>
        <v/>
      </c>
      <c r="S151" s="6"/>
      <c r="T151" s="6" t="str">
        <f aca="true">IF(MAX(F151,I151,K151)=0,"",TODAY()-MAX(F151,I151,K151))</f>
        <v/>
      </c>
      <c r="U151" s="6"/>
      <c r="V151" s="6"/>
      <c r="W151" s="6" t="str">
        <f aca="false">IF(AND($A151="",$B151=""),"",IF(M151="Ambassador","1 - Ambassador",IF(M151="Member","2 - Member",IF(J151="Completed","3 - Presented",IF(H151&lt;&gt;"","4 - Shared",IF(F151&lt;&gt;"","5 - Contacted","6 - No Activity"))))))</f>
        <v/>
      </c>
      <c r="X151" s="6" t="n">
        <f aca="false">IF(AND($A151="",$B151=""),9999999+(ROW()-4),VALUE(LEFT($W151,1))*10000+(ROW()-4))</f>
        <v>10000146</v>
      </c>
    </row>
    <row r="152" customFormat="false" ht="15" hidden="false" customHeight="true" outlineLevel="0" collapsed="false">
      <c r="A152" s="6"/>
      <c r="B152" s="6"/>
      <c r="C152" s="6"/>
      <c r="D152" s="6"/>
      <c r="E152" s="6"/>
      <c r="F152" s="7"/>
      <c r="G152" s="6"/>
      <c r="H152" s="6"/>
      <c r="I152" s="7"/>
      <c r="J152" s="6"/>
      <c r="K152" s="7"/>
      <c r="L152" s="6"/>
      <c r="M152" s="6"/>
      <c r="N152" s="7"/>
      <c r="O152" s="6"/>
      <c r="P152" s="6"/>
      <c r="Q152" s="7"/>
      <c r="R152" s="6" t="str">
        <f aca="false">IF(AND($A152="",$B152=""),"",IF(Q152="Complete","Onboarded",IF(OR(M152="Member",M152="Ambassador"),"Sponsored",IF(K152&lt;&gt;"","Follow-Up",IF(I152&lt;&gt;"","Presented",IF(F152&lt;&gt;"","Contacted","New Lead"))))))</f>
        <v/>
      </c>
      <c r="S152" s="6"/>
      <c r="T152" s="6" t="str">
        <f aca="true">IF(MAX(F152,I152,K152)=0,"",TODAY()-MAX(F152,I152,K152))</f>
        <v/>
      </c>
      <c r="U152" s="6"/>
      <c r="V152" s="6"/>
      <c r="W152" s="6" t="str">
        <f aca="false">IF(AND($A152="",$B152=""),"",IF(M152="Ambassador","1 - Ambassador",IF(M152="Member","2 - Member",IF(J152="Completed","3 - Presented",IF(H152&lt;&gt;"","4 - Shared",IF(F152&lt;&gt;"","5 - Contacted","6 - No Activity"))))))</f>
        <v/>
      </c>
      <c r="X152" s="6" t="n">
        <f aca="false">IF(AND($A152="",$B152=""),9999999+(ROW()-4),VALUE(LEFT($W152,1))*10000+(ROW()-4))</f>
        <v>10000147</v>
      </c>
    </row>
    <row r="153" customFormat="false" ht="15" hidden="false" customHeight="true" outlineLevel="0" collapsed="false">
      <c r="A153" s="6"/>
      <c r="B153" s="6"/>
      <c r="C153" s="6"/>
      <c r="D153" s="6"/>
      <c r="E153" s="6"/>
      <c r="F153" s="7"/>
      <c r="G153" s="6"/>
      <c r="H153" s="6"/>
      <c r="I153" s="7"/>
      <c r="J153" s="6"/>
      <c r="K153" s="7"/>
      <c r="L153" s="6"/>
      <c r="M153" s="6"/>
      <c r="N153" s="7"/>
      <c r="O153" s="6"/>
      <c r="P153" s="6"/>
      <c r="Q153" s="7"/>
      <c r="R153" s="6" t="str">
        <f aca="false">IF(AND($A153="",$B153=""),"",IF(Q153="Complete","Onboarded",IF(OR(M153="Member",M153="Ambassador"),"Sponsored",IF(K153&lt;&gt;"","Follow-Up",IF(I153&lt;&gt;"","Presented",IF(F153&lt;&gt;"","Contacted","New Lead"))))))</f>
        <v/>
      </c>
      <c r="S153" s="6"/>
      <c r="T153" s="6" t="str">
        <f aca="true">IF(MAX(F153,I153,K153)=0,"",TODAY()-MAX(F153,I153,K153))</f>
        <v/>
      </c>
      <c r="U153" s="6"/>
      <c r="V153" s="6"/>
      <c r="W153" s="6" t="str">
        <f aca="false">IF(AND($A153="",$B153=""),"",IF(M153="Ambassador","1 - Ambassador",IF(M153="Member","2 - Member",IF(J153="Completed","3 - Presented",IF(H153&lt;&gt;"","4 - Shared",IF(F153&lt;&gt;"","5 - Contacted","6 - No Activity"))))))</f>
        <v/>
      </c>
      <c r="X153" s="6" t="n">
        <f aca="false">IF(AND($A153="",$B153=""),9999999+(ROW()-4),VALUE(LEFT($W153,1))*10000+(ROW()-4))</f>
        <v>10000148</v>
      </c>
    </row>
    <row r="154" customFormat="false" ht="15" hidden="false" customHeight="true" outlineLevel="0" collapsed="false">
      <c r="A154" s="6"/>
      <c r="B154" s="6"/>
      <c r="C154" s="6"/>
      <c r="D154" s="6"/>
      <c r="E154" s="6"/>
      <c r="F154" s="7"/>
      <c r="G154" s="6"/>
      <c r="H154" s="6"/>
      <c r="I154" s="7"/>
      <c r="J154" s="6"/>
      <c r="K154" s="7"/>
      <c r="L154" s="6"/>
      <c r="M154" s="6"/>
      <c r="N154" s="7"/>
      <c r="O154" s="6"/>
      <c r="P154" s="6"/>
      <c r="Q154" s="7"/>
      <c r="R154" s="6" t="str">
        <f aca="false">IF(AND($A154="",$B154=""),"",IF(Q154="Complete","Onboarded",IF(OR(M154="Member",M154="Ambassador"),"Sponsored",IF(K154&lt;&gt;"","Follow-Up",IF(I154&lt;&gt;"","Presented",IF(F154&lt;&gt;"","Contacted","New Lead"))))))</f>
        <v/>
      </c>
      <c r="S154" s="6"/>
      <c r="T154" s="6" t="str">
        <f aca="true">IF(MAX(F154,I154,K154)=0,"",TODAY()-MAX(F154,I154,K154))</f>
        <v/>
      </c>
      <c r="U154" s="6"/>
      <c r="V154" s="6"/>
      <c r="W154" s="6" t="str">
        <f aca="false">IF(AND($A154="",$B154=""),"",IF(M154="Ambassador","1 - Ambassador",IF(M154="Member","2 - Member",IF(J154="Completed","3 - Presented",IF(H154&lt;&gt;"","4 - Shared",IF(F154&lt;&gt;"","5 - Contacted","6 - No Activity"))))))</f>
        <v/>
      </c>
      <c r="X154" s="6" t="n">
        <f aca="false">IF(AND($A154="",$B154=""),9999999+(ROW()-4),VALUE(LEFT($W154,1))*10000+(ROW()-4))</f>
        <v>10000149</v>
      </c>
    </row>
    <row r="155" customFormat="false" ht="15" hidden="false" customHeight="true" outlineLevel="0" collapsed="false">
      <c r="A155" s="6"/>
      <c r="B155" s="6"/>
      <c r="C155" s="6"/>
      <c r="D155" s="6"/>
      <c r="E155" s="6"/>
      <c r="F155" s="7"/>
      <c r="G155" s="6"/>
      <c r="H155" s="6"/>
      <c r="I155" s="7"/>
      <c r="J155" s="6"/>
      <c r="K155" s="7"/>
      <c r="L155" s="6"/>
      <c r="M155" s="6"/>
      <c r="N155" s="7"/>
      <c r="O155" s="6"/>
      <c r="P155" s="6"/>
      <c r="Q155" s="7"/>
      <c r="R155" s="6" t="str">
        <f aca="false">IF(AND($A155="",$B155=""),"",IF(Q155="Complete","Onboarded",IF(OR(M155="Member",M155="Ambassador"),"Sponsored",IF(K155&lt;&gt;"","Follow-Up",IF(I155&lt;&gt;"","Presented",IF(F155&lt;&gt;"","Contacted","New Lead"))))))</f>
        <v/>
      </c>
      <c r="S155" s="6"/>
      <c r="T155" s="6" t="str">
        <f aca="true">IF(MAX(F155,I155,K155)=0,"",TODAY()-MAX(F155,I155,K155))</f>
        <v/>
      </c>
      <c r="U155" s="6"/>
      <c r="V155" s="6"/>
      <c r="W155" s="6" t="str">
        <f aca="false">IF(AND($A155="",$B155=""),"",IF(M155="Ambassador","1 - Ambassador",IF(M155="Member","2 - Member",IF(J155="Completed","3 - Presented",IF(H155&lt;&gt;"","4 - Shared",IF(F155&lt;&gt;"","5 - Contacted","6 - No Activity"))))))</f>
        <v/>
      </c>
      <c r="X155" s="6" t="n">
        <f aca="false">IF(AND($A155="",$B155=""),9999999+(ROW()-4),VALUE(LEFT($W155,1))*10000+(ROW()-4))</f>
        <v>10000150</v>
      </c>
    </row>
    <row r="156" customFormat="false" ht="15" hidden="false" customHeight="true" outlineLevel="0" collapsed="false">
      <c r="A156" s="6"/>
      <c r="B156" s="6"/>
      <c r="C156" s="6"/>
      <c r="D156" s="6"/>
      <c r="E156" s="6"/>
      <c r="F156" s="7"/>
      <c r="G156" s="6"/>
      <c r="H156" s="6"/>
      <c r="I156" s="7"/>
      <c r="J156" s="6"/>
      <c r="K156" s="7"/>
      <c r="L156" s="6"/>
      <c r="M156" s="6"/>
      <c r="N156" s="7"/>
      <c r="O156" s="6"/>
      <c r="P156" s="6"/>
      <c r="Q156" s="7"/>
      <c r="R156" s="6" t="str">
        <f aca="false">IF(AND($A156="",$B156=""),"",IF(Q156="Complete","Onboarded",IF(OR(M156="Member",M156="Ambassador"),"Sponsored",IF(K156&lt;&gt;"","Follow-Up",IF(I156&lt;&gt;"","Presented",IF(F156&lt;&gt;"","Contacted","New Lead"))))))</f>
        <v/>
      </c>
      <c r="S156" s="6"/>
      <c r="T156" s="6" t="str">
        <f aca="true">IF(MAX(F156,I156,K156)=0,"",TODAY()-MAX(F156,I156,K156))</f>
        <v/>
      </c>
      <c r="U156" s="6"/>
      <c r="V156" s="6"/>
      <c r="W156" s="6" t="str">
        <f aca="false">IF(AND($A156="",$B156=""),"",IF(M156="Ambassador","1 - Ambassador",IF(M156="Member","2 - Member",IF(J156="Completed","3 - Presented",IF(H156&lt;&gt;"","4 - Shared",IF(F156&lt;&gt;"","5 - Contacted","6 - No Activity"))))))</f>
        <v/>
      </c>
      <c r="X156" s="6" t="n">
        <f aca="false">IF(AND($A156="",$B156=""),9999999+(ROW()-4),VALUE(LEFT($W156,1))*10000+(ROW()-4))</f>
        <v>10000151</v>
      </c>
    </row>
    <row r="157" customFormat="false" ht="15" hidden="false" customHeight="true" outlineLevel="0" collapsed="false">
      <c r="A157" s="6"/>
      <c r="B157" s="6"/>
      <c r="C157" s="6"/>
      <c r="D157" s="6"/>
      <c r="E157" s="6"/>
      <c r="F157" s="7"/>
      <c r="G157" s="6"/>
      <c r="H157" s="6"/>
      <c r="I157" s="7"/>
      <c r="J157" s="6"/>
      <c r="K157" s="7"/>
      <c r="L157" s="6"/>
      <c r="M157" s="6"/>
      <c r="N157" s="7"/>
      <c r="O157" s="6"/>
      <c r="P157" s="6"/>
      <c r="Q157" s="7"/>
      <c r="R157" s="6" t="str">
        <f aca="false">IF(AND($A157="",$B157=""),"",IF(Q157="Complete","Onboarded",IF(OR(M157="Member",M157="Ambassador"),"Sponsored",IF(K157&lt;&gt;"","Follow-Up",IF(I157&lt;&gt;"","Presented",IF(F157&lt;&gt;"","Contacted","New Lead"))))))</f>
        <v/>
      </c>
      <c r="S157" s="6"/>
      <c r="T157" s="6" t="str">
        <f aca="true">IF(MAX(F157,I157,K157)=0,"",TODAY()-MAX(F157,I157,K157))</f>
        <v/>
      </c>
      <c r="U157" s="6"/>
      <c r="V157" s="6"/>
      <c r="W157" s="6" t="str">
        <f aca="false">IF(AND($A157="",$B157=""),"",IF(M157="Ambassador","1 - Ambassador",IF(M157="Member","2 - Member",IF(J157="Completed","3 - Presented",IF(H157&lt;&gt;"","4 - Shared",IF(F157&lt;&gt;"","5 - Contacted","6 - No Activity"))))))</f>
        <v/>
      </c>
      <c r="X157" s="6" t="n">
        <f aca="false">IF(AND($A157="",$B157=""),9999999+(ROW()-4),VALUE(LEFT($W157,1))*10000+(ROW()-4))</f>
        <v>10000152</v>
      </c>
    </row>
    <row r="158" customFormat="false" ht="15" hidden="false" customHeight="true" outlineLevel="0" collapsed="false">
      <c r="A158" s="6"/>
      <c r="B158" s="6"/>
      <c r="C158" s="6"/>
      <c r="D158" s="6"/>
      <c r="E158" s="6"/>
      <c r="F158" s="7"/>
      <c r="G158" s="6"/>
      <c r="H158" s="6"/>
      <c r="I158" s="7"/>
      <c r="J158" s="6"/>
      <c r="K158" s="7"/>
      <c r="L158" s="6"/>
      <c r="M158" s="6"/>
      <c r="N158" s="7"/>
      <c r="O158" s="6"/>
      <c r="P158" s="6"/>
      <c r="Q158" s="7"/>
      <c r="R158" s="6" t="str">
        <f aca="false">IF(AND($A158="",$B158=""),"",IF(Q158="Complete","Onboarded",IF(OR(M158="Member",M158="Ambassador"),"Sponsored",IF(K158&lt;&gt;"","Follow-Up",IF(I158&lt;&gt;"","Presented",IF(F158&lt;&gt;"","Contacted","New Lead"))))))</f>
        <v/>
      </c>
      <c r="S158" s="6"/>
      <c r="T158" s="6" t="str">
        <f aca="true">IF(MAX(F158,I158,K158)=0,"",TODAY()-MAX(F158,I158,K158))</f>
        <v/>
      </c>
      <c r="U158" s="6"/>
      <c r="V158" s="6"/>
      <c r="W158" s="6" t="str">
        <f aca="false">IF(AND($A158="",$B158=""),"",IF(M158="Ambassador","1 - Ambassador",IF(M158="Member","2 - Member",IF(J158="Completed","3 - Presented",IF(H158&lt;&gt;"","4 - Shared",IF(F158&lt;&gt;"","5 - Contacted","6 - No Activity"))))))</f>
        <v/>
      </c>
      <c r="X158" s="6" t="n">
        <f aca="false">IF(AND($A158="",$B158=""),9999999+(ROW()-4),VALUE(LEFT($W158,1))*10000+(ROW()-4))</f>
        <v>10000153</v>
      </c>
    </row>
    <row r="159" customFormat="false" ht="15" hidden="false" customHeight="true" outlineLevel="0" collapsed="false">
      <c r="A159" s="6"/>
      <c r="B159" s="6"/>
      <c r="C159" s="6"/>
      <c r="D159" s="6"/>
      <c r="E159" s="6"/>
      <c r="F159" s="7"/>
      <c r="G159" s="6"/>
      <c r="H159" s="6"/>
      <c r="I159" s="7"/>
      <c r="J159" s="6"/>
      <c r="K159" s="7"/>
      <c r="L159" s="6"/>
      <c r="M159" s="6"/>
      <c r="N159" s="7"/>
      <c r="O159" s="6"/>
      <c r="P159" s="6"/>
      <c r="Q159" s="7"/>
      <c r="R159" s="6" t="str">
        <f aca="false">IF(AND($A159="",$B159=""),"",IF(Q159="Complete","Onboarded",IF(OR(M159="Member",M159="Ambassador"),"Sponsored",IF(K159&lt;&gt;"","Follow-Up",IF(I159&lt;&gt;"","Presented",IF(F159&lt;&gt;"","Contacted","New Lead"))))))</f>
        <v/>
      </c>
      <c r="S159" s="6"/>
      <c r="T159" s="6" t="str">
        <f aca="true">IF(MAX(F159,I159,K159)=0,"",TODAY()-MAX(F159,I159,K159))</f>
        <v/>
      </c>
      <c r="U159" s="6"/>
      <c r="V159" s="6"/>
      <c r="W159" s="6" t="str">
        <f aca="false">IF(AND($A159="",$B159=""),"",IF(M159="Ambassador","1 - Ambassador",IF(M159="Member","2 - Member",IF(J159="Completed","3 - Presented",IF(H159&lt;&gt;"","4 - Shared",IF(F159&lt;&gt;"","5 - Contacted","6 - No Activity"))))))</f>
        <v/>
      </c>
      <c r="X159" s="6" t="n">
        <f aca="false">IF(AND($A159="",$B159=""),9999999+(ROW()-4),VALUE(LEFT($W159,1))*10000+(ROW()-4))</f>
        <v>10000154</v>
      </c>
    </row>
    <row r="160" customFormat="false" ht="15" hidden="false" customHeight="true" outlineLevel="0" collapsed="false">
      <c r="A160" s="6"/>
      <c r="B160" s="6"/>
      <c r="C160" s="6"/>
      <c r="D160" s="6"/>
      <c r="E160" s="6"/>
      <c r="F160" s="7"/>
      <c r="G160" s="6"/>
      <c r="H160" s="6"/>
      <c r="I160" s="7"/>
      <c r="J160" s="6"/>
      <c r="K160" s="7"/>
      <c r="L160" s="6"/>
      <c r="M160" s="6"/>
      <c r="N160" s="7"/>
      <c r="O160" s="6"/>
      <c r="P160" s="6"/>
      <c r="Q160" s="7"/>
      <c r="R160" s="6" t="str">
        <f aca="false">IF(AND($A160="",$B160=""),"",IF(Q160="Complete","Onboarded",IF(OR(M160="Member",M160="Ambassador"),"Sponsored",IF(K160&lt;&gt;"","Follow-Up",IF(I160&lt;&gt;"","Presented",IF(F160&lt;&gt;"","Contacted","New Lead"))))))</f>
        <v/>
      </c>
      <c r="S160" s="6"/>
      <c r="T160" s="6" t="str">
        <f aca="true">IF(MAX(F160,I160,K160)=0,"",TODAY()-MAX(F160,I160,K160))</f>
        <v/>
      </c>
      <c r="U160" s="6"/>
      <c r="V160" s="6"/>
      <c r="W160" s="6" t="str">
        <f aca="false">IF(AND($A160="",$B160=""),"",IF(M160="Ambassador","1 - Ambassador",IF(M160="Member","2 - Member",IF(J160="Completed","3 - Presented",IF(H160&lt;&gt;"","4 - Shared",IF(F160&lt;&gt;"","5 - Contacted","6 - No Activity"))))))</f>
        <v/>
      </c>
      <c r="X160" s="6" t="n">
        <f aca="false">IF(AND($A160="",$B160=""),9999999+(ROW()-4),VALUE(LEFT($W160,1))*10000+(ROW()-4))</f>
        <v>10000155</v>
      </c>
    </row>
    <row r="161" customFormat="false" ht="15" hidden="false" customHeight="true" outlineLevel="0" collapsed="false">
      <c r="A161" s="6"/>
      <c r="B161" s="6"/>
      <c r="C161" s="6"/>
      <c r="D161" s="6"/>
      <c r="E161" s="6"/>
      <c r="F161" s="7"/>
      <c r="G161" s="6"/>
      <c r="H161" s="6"/>
      <c r="I161" s="7"/>
      <c r="J161" s="6"/>
      <c r="K161" s="7"/>
      <c r="L161" s="6"/>
      <c r="M161" s="6"/>
      <c r="N161" s="7"/>
      <c r="O161" s="6"/>
      <c r="P161" s="6"/>
      <c r="Q161" s="7"/>
      <c r="R161" s="6" t="str">
        <f aca="false">IF(AND($A161="",$B161=""),"",IF(Q161="Complete","Onboarded",IF(OR(M161="Member",M161="Ambassador"),"Sponsored",IF(K161&lt;&gt;"","Follow-Up",IF(I161&lt;&gt;"","Presented",IF(F161&lt;&gt;"","Contacted","New Lead"))))))</f>
        <v/>
      </c>
      <c r="S161" s="6"/>
      <c r="T161" s="6" t="str">
        <f aca="true">IF(MAX(F161,I161,K161)=0,"",TODAY()-MAX(F161,I161,K161))</f>
        <v/>
      </c>
      <c r="U161" s="6"/>
      <c r="V161" s="6"/>
      <c r="W161" s="6" t="str">
        <f aca="false">IF(AND($A161="",$B161=""),"",IF(M161="Ambassador","1 - Ambassador",IF(M161="Member","2 - Member",IF(J161="Completed","3 - Presented",IF(H161&lt;&gt;"","4 - Shared",IF(F161&lt;&gt;"","5 - Contacted","6 - No Activity"))))))</f>
        <v/>
      </c>
      <c r="X161" s="6" t="n">
        <f aca="false">IF(AND($A161="",$B161=""),9999999+(ROW()-4),VALUE(LEFT($W161,1))*10000+(ROW()-4))</f>
        <v>10000156</v>
      </c>
    </row>
    <row r="162" customFormat="false" ht="15" hidden="false" customHeight="true" outlineLevel="0" collapsed="false">
      <c r="A162" s="6"/>
      <c r="B162" s="6"/>
      <c r="C162" s="6"/>
      <c r="D162" s="6"/>
      <c r="E162" s="6"/>
      <c r="F162" s="7"/>
      <c r="G162" s="6"/>
      <c r="H162" s="6"/>
      <c r="I162" s="7"/>
      <c r="J162" s="6"/>
      <c r="K162" s="7"/>
      <c r="L162" s="6"/>
      <c r="M162" s="6"/>
      <c r="N162" s="7"/>
      <c r="O162" s="6"/>
      <c r="P162" s="6"/>
      <c r="Q162" s="7"/>
      <c r="R162" s="6" t="str">
        <f aca="false">IF(AND($A162="",$B162=""),"",IF(Q162="Complete","Onboarded",IF(OR(M162="Member",M162="Ambassador"),"Sponsored",IF(K162&lt;&gt;"","Follow-Up",IF(I162&lt;&gt;"","Presented",IF(F162&lt;&gt;"","Contacted","New Lead"))))))</f>
        <v/>
      </c>
      <c r="S162" s="6"/>
      <c r="T162" s="6" t="str">
        <f aca="true">IF(MAX(F162,I162,K162)=0,"",TODAY()-MAX(F162,I162,K162))</f>
        <v/>
      </c>
      <c r="U162" s="6"/>
      <c r="V162" s="6"/>
      <c r="W162" s="6" t="str">
        <f aca="false">IF(AND($A162="",$B162=""),"",IF(M162="Ambassador","1 - Ambassador",IF(M162="Member","2 - Member",IF(J162="Completed","3 - Presented",IF(H162&lt;&gt;"","4 - Shared",IF(F162&lt;&gt;"","5 - Contacted","6 - No Activity"))))))</f>
        <v/>
      </c>
      <c r="X162" s="6" t="n">
        <f aca="false">IF(AND($A162="",$B162=""),9999999+(ROW()-4),VALUE(LEFT($W162,1))*10000+(ROW()-4))</f>
        <v>10000157</v>
      </c>
    </row>
    <row r="163" customFormat="false" ht="15" hidden="false" customHeight="true" outlineLevel="0" collapsed="false">
      <c r="A163" s="6"/>
      <c r="B163" s="6"/>
      <c r="C163" s="6"/>
      <c r="D163" s="6"/>
      <c r="E163" s="6"/>
      <c r="F163" s="7"/>
      <c r="G163" s="6"/>
      <c r="H163" s="6"/>
      <c r="I163" s="7"/>
      <c r="J163" s="6"/>
      <c r="K163" s="7"/>
      <c r="L163" s="6"/>
      <c r="M163" s="6"/>
      <c r="N163" s="7"/>
      <c r="O163" s="6"/>
      <c r="P163" s="6"/>
      <c r="Q163" s="7"/>
      <c r="R163" s="6" t="str">
        <f aca="false">IF(AND($A163="",$B163=""),"",IF(Q163="Complete","Onboarded",IF(OR(M163="Member",M163="Ambassador"),"Sponsored",IF(K163&lt;&gt;"","Follow-Up",IF(I163&lt;&gt;"","Presented",IF(F163&lt;&gt;"","Contacted","New Lead"))))))</f>
        <v/>
      </c>
      <c r="S163" s="6"/>
      <c r="T163" s="6" t="str">
        <f aca="true">IF(MAX(F163,I163,K163)=0,"",TODAY()-MAX(F163,I163,K163))</f>
        <v/>
      </c>
      <c r="U163" s="6"/>
      <c r="V163" s="6"/>
      <c r="W163" s="6" t="str">
        <f aca="false">IF(AND($A163="",$B163=""),"",IF(M163="Ambassador","1 - Ambassador",IF(M163="Member","2 - Member",IF(J163="Completed","3 - Presented",IF(H163&lt;&gt;"","4 - Shared",IF(F163&lt;&gt;"","5 - Contacted","6 - No Activity"))))))</f>
        <v/>
      </c>
      <c r="X163" s="6" t="n">
        <f aca="false">IF(AND($A163="",$B163=""),9999999+(ROW()-4),VALUE(LEFT($W163,1))*10000+(ROW()-4))</f>
        <v>10000158</v>
      </c>
    </row>
    <row r="164" customFormat="false" ht="15" hidden="false" customHeight="true" outlineLevel="0" collapsed="false">
      <c r="A164" s="6"/>
      <c r="B164" s="6"/>
      <c r="C164" s="6"/>
      <c r="D164" s="6"/>
      <c r="E164" s="6"/>
      <c r="F164" s="7"/>
      <c r="G164" s="6"/>
      <c r="H164" s="6"/>
      <c r="I164" s="7"/>
      <c r="J164" s="6"/>
      <c r="K164" s="7"/>
      <c r="L164" s="6"/>
      <c r="M164" s="6"/>
      <c r="N164" s="7"/>
      <c r="O164" s="6"/>
      <c r="P164" s="6"/>
      <c r="Q164" s="7"/>
      <c r="R164" s="6" t="str">
        <f aca="false">IF(AND($A164="",$B164=""),"",IF(Q164="Complete","Onboarded",IF(OR(M164="Member",M164="Ambassador"),"Sponsored",IF(K164&lt;&gt;"","Follow-Up",IF(I164&lt;&gt;"","Presented",IF(F164&lt;&gt;"","Contacted","New Lead"))))))</f>
        <v/>
      </c>
      <c r="S164" s="6"/>
      <c r="T164" s="6" t="str">
        <f aca="true">IF(MAX(F164,I164,K164)=0,"",TODAY()-MAX(F164,I164,K164))</f>
        <v/>
      </c>
      <c r="U164" s="6"/>
      <c r="V164" s="6"/>
      <c r="W164" s="6" t="str">
        <f aca="false">IF(AND($A164="",$B164=""),"",IF(M164="Ambassador","1 - Ambassador",IF(M164="Member","2 - Member",IF(J164="Completed","3 - Presented",IF(H164&lt;&gt;"","4 - Shared",IF(F164&lt;&gt;"","5 - Contacted","6 - No Activity"))))))</f>
        <v/>
      </c>
      <c r="X164" s="6" t="n">
        <f aca="false">IF(AND($A164="",$B164=""),9999999+(ROW()-4),VALUE(LEFT($W164,1))*10000+(ROW()-4))</f>
        <v>10000159</v>
      </c>
    </row>
    <row r="165" customFormat="false" ht="15" hidden="false" customHeight="true" outlineLevel="0" collapsed="false">
      <c r="A165" s="6"/>
      <c r="B165" s="6"/>
      <c r="C165" s="6"/>
      <c r="D165" s="6"/>
      <c r="E165" s="6"/>
      <c r="F165" s="7"/>
      <c r="G165" s="6"/>
      <c r="H165" s="6"/>
      <c r="I165" s="7"/>
      <c r="J165" s="6"/>
      <c r="K165" s="7"/>
      <c r="L165" s="6"/>
      <c r="M165" s="6"/>
      <c r="N165" s="7"/>
      <c r="O165" s="6"/>
      <c r="P165" s="6"/>
      <c r="Q165" s="7"/>
      <c r="R165" s="6" t="str">
        <f aca="false">IF(AND($A165="",$B165=""),"",IF(Q165="Complete","Onboarded",IF(OR(M165="Member",M165="Ambassador"),"Sponsored",IF(K165&lt;&gt;"","Follow-Up",IF(I165&lt;&gt;"","Presented",IF(F165&lt;&gt;"","Contacted","New Lead"))))))</f>
        <v/>
      </c>
      <c r="S165" s="6"/>
      <c r="T165" s="6" t="str">
        <f aca="true">IF(MAX(F165,I165,K165)=0,"",TODAY()-MAX(F165,I165,K165))</f>
        <v/>
      </c>
      <c r="U165" s="6"/>
      <c r="V165" s="6"/>
      <c r="W165" s="6" t="str">
        <f aca="false">IF(AND($A165="",$B165=""),"",IF(M165="Ambassador","1 - Ambassador",IF(M165="Member","2 - Member",IF(J165="Completed","3 - Presented",IF(H165&lt;&gt;"","4 - Shared",IF(F165&lt;&gt;"","5 - Contacted","6 - No Activity"))))))</f>
        <v/>
      </c>
      <c r="X165" s="6" t="n">
        <f aca="false">IF(AND($A165="",$B165=""),9999999+(ROW()-4),VALUE(LEFT($W165,1))*10000+(ROW()-4))</f>
        <v>10000160</v>
      </c>
    </row>
    <row r="166" customFormat="false" ht="15" hidden="false" customHeight="true" outlineLevel="0" collapsed="false">
      <c r="A166" s="6"/>
      <c r="B166" s="6"/>
      <c r="C166" s="6"/>
      <c r="D166" s="6"/>
      <c r="E166" s="6"/>
      <c r="F166" s="7"/>
      <c r="G166" s="6"/>
      <c r="H166" s="6"/>
      <c r="I166" s="7"/>
      <c r="J166" s="6"/>
      <c r="K166" s="7"/>
      <c r="L166" s="6"/>
      <c r="M166" s="6"/>
      <c r="N166" s="7"/>
      <c r="O166" s="6"/>
      <c r="P166" s="6"/>
      <c r="Q166" s="7"/>
      <c r="R166" s="6" t="str">
        <f aca="false">IF(AND($A166="",$B166=""),"",IF(Q166="Complete","Onboarded",IF(OR(M166="Member",M166="Ambassador"),"Sponsored",IF(K166&lt;&gt;"","Follow-Up",IF(I166&lt;&gt;"","Presented",IF(F166&lt;&gt;"","Contacted","New Lead"))))))</f>
        <v/>
      </c>
      <c r="S166" s="6"/>
      <c r="T166" s="6" t="str">
        <f aca="true">IF(MAX(F166,I166,K166)=0,"",TODAY()-MAX(F166,I166,K166))</f>
        <v/>
      </c>
      <c r="U166" s="6"/>
      <c r="V166" s="6"/>
      <c r="W166" s="6" t="str">
        <f aca="false">IF(AND($A166="",$B166=""),"",IF(M166="Ambassador","1 - Ambassador",IF(M166="Member","2 - Member",IF(J166="Completed","3 - Presented",IF(H166&lt;&gt;"","4 - Shared",IF(F166&lt;&gt;"","5 - Contacted","6 - No Activity"))))))</f>
        <v/>
      </c>
      <c r="X166" s="6" t="n">
        <f aca="false">IF(AND($A166="",$B166=""),9999999+(ROW()-4),VALUE(LEFT($W166,1))*10000+(ROW()-4))</f>
        <v>10000161</v>
      </c>
    </row>
    <row r="167" customFormat="false" ht="15" hidden="false" customHeight="true" outlineLevel="0" collapsed="false">
      <c r="A167" s="6"/>
      <c r="B167" s="6"/>
      <c r="C167" s="6"/>
      <c r="D167" s="6"/>
      <c r="E167" s="6"/>
      <c r="F167" s="7"/>
      <c r="G167" s="6"/>
      <c r="H167" s="6"/>
      <c r="I167" s="7"/>
      <c r="J167" s="6"/>
      <c r="K167" s="7"/>
      <c r="L167" s="6"/>
      <c r="M167" s="6"/>
      <c r="N167" s="7"/>
      <c r="O167" s="6"/>
      <c r="P167" s="6"/>
      <c r="Q167" s="7"/>
      <c r="R167" s="6" t="str">
        <f aca="false">IF(AND($A167="",$B167=""),"",IF(Q167="Complete","Onboarded",IF(OR(M167="Member",M167="Ambassador"),"Sponsored",IF(K167&lt;&gt;"","Follow-Up",IF(I167&lt;&gt;"","Presented",IF(F167&lt;&gt;"","Contacted","New Lead"))))))</f>
        <v/>
      </c>
      <c r="S167" s="6"/>
      <c r="T167" s="6" t="str">
        <f aca="true">IF(MAX(F167,I167,K167)=0,"",TODAY()-MAX(F167,I167,K167))</f>
        <v/>
      </c>
      <c r="U167" s="6"/>
      <c r="V167" s="6"/>
      <c r="W167" s="6" t="str">
        <f aca="false">IF(AND($A167="",$B167=""),"",IF(M167="Ambassador","1 - Ambassador",IF(M167="Member","2 - Member",IF(J167="Completed","3 - Presented",IF(H167&lt;&gt;"","4 - Shared",IF(F167&lt;&gt;"","5 - Contacted","6 - No Activity"))))))</f>
        <v/>
      </c>
      <c r="X167" s="6" t="n">
        <f aca="false">IF(AND($A167="",$B167=""),9999999+(ROW()-4),VALUE(LEFT($W167,1))*10000+(ROW()-4))</f>
        <v>10000162</v>
      </c>
    </row>
    <row r="168" customFormat="false" ht="15" hidden="false" customHeight="true" outlineLevel="0" collapsed="false">
      <c r="A168" s="6"/>
      <c r="B168" s="6"/>
      <c r="C168" s="6"/>
      <c r="D168" s="6"/>
      <c r="E168" s="6"/>
      <c r="F168" s="7"/>
      <c r="G168" s="6"/>
      <c r="H168" s="6"/>
      <c r="I168" s="7"/>
      <c r="J168" s="6"/>
      <c r="K168" s="7"/>
      <c r="L168" s="6"/>
      <c r="M168" s="6"/>
      <c r="N168" s="7"/>
      <c r="O168" s="6"/>
      <c r="P168" s="6"/>
      <c r="Q168" s="7"/>
      <c r="R168" s="6" t="str">
        <f aca="false">IF(AND($A168="",$B168=""),"",IF(Q168="Complete","Onboarded",IF(OR(M168="Member",M168="Ambassador"),"Sponsored",IF(K168&lt;&gt;"","Follow-Up",IF(I168&lt;&gt;"","Presented",IF(F168&lt;&gt;"","Contacted","New Lead"))))))</f>
        <v/>
      </c>
      <c r="S168" s="6"/>
      <c r="T168" s="6" t="str">
        <f aca="true">IF(MAX(F168,I168,K168)=0,"",TODAY()-MAX(F168,I168,K168))</f>
        <v/>
      </c>
      <c r="U168" s="6"/>
      <c r="V168" s="6"/>
      <c r="W168" s="6" t="str">
        <f aca="false">IF(AND($A168="",$B168=""),"",IF(M168="Ambassador","1 - Ambassador",IF(M168="Member","2 - Member",IF(J168="Completed","3 - Presented",IF(H168&lt;&gt;"","4 - Shared",IF(F168&lt;&gt;"","5 - Contacted","6 - No Activity"))))))</f>
        <v/>
      </c>
      <c r="X168" s="6" t="n">
        <f aca="false">IF(AND($A168="",$B168=""),9999999+(ROW()-4),VALUE(LEFT($W168,1))*10000+(ROW()-4))</f>
        <v>10000163</v>
      </c>
    </row>
    <row r="169" customFormat="false" ht="15" hidden="false" customHeight="true" outlineLevel="0" collapsed="false">
      <c r="A169" s="6"/>
      <c r="B169" s="6"/>
      <c r="C169" s="6"/>
      <c r="D169" s="6"/>
      <c r="E169" s="6"/>
      <c r="F169" s="7"/>
      <c r="G169" s="6"/>
      <c r="H169" s="6"/>
      <c r="I169" s="7"/>
      <c r="J169" s="6"/>
      <c r="K169" s="7"/>
      <c r="L169" s="6"/>
      <c r="M169" s="6"/>
      <c r="N169" s="7"/>
      <c r="O169" s="6"/>
      <c r="P169" s="6"/>
      <c r="Q169" s="7"/>
      <c r="R169" s="6" t="str">
        <f aca="false">IF(AND($A169="",$B169=""),"",IF(Q169="Complete","Onboarded",IF(OR(M169="Member",M169="Ambassador"),"Sponsored",IF(K169&lt;&gt;"","Follow-Up",IF(I169&lt;&gt;"","Presented",IF(F169&lt;&gt;"","Contacted","New Lead"))))))</f>
        <v/>
      </c>
      <c r="S169" s="6"/>
      <c r="T169" s="6" t="str">
        <f aca="true">IF(MAX(F169,I169,K169)=0,"",TODAY()-MAX(F169,I169,K169))</f>
        <v/>
      </c>
      <c r="U169" s="6"/>
      <c r="V169" s="6"/>
      <c r="W169" s="6" t="str">
        <f aca="false">IF(AND($A169="",$B169=""),"",IF(M169="Ambassador","1 - Ambassador",IF(M169="Member","2 - Member",IF(J169="Completed","3 - Presented",IF(H169&lt;&gt;"","4 - Shared",IF(F169&lt;&gt;"","5 - Contacted","6 - No Activity"))))))</f>
        <v/>
      </c>
      <c r="X169" s="6" t="n">
        <f aca="false">IF(AND($A169="",$B169=""),9999999+(ROW()-4),VALUE(LEFT($W169,1))*10000+(ROW()-4))</f>
        <v>10000164</v>
      </c>
    </row>
    <row r="170" customFormat="false" ht="15" hidden="false" customHeight="true" outlineLevel="0" collapsed="false">
      <c r="A170" s="6"/>
      <c r="B170" s="6"/>
      <c r="C170" s="6"/>
      <c r="D170" s="6"/>
      <c r="E170" s="6"/>
      <c r="F170" s="7"/>
      <c r="G170" s="6"/>
      <c r="H170" s="6"/>
      <c r="I170" s="7"/>
      <c r="J170" s="6"/>
      <c r="K170" s="7"/>
      <c r="L170" s="6"/>
      <c r="M170" s="6"/>
      <c r="N170" s="7"/>
      <c r="O170" s="6"/>
      <c r="P170" s="6"/>
      <c r="Q170" s="7"/>
      <c r="R170" s="6" t="str">
        <f aca="false">IF(AND($A170="",$B170=""),"",IF(Q170="Complete","Onboarded",IF(OR(M170="Member",M170="Ambassador"),"Sponsored",IF(K170&lt;&gt;"","Follow-Up",IF(I170&lt;&gt;"","Presented",IF(F170&lt;&gt;"","Contacted","New Lead"))))))</f>
        <v/>
      </c>
      <c r="S170" s="6"/>
      <c r="T170" s="6" t="str">
        <f aca="true">IF(MAX(F170,I170,K170)=0,"",TODAY()-MAX(F170,I170,K170))</f>
        <v/>
      </c>
      <c r="U170" s="6"/>
      <c r="V170" s="6"/>
      <c r="W170" s="6" t="str">
        <f aca="false">IF(AND($A170="",$B170=""),"",IF(M170="Ambassador","1 - Ambassador",IF(M170="Member","2 - Member",IF(J170="Completed","3 - Presented",IF(H170&lt;&gt;"","4 - Shared",IF(F170&lt;&gt;"","5 - Contacted","6 - No Activity"))))))</f>
        <v/>
      </c>
      <c r="X170" s="6" t="n">
        <f aca="false">IF(AND($A170="",$B170=""),9999999+(ROW()-4),VALUE(LEFT($W170,1))*10000+(ROW()-4))</f>
        <v>10000165</v>
      </c>
    </row>
    <row r="171" customFormat="false" ht="15" hidden="false" customHeight="true" outlineLevel="0" collapsed="false">
      <c r="A171" s="6"/>
      <c r="B171" s="6"/>
      <c r="C171" s="6"/>
      <c r="D171" s="6"/>
      <c r="E171" s="6"/>
      <c r="F171" s="7"/>
      <c r="G171" s="6"/>
      <c r="H171" s="6"/>
      <c r="I171" s="7"/>
      <c r="J171" s="6"/>
      <c r="K171" s="7"/>
      <c r="L171" s="6"/>
      <c r="M171" s="6"/>
      <c r="N171" s="7"/>
      <c r="O171" s="6"/>
      <c r="P171" s="6"/>
      <c r="Q171" s="7"/>
      <c r="R171" s="6" t="str">
        <f aca="false">IF(AND($A171="",$B171=""),"",IF(Q171="Complete","Onboarded",IF(OR(M171="Member",M171="Ambassador"),"Sponsored",IF(K171&lt;&gt;"","Follow-Up",IF(I171&lt;&gt;"","Presented",IF(F171&lt;&gt;"","Contacted","New Lead"))))))</f>
        <v/>
      </c>
      <c r="S171" s="6"/>
      <c r="T171" s="6" t="str">
        <f aca="true">IF(MAX(F171,I171,K171)=0,"",TODAY()-MAX(F171,I171,K171))</f>
        <v/>
      </c>
      <c r="U171" s="6"/>
      <c r="V171" s="6"/>
      <c r="W171" s="6" t="str">
        <f aca="false">IF(AND($A171="",$B171=""),"",IF(M171="Ambassador","1 - Ambassador",IF(M171="Member","2 - Member",IF(J171="Completed","3 - Presented",IF(H171&lt;&gt;"","4 - Shared",IF(F171&lt;&gt;"","5 - Contacted","6 - No Activity"))))))</f>
        <v/>
      </c>
      <c r="X171" s="6" t="n">
        <f aca="false">IF(AND($A171="",$B171=""),9999999+(ROW()-4),VALUE(LEFT($W171,1))*10000+(ROW()-4))</f>
        <v>10000166</v>
      </c>
    </row>
    <row r="172" customFormat="false" ht="15" hidden="false" customHeight="true" outlineLevel="0" collapsed="false">
      <c r="A172" s="6"/>
      <c r="B172" s="6"/>
      <c r="C172" s="6"/>
      <c r="D172" s="6"/>
      <c r="E172" s="6"/>
      <c r="F172" s="7"/>
      <c r="G172" s="6"/>
      <c r="H172" s="6"/>
      <c r="I172" s="7"/>
      <c r="J172" s="6"/>
      <c r="K172" s="7"/>
      <c r="L172" s="6"/>
      <c r="M172" s="6"/>
      <c r="N172" s="7"/>
      <c r="O172" s="6"/>
      <c r="P172" s="6"/>
      <c r="Q172" s="7"/>
      <c r="R172" s="6" t="str">
        <f aca="false">IF(AND($A172="",$B172=""),"",IF(Q172="Complete","Onboarded",IF(OR(M172="Member",M172="Ambassador"),"Sponsored",IF(K172&lt;&gt;"","Follow-Up",IF(I172&lt;&gt;"","Presented",IF(F172&lt;&gt;"","Contacted","New Lead"))))))</f>
        <v/>
      </c>
      <c r="S172" s="6"/>
      <c r="T172" s="6" t="str">
        <f aca="true">IF(MAX(F172,I172,K172)=0,"",TODAY()-MAX(F172,I172,K172))</f>
        <v/>
      </c>
      <c r="U172" s="6"/>
      <c r="V172" s="6"/>
      <c r="W172" s="6" t="str">
        <f aca="false">IF(AND($A172="",$B172=""),"",IF(M172="Ambassador","1 - Ambassador",IF(M172="Member","2 - Member",IF(J172="Completed","3 - Presented",IF(H172&lt;&gt;"","4 - Shared",IF(F172&lt;&gt;"","5 - Contacted","6 - No Activity"))))))</f>
        <v/>
      </c>
      <c r="X172" s="6" t="n">
        <f aca="false">IF(AND($A172="",$B172=""),9999999+(ROW()-4),VALUE(LEFT($W172,1))*10000+(ROW()-4))</f>
        <v>10000167</v>
      </c>
    </row>
    <row r="173" customFormat="false" ht="15" hidden="false" customHeight="true" outlineLevel="0" collapsed="false">
      <c r="A173" s="6"/>
      <c r="B173" s="6"/>
      <c r="C173" s="6"/>
      <c r="D173" s="6"/>
      <c r="E173" s="6"/>
      <c r="F173" s="7"/>
      <c r="G173" s="6"/>
      <c r="H173" s="6"/>
      <c r="I173" s="7"/>
      <c r="J173" s="6"/>
      <c r="K173" s="7"/>
      <c r="L173" s="6"/>
      <c r="M173" s="6"/>
      <c r="N173" s="7"/>
      <c r="O173" s="6"/>
      <c r="P173" s="6"/>
      <c r="Q173" s="7"/>
      <c r="R173" s="6" t="str">
        <f aca="false">IF(AND($A173="",$B173=""),"",IF(Q173="Complete","Onboarded",IF(OR(M173="Member",M173="Ambassador"),"Sponsored",IF(K173&lt;&gt;"","Follow-Up",IF(I173&lt;&gt;"","Presented",IF(F173&lt;&gt;"","Contacted","New Lead"))))))</f>
        <v/>
      </c>
      <c r="S173" s="6"/>
      <c r="T173" s="6" t="str">
        <f aca="true">IF(MAX(F173,I173,K173)=0,"",TODAY()-MAX(F173,I173,K173))</f>
        <v/>
      </c>
      <c r="U173" s="6"/>
      <c r="V173" s="6"/>
      <c r="W173" s="6" t="str">
        <f aca="false">IF(AND($A173="",$B173=""),"",IF(M173="Ambassador","1 - Ambassador",IF(M173="Member","2 - Member",IF(J173="Completed","3 - Presented",IF(H173&lt;&gt;"","4 - Shared",IF(F173&lt;&gt;"","5 - Contacted","6 - No Activity"))))))</f>
        <v/>
      </c>
      <c r="X173" s="6" t="n">
        <f aca="false">IF(AND($A173="",$B173=""),9999999+(ROW()-4),VALUE(LEFT($W173,1))*10000+(ROW()-4))</f>
        <v>10000168</v>
      </c>
    </row>
    <row r="174" customFormat="false" ht="15" hidden="false" customHeight="true" outlineLevel="0" collapsed="false">
      <c r="A174" s="6"/>
      <c r="B174" s="6"/>
      <c r="C174" s="6"/>
      <c r="D174" s="6"/>
      <c r="E174" s="6"/>
      <c r="F174" s="7"/>
      <c r="G174" s="6"/>
      <c r="H174" s="6"/>
      <c r="I174" s="7"/>
      <c r="J174" s="6"/>
      <c r="K174" s="7"/>
      <c r="L174" s="6"/>
      <c r="M174" s="6"/>
      <c r="N174" s="7"/>
      <c r="O174" s="6"/>
      <c r="P174" s="6"/>
      <c r="Q174" s="7"/>
      <c r="R174" s="6" t="str">
        <f aca="false">IF(AND($A174="",$B174=""),"",IF(Q174="Complete","Onboarded",IF(OR(M174="Member",M174="Ambassador"),"Sponsored",IF(K174&lt;&gt;"","Follow-Up",IF(I174&lt;&gt;"","Presented",IF(F174&lt;&gt;"","Contacted","New Lead"))))))</f>
        <v/>
      </c>
      <c r="S174" s="6"/>
      <c r="T174" s="6" t="str">
        <f aca="true">IF(MAX(F174,I174,K174)=0,"",TODAY()-MAX(F174,I174,K174))</f>
        <v/>
      </c>
      <c r="U174" s="6"/>
      <c r="V174" s="6"/>
      <c r="W174" s="6" t="str">
        <f aca="false">IF(AND($A174="",$B174=""),"",IF(M174="Ambassador","1 - Ambassador",IF(M174="Member","2 - Member",IF(J174="Completed","3 - Presented",IF(H174&lt;&gt;"","4 - Shared",IF(F174&lt;&gt;"","5 - Contacted","6 - No Activity"))))))</f>
        <v/>
      </c>
      <c r="X174" s="6" t="n">
        <f aca="false">IF(AND($A174="",$B174=""),9999999+(ROW()-4),VALUE(LEFT($W174,1))*10000+(ROW()-4))</f>
        <v>10000169</v>
      </c>
    </row>
    <row r="175" customFormat="false" ht="15" hidden="false" customHeight="true" outlineLevel="0" collapsed="false">
      <c r="A175" s="6"/>
      <c r="B175" s="6"/>
      <c r="C175" s="6"/>
      <c r="D175" s="6"/>
      <c r="E175" s="6"/>
      <c r="F175" s="7"/>
      <c r="G175" s="6"/>
      <c r="H175" s="6"/>
      <c r="I175" s="7"/>
      <c r="J175" s="6"/>
      <c r="K175" s="7"/>
      <c r="L175" s="6"/>
      <c r="M175" s="6"/>
      <c r="N175" s="7"/>
      <c r="O175" s="6"/>
      <c r="P175" s="6"/>
      <c r="Q175" s="7"/>
      <c r="R175" s="6" t="str">
        <f aca="false">IF(AND($A175="",$B175=""),"",IF(Q175="Complete","Onboarded",IF(OR(M175="Member",M175="Ambassador"),"Sponsored",IF(K175&lt;&gt;"","Follow-Up",IF(I175&lt;&gt;"","Presented",IF(F175&lt;&gt;"","Contacted","New Lead"))))))</f>
        <v/>
      </c>
      <c r="S175" s="6"/>
      <c r="T175" s="6" t="str">
        <f aca="true">IF(MAX(F175,I175,K175)=0,"",TODAY()-MAX(F175,I175,K175))</f>
        <v/>
      </c>
      <c r="U175" s="6"/>
      <c r="V175" s="6"/>
      <c r="W175" s="6" t="str">
        <f aca="false">IF(AND($A175="",$B175=""),"",IF(M175="Ambassador","1 - Ambassador",IF(M175="Member","2 - Member",IF(J175="Completed","3 - Presented",IF(H175&lt;&gt;"","4 - Shared",IF(F175&lt;&gt;"","5 - Contacted","6 - No Activity"))))))</f>
        <v/>
      </c>
      <c r="X175" s="6" t="n">
        <f aca="false">IF(AND($A175="",$B175=""),9999999+(ROW()-4),VALUE(LEFT($W175,1))*10000+(ROW()-4))</f>
        <v>10000170</v>
      </c>
    </row>
    <row r="176" customFormat="false" ht="15" hidden="false" customHeight="true" outlineLevel="0" collapsed="false">
      <c r="A176" s="6"/>
      <c r="B176" s="6"/>
      <c r="C176" s="6"/>
      <c r="D176" s="6"/>
      <c r="E176" s="6"/>
      <c r="F176" s="7"/>
      <c r="G176" s="6"/>
      <c r="H176" s="6"/>
      <c r="I176" s="7"/>
      <c r="J176" s="6"/>
      <c r="K176" s="7"/>
      <c r="L176" s="6"/>
      <c r="M176" s="6"/>
      <c r="N176" s="7"/>
      <c r="O176" s="6"/>
      <c r="P176" s="6"/>
      <c r="Q176" s="7"/>
      <c r="R176" s="6" t="str">
        <f aca="false">IF(AND($A176="",$B176=""),"",IF(Q176="Complete","Onboarded",IF(OR(M176="Member",M176="Ambassador"),"Sponsored",IF(K176&lt;&gt;"","Follow-Up",IF(I176&lt;&gt;"","Presented",IF(F176&lt;&gt;"","Contacted","New Lead"))))))</f>
        <v/>
      </c>
      <c r="S176" s="6"/>
      <c r="T176" s="6" t="str">
        <f aca="true">IF(MAX(F176,I176,K176)=0,"",TODAY()-MAX(F176,I176,K176))</f>
        <v/>
      </c>
      <c r="U176" s="6"/>
      <c r="V176" s="6"/>
      <c r="W176" s="6" t="str">
        <f aca="false">IF(AND($A176="",$B176=""),"",IF(M176="Ambassador","1 - Ambassador",IF(M176="Member","2 - Member",IF(J176="Completed","3 - Presented",IF(H176&lt;&gt;"","4 - Shared",IF(F176&lt;&gt;"","5 - Contacted","6 - No Activity"))))))</f>
        <v/>
      </c>
      <c r="X176" s="6" t="n">
        <f aca="false">IF(AND($A176="",$B176=""),9999999+(ROW()-4),VALUE(LEFT($W176,1))*10000+(ROW()-4))</f>
        <v>10000171</v>
      </c>
    </row>
    <row r="177" customFormat="false" ht="15" hidden="false" customHeight="true" outlineLevel="0" collapsed="false">
      <c r="A177" s="6"/>
      <c r="B177" s="6"/>
      <c r="C177" s="6"/>
      <c r="D177" s="6"/>
      <c r="E177" s="6"/>
      <c r="F177" s="7"/>
      <c r="G177" s="6"/>
      <c r="H177" s="6"/>
      <c r="I177" s="7"/>
      <c r="J177" s="6"/>
      <c r="K177" s="7"/>
      <c r="L177" s="6"/>
      <c r="M177" s="6"/>
      <c r="N177" s="7"/>
      <c r="O177" s="6"/>
      <c r="P177" s="6"/>
      <c r="Q177" s="7"/>
      <c r="R177" s="6" t="str">
        <f aca="false">IF(AND($A177="",$B177=""),"",IF(Q177="Complete","Onboarded",IF(OR(M177="Member",M177="Ambassador"),"Sponsored",IF(K177&lt;&gt;"","Follow-Up",IF(I177&lt;&gt;"","Presented",IF(F177&lt;&gt;"","Contacted","New Lead"))))))</f>
        <v/>
      </c>
      <c r="S177" s="6"/>
      <c r="T177" s="6" t="str">
        <f aca="true">IF(MAX(F177,I177,K177)=0,"",TODAY()-MAX(F177,I177,K177))</f>
        <v/>
      </c>
      <c r="U177" s="6"/>
      <c r="V177" s="6"/>
      <c r="W177" s="6" t="str">
        <f aca="false">IF(AND($A177="",$B177=""),"",IF(M177="Ambassador","1 - Ambassador",IF(M177="Member","2 - Member",IF(J177="Completed","3 - Presented",IF(H177&lt;&gt;"","4 - Shared",IF(F177&lt;&gt;"","5 - Contacted","6 - No Activity"))))))</f>
        <v/>
      </c>
      <c r="X177" s="6" t="n">
        <f aca="false">IF(AND($A177="",$B177=""),9999999+(ROW()-4),VALUE(LEFT($W177,1))*10000+(ROW()-4))</f>
        <v>10000172</v>
      </c>
    </row>
    <row r="178" customFormat="false" ht="15" hidden="false" customHeight="true" outlineLevel="0" collapsed="false">
      <c r="A178" s="6"/>
      <c r="B178" s="6"/>
      <c r="C178" s="6"/>
      <c r="D178" s="6"/>
      <c r="E178" s="6"/>
      <c r="F178" s="7"/>
      <c r="G178" s="6"/>
      <c r="H178" s="6"/>
      <c r="I178" s="7"/>
      <c r="J178" s="6"/>
      <c r="K178" s="7"/>
      <c r="L178" s="6"/>
      <c r="M178" s="6"/>
      <c r="N178" s="7"/>
      <c r="O178" s="6"/>
      <c r="P178" s="6"/>
      <c r="Q178" s="7"/>
      <c r="R178" s="6" t="str">
        <f aca="false">IF(AND($A178="",$B178=""),"",IF(Q178="Complete","Onboarded",IF(OR(M178="Member",M178="Ambassador"),"Sponsored",IF(K178&lt;&gt;"","Follow-Up",IF(I178&lt;&gt;"","Presented",IF(F178&lt;&gt;"","Contacted","New Lead"))))))</f>
        <v/>
      </c>
      <c r="S178" s="6"/>
      <c r="T178" s="6" t="str">
        <f aca="true">IF(MAX(F178,I178,K178)=0,"",TODAY()-MAX(F178,I178,K178))</f>
        <v/>
      </c>
      <c r="U178" s="6"/>
      <c r="V178" s="6"/>
      <c r="W178" s="6" t="str">
        <f aca="false">IF(AND($A178="",$B178=""),"",IF(M178="Ambassador","1 - Ambassador",IF(M178="Member","2 - Member",IF(J178="Completed","3 - Presented",IF(H178&lt;&gt;"","4 - Shared",IF(F178&lt;&gt;"","5 - Contacted","6 - No Activity"))))))</f>
        <v/>
      </c>
      <c r="X178" s="6" t="n">
        <f aca="false">IF(AND($A178="",$B178=""),9999999+(ROW()-4),VALUE(LEFT($W178,1))*10000+(ROW()-4))</f>
        <v>10000173</v>
      </c>
    </row>
    <row r="179" customFormat="false" ht="15" hidden="false" customHeight="true" outlineLevel="0" collapsed="false">
      <c r="A179" s="6"/>
      <c r="B179" s="6"/>
      <c r="C179" s="6"/>
      <c r="D179" s="6"/>
      <c r="E179" s="6"/>
      <c r="F179" s="7"/>
      <c r="G179" s="6"/>
      <c r="H179" s="6"/>
      <c r="I179" s="7"/>
      <c r="J179" s="6"/>
      <c r="K179" s="7"/>
      <c r="L179" s="6"/>
      <c r="M179" s="6"/>
      <c r="N179" s="7"/>
      <c r="O179" s="6"/>
      <c r="P179" s="6"/>
      <c r="Q179" s="7"/>
      <c r="R179" s="6" t="str">
        <f aca="false">IF(AND($A179="",$B179=""),"",IF(Q179="Complete","Onboarded",IF(OR(M179="Member",M179="Ambassador"),"Sponsored",IF(K179&lt;&gt;"","Follow-Up",IF(I179&lt;&gt;"","Presented",IF(F179&lt;&gt;"","Contacted","New Lead"))))))</f>
        <v/>
      </c>
      <c r="S179" s="6"/>
      <c r="T179" s="6" t="str">
        <f aca="true">IF(MAX(F179,I179,K179)=0,"",TODAY()-MAX(F179,I179,K179))</f>
        <v/>
      </c>
      <c r="U179" s="6"/>
      <c r="V179" s="6"/>
      <c r="W179" s="6" t="str">
        <f aca="false">IF(AND($A179="",$B179=""),"",IF(M179="Ambassador","1 - Ambassador",IF(M179="Member","2 - Member",IF(J179="Completed","3 - Presented",IF(H179&lt;&gt;"","4 - Shared",IF(F179&lt;&gt;"","5 - Contacted","6 - No Activity"))))))</f>
        <v/>
      </c>
      <c r="X179" s="6" t="n">
        <f aca="false">IF(AND($A179="",$B179=""),9999999+(ROW()-4),VALUE(LEFT($W179,1))*10000+(ROW()-4))</f>
        <v>10000174</v>
      </c>
    </row>
    <row r="180" customFormat="false" ht="15" hidden="false" customHeight="true" outlineLevel="0" collapsed="false">
      <c r="A180" s="6"/>
      <c r="B180" s="6"/>
      <c r="C180" s="6"/>
      <c r="D180" s="6"/>
      <c r="E180" s="6"/>
      <c r="F180" s="7"/>
      <c r="G180" s="6"/>
      <c r="H180" s="6"/>
      <c r="I180" s="7"/>
      <c r="J180" s="6"/>
      <c r="K180" s="7"/>
      <c r="L180" s="6"/>
      <c r="M180" s="6"/>
      <c r="N180" s="7"/>
      <c r="O180" s="6"/>
      <c r="P180" s="6"/>
      <c r="Q180" s="7"/>
      <c r="R180" s="6" t="str">
        <f aca="false">IF(AND($A180="",$B180=""),"",IF(Q180="Complete","Onboarded",IF(OR(M180="Member",M180="Ambassador"),"Sponsored",IF(K180&lt;&gt;"","Follow-Up",IF(I180&lt;&gt;"","Presented",IF(F180&lt;&gt;"","Contacted","New Lead"))))))</f>
        <v/>
      </c>
      <c r="S180" s="6"/>
      <c r="T180" s="6" t="str">
        <f aca="true">IF(MAX(F180,I180,K180)=0,"",TODAY()-MAX(F180,I180,K180))</f>
        <v/>
      </c>
      <c r="U180" s="6"/>
      <c r="V180" s="6"/>
      <c r="W180" s="6" t="str">
        <f aca="false">IF(AND($A180="",$B180=""),"",IF(M180="Ambassador","1 - Ambassador",IF(M180="Member","2 - Member",IF(J180="Completed","3 - Presented",IF(H180&lt;&gt;"","4 - Shared",IF(F180&lt;&gt;"","5 - Contacted","6 - No Activity"))))))</f>
        <v/>
      </c>
      <c r="X180" s="6" t="n">
        <f aca="false">IF(AND($A180="",$B180=""),9999999+(ROW()-4),VALUE(LEFT($W180,1))*10000+(ROW()-4))</f>
        <v>10000175</v>
      </c>
    </row>
    <row r="181" customFormat="false" ht="15" hidden="false" customHeight="true" outlineLevel="0" collapsed="false">
      <c r="A181" s="6"/>
      <c r="B181" s="6"/>
      <c r="C181" s="6"/>
      <c r="D181" s="6"/>
      <c r="E181" s="6"/>
      <c r="F181" s="7"/>
      <c r="G181" s="6"/>
      <c r="H181" s="6"/>
      <c r="I181" s="7"/>
      <c r="J181" s="6"/>
      <c r="K181" s="7"/>
      <c r="L181" s="6"/>
      <c r="M181" s="6"/>
      <c r="N181" s="7"/>
      <c r="O181" s="6"/>
      <c r="P181" s="6"/>
      <c r="Q181" s="7"/>
      <c r="R181" s="6" t="str">
        <f aca="false">IF(AND($A181="",$B181=""),"",IF(Q181="Complete","Onboarded",IF(OR(M181="Member",M181="Ambassador"),"Sponsored",IF(K181&lt;&gt;"","Follow-Up",IF(I181&lt;&gt;"","Presented",IF(F181&lt;&gt;"","Contacted","New Lead"))))))</f>
        <v/>
      </c>
      <c r="S181" s="6"/>
      <c r="T181" s="6" t="str">
        <f aca="true">IF(MAX(F181,I181,K181)=0,"",TODAY()-MAX(F181,I181,K181))</f>
        <v/>
      </c>
      <c r="U181" s="6"/>
      <c r="V181" s="6"/>
      <c r="W181" s="6" t="str">
        <f aca="false">IF(AND($A181="",$B181=""),"",IF(M181="Ambassador","1 - Ambassador",IF(M181="Member","2 - Member",IF(J181="Completed","3 - Presented",IF(H181&lt;&gt;"","4 - Shared",IF(F181&lt;&gt;"","5 - Contacted","6 - No Activity"))))))</f>
        <v/>
      </c>
      <c r="X181" s="6" t="n">
        <f aca="false">IF(AND($A181="",$B181=""),9999999+(ROW()-4),VALUE(LEFT($W181,1))*10000+(ROW()-4))</f>
        <v>10000176</v>
      </c>
    </row>
    <row r="182" customFormat="false" ht="15" hidden="false" customHeight="true" outlineLevel="0" collapsed="false">
      <c r="A182" s="6"/>
      <c r="B182" s="6"/>
      <c r="C182" s="6"/>
      <c r="D182" s="6"/>
      <c r="E182" s="6"/>
      <c r="F182" s="7"/>
      <c r="G182" s="6"/>
      <c r="H182" s="6"/>
      <c r="I182" s="7"/>
      <c r="J182" s="6"/>
      <c r="K182" s="7"/>
      <c r="L182" s="6"/>
      <c r="M182" s="6"/>
      <c r="N182" s="7"/>
      <c r="O182" s="6"/>
      <c r="P182" s="6"/>
      <c r="Q182" s="7"/>
      <c r="R182" s="6" t="str">
        <f aca="false">IF(AND($A182="",$B182=""),"",IF(Q182="Complete","Onboarded",IF(OR(M182="Member",M182="Ambassador"),"Sponsored",IF(K182&lt;&gt;"","Follow-Up",IF(I182&lt;&gt;"","Presented",IF(F182&lt;&gt;"","Contacted","New Lead"))))))</f>
        <v/>
      </c>
      <c r="S182" s="6"/>
      <c r="T182" s="6" t="str">
        <f aca="true">IF(MAX(F182,I182,K182)=0,"",TODAY()-MAX(F182,I182,K182))</f>
        <v/>
      </c>
      <c r="U182" s="6"/>
      <c r="V182" s="6"/>
      <c r="W182" s="6" t="str">
        <f aca="false">IF(AND($A182="",$B182=""),"",IF(M182="Ambassador","1 - Ambassador",IF(M182="Member","2 - Member",IF(J182="Completed","3 - Presented",IF(H182&lt;&gt;"","4 - Shared",IF(F182&lt;&gt;"","5 - Contacted","6 - No Activity"))))))</f>
        <v/>
      </c>
      <c r="X182" s="6" t="n">
        <f aca="false">IF(AND($A182="",$B182=""),9999999+(ROW()-4),VALUE(LEFT($W182,1))*10000+(ROW()-4))</f>
        <v>10000177</v>
      </c>
    </row>
    <row r="183" customFormat="false" ht="15" hidden="false" customHeight="true" outlineLevel="0" collapsed="false">
      <c r="A183" s="6"/>
      <c r="B183" s="6"/>
      <c r="C183" s="6"/>
      <c r="D183" s="6"/>
      <c r="E183" s="6"/>
      <c r="F183" s="7"/>
      <c r="G183" s="6"/>
      <c r="H183" s="6"/>
      <c r="I183" s="7"/>
      <c r="J183" s="6"/>
      <c r="K183" s="7"/>
      <c r="L183" s="6"/>
      <c r="M183" s="6"/>
      <c r="N183" s="7"/>
      <c r="O183" s="6"/>
      <c r="P183" s="6"/>
      <c r="Q183" s="7"/>
      <c r="R183" s="6" t="str">
        <f aca="false">IF(AND($A183="",$B183=""),"",IF(Q183="Complete","Onboarded",IF(OR(M183="Member",M183="Ambassador"),"Sponsored",IF(K183&lt;&gt;"","Follow-Up",IF(I183&lt;&gt;"","Presented",IF(F183&lt;&gt;"","Contacted","New Lead"))))))</f>
        <v/>
      </c>
      <c r="S183" s="6"/>
      <c r="T183" s="6" t="str">
        <f aca="true">IF(MAX(F183,I183,K183)=0,"",TODAY()-MAX(F183,I183,K183))</f>
        <v/>
      </c>
      <c r="U183" s="6"/>
      <c r="V183" s="6"/>
      <c r="W183" s="6" t="str">
        <f aca="false">IF(AND($A183="",$B183=""),"",IF(M183="Ambassador","1 - Ambassador",IF(M183="Member","2 - Member",IF(J183="Completed","3 - Presented",IF(H183&lt;&gt;"","4 - Shared",IF(F183&lt;&gt;"","5 - Contacted","6 - No Activity"))))))</f>
        <v/>
      </c>
      <c r="X183" s="6" t="n">
        <f aca="false">IF(AND($A183="",$B183=""),9999999+(ROW()-4),VALUE(LEFT($W183,1))*10000+(ROW()-4))</f>
        <v>10000178</v>
      </c>
    </row>
    <row r="184" customFormat="false" ht="15" hidden="false" customHeight="true" outlineLevel="0" collapsed="false">
      <c r="A184" s="6"/>
      <c r="B184" s="6"/>
      <c r="C184" s="6"/>
      <c r="D184" s="6"/>
      <c r="E184" s="6"/>
      <c r="F184" s="7"/>
      <c r="G184" s="6"/>
      <c r="H184" s="6"/>
      <c r="I184" s="7"/>
      <c r="J184" s="6"/>
      <c r="K184" s="7"/>
      <c r="L184" s="6"/>
      <c r="M184" s="6"/>
      <c r="N184" s="7"/>
      <c r="O184" s="6"/>
      <c r="P184" s="6"/>
      <c r="Q184" s="7"/>
      <c r="R184" s="6" t="str">
        <f aca="false">IF(AND($A184="",$B184=""),"",IF(Q184="Complete","Onboarded",IF(OR(M184="Member",M184="Ambassador"),"Sponsored",IF(K184&lt;&gt;"","Follow-Up",IF(I184&lt;&gt;"","Presented",IF(F184&lt;&gt;"","Contacted","New Lead"))))))</f>
        <v/>
      </c>
      <c r="S184" s="6"/>
      <c r="T184" s="6" t="str">
        <f aca="true">IF(MAX(F184,I184,K184)=0,"",TODAY()-MAX(F184,I184,K184))</f>
        <v/>
      </c>
      <c r="U184" s="6"/>
      <c r="V184" s="6"/>
      <c r="W184" s="6" t="str">
        <f aca="false">IF(AND($A184="",$B184=""),"",IF(M184="Ambassador","1 - Ambassador",IF(M184="Member","2 - Member",IF(J184="Completed","3 - Presented",IF(H184&lt;&gt;"","4 - Shared",IF(F184&lt;&gt;"","5 - Contacted","6 - No Activity"))))))</f>
        <v/>
      </c>
      <c r="X184" s="6" t="n">
        <f aca="false">IF(AND($A184="",$B184=""),9999999+(ROW()-4),VALUE(LEFT($W184,1))*10000+(ROW()-4))</f>
        <v>10000179</v>
      </c>
    </row>
    <row r="185" customFormat="false" ht="15" hidden="false" customHeight="true" outlineLevel="0" collapsed="false">
      <c r="A185" s="6"/>
      <c r="B185" s="6"/>
      <c r="C185" s="6"/>
      <c r="D185" s="6"/>
      <c r="E185" s="6"/>
      <c r="F185" s="7"/>
      <c r="G185" s="6"/>
      <c r="H185" s="6"/>
      <c r="I185" s="7"/>
      <c r="J185" s="6"/>
      <c r="K185" s="7"/>
      <c r="L185" s="6"/>
      <c r="M185" s="6"/>
      <c r="N185" s="7"/>
      <c r="O185" s="6"/>
      <c r="P185" s="6"/>
      <c r="Q185" s="7"/>
      <c r="R185" s="6" t="str">
        <f aca="false">IF(AND($A185="",$B185=""),"",IF(Q185="Complete","Onboarded",IF(OR(M185="Member",M185="Ambassador"),"Sponsored",IF(K185&lt;&gt;"","Follow-Up",IF(I185&lt;&gt;"","Presented",IF(F185&lt;&gt;"","Contacted","New Lead"))))))</f>
        <v/>
      </c>
      <c r="S185" s="6"/>
      <c r="T185" s="6" t="str">
        <f aca="true">IF(MAX(F185,I185,K185)=0,"",TODAY()-MAX(F185,I185,K185))</f>
        <v/>
      </c>
      <c r="U185" s="6"/>
      <c r="V185" s="6"/>
      <c r="W185" s="6" t="str">
        <f aca="false">IF(AND($A185="",$B185=""),"",IF(M185="Ambassador","1 - Ambassador",IF(M185="Member","2 - Member",IF(J185="Completed","3 - Presented",IF(H185&lt;&gt;"","4 - Shared",IF(F185&lt;&gt;"","5 - Contacted","6 - No Activity"))))))</f>
        <v/>
      </c>
      <c r="X185" s="6" t="n">
        <f aca="false">IF(AND($A185="",$B185=""),9999999+(ROW()-4),VALUE(LEFT($W185,1))*10000+(ROW()-4))</f>
        <v>10000180</v>
      </c>
    </row>
    <row r="186" customFormat="false" ht="15" hidden="false" customHeight="true" outlineLevel="0" collapsed="false">
      <c r="A186" s="6"/>
      <c r="B186" s="6"/>
      <c r="C186" s="6"/>
      <c r="D186" s="6"/>
      <c r="E186" s="6"/>
      <c r="F186" s="7"/>
      <c r="G186" s="6"/>
      <c r="H186" s="6"/>
      <c r="I186" s="7"/>
      <c r="J186" s="6"/>
      <c r="K186" s="7"/>
      <c r="L186" s="6"/>
      <c r="M186" s="6"/>
      <c r="N186" s="7"/>
      <c r="O186" s="6"/>
      <c r="P186" s="6"/>
      <c r="Q186" s="7"/>
      <c r="R186" s="6" t="str">
        <f aca="false">IF(AND($A186="",$B186=""),"",IF(Q186="Complete","Onboarded",IF(OR(M186="Member",M186="Ambassador"),"Sponsored",IF(K186&lt;&gt;"","Follow-Up",IF(I186&lt;&gt;"","Presented",IF(F186&lt;&gt;"","Contacted","New Lead"))))))</f>
        <v/>
      </c>
      <c r="S186" s="6"/>
      <c r="T186" s="6" t="str">
        <f aca="true">IF(MAX(F186,I186,K186)=0,"",TODAY()-MAX(F186,I186,K186))</f>
        <v/>
      </c>
      <c r="U186" s="6"/>
      <c r="V186" s="6"/>
      <c r="W186" s="6" t="str">
        <f aca="false">IF(AND($A186="",$B186=""),"",IF(M186="Ambassador","1 - Ambassador",IF(M186="Member","2 - Member",IF(J186="Completed","3 - Presented",IF(H186&lt;&gt;"","4 - Shared",IF(F186&lt;&gt;"","5 - Contacted","6 - No Activity"))))))</f>
        <v/>
      </c>
      <c r="X186" s="6" t="n">
        <f aca="false">IF(AND($A186="",$B186=""),9999999+(ROW()-4),VALUE(LEFT($W186,1))*10000+(ROW()-4))</f>
        <v>10000181</v>
      </c>
    </row>
    <row r="187" customFormat="false" ht="15" hidden="false" customHeight="true" outlineLevel="0" collapsed="false">
      <c r="A187" s="6"/>
      <c r="B187" s="6"/>
      <c r="C187" s="6"/>
      <c r="D187" s="6"/>
      <c r="E187" s="6"/>
      <c r="F187" s="7"/>
      <c r="G187" s="6"/>
      <c r="H187" s="6"/>
      <c r="I187" s="7"/>
      <c r="J187" s="6"/>
      <c r="K187" s="7"/>
      <c r="L187" s="6"/>
      <c r="M187" s="6"/>
      <c r="N187" s="7"/>
      <c r="O187" s="6"/>
      <c r="P187" s="6"/>
      <c r="Q187" s="7"/>
      <c r="R187" s="6" t="str">
        <f aca="false">IF(AND($A187="",$B187=""),"",IF(Q187="Complete","Onboarded",IF(OR(M187="Member",M187="Ambassador"),"Sponsored",IF(K187&lt;&gt;"","Follow-Up",IF(I187&lt;&gt;"","Presented",IF(F187&lt;&gt;"","Contacted","New Lead"))))))</f>
        <v/>
      </c>
      <c r="S187" s="6"/>
      <c r="T187" s="6" t="str">
        <f aca="true">IF(MAX(F187,I187,K187)=0,"",TODAY()-MAX(F187,I187,K187))</f>
        <v/>
      </c>
      <c r="U187" s="6"/>
      <c r="V187" s="6"/>
      <c r="W187" s="6" t="str">
        <f aca="false">IF(AND($A187="",$B187=""),"",IF(M187="Ambassador","1 - Ambassador",IF(M187="Member","2 - Member",IF(J187="Completed","3 - Presented",IF(H187&lt;&gt;"","4 - Shared",IF(F187&lt;&gt;"","5 - Contacted","6 - No Activity"))))))</f>
        <v/>
      </c>
      <c r="X187" s="6" t="n">
        <f aca="false">IF(AND($A187="",$B187=""),9999999+(ROW()-4),VALUE(LEFT($W187,1))*10000+(ROW()-4))</f>
        <v>10000182</v>
      </c>
    </row>
    <row r="188" customFormat="false" ht="15" hidden="false" customHeight="true" outlineLevel="0" collapsed="false">
      <c r="A188" s="6"/>
      <c r="B188" s="6"/>
      <c r="C188" s="6"/>
      <c r="D188" s="6"/>
      <c r="E188" s="6"/>
      <c r="F188" s="7"/>
      <c r="G188" s="6"/>
      <c r="H188" s="6"/>
      <c r="I188" s="7"/>
      <c r="J188" s="6"/>
      <c r="K188" s="7"/>
      <c r="L188" s="6"/>
      <c r="M188" s="6"/>
      <c r="N188" s="7"/>
      <c r="O188" s="6"/>
      <c r="P188" s="6"/>
      <c r="Q188" s="7"/>
      <c r="R188" s="6" t="str">
        <f aca="false">IF(AND($A188="",$B188=""),"",IF(Q188="Complete","Onboarded",IF(OR(M188="Member",M188="Ambassador"),"Sponsored",IF(K188&lt;&gt;"","Follow-Up",IF(I188&lt;&gt;"","Presented",IF(F188&lt;&gt;"","Contacted","New Lead"))))))</f>
        <v/>
      </c>
      <c r="S188" s="6"/>
      <c r="T188" s="6" t="str">
        <f aca="true">IF(MAX(F188,I188,K188)=0,"",TODAY()-MAX(F188,I188,K188))</f>
        <v/>
      </c>
      <c r="U188" s="6"/>
      <c r="V188" s="6"/>
      <c r="W188" s="6" t="str">
        <f aca="false">IF(AND($A188="",$B188=""),"",IF(M188="Ambassador","1 - Ambassador",IF(M188="Member","2 - Member",IF(J188="Completed","3 - Presented",IF(H188&lt;&gt;"","4 - Shared",IF(F188&lt;&gt;"","5 - Contacted","6 - No Activity"))))))</f>
        <v/>
      </c>
      <c r="X188" s="6" t="n">
        <f aca="false">IF(AND($A188="",$B188=""),9999999+(ROW()-4),VALUE(LEFT($W188,1))*10000+(ROW()-4))</f>
        <v>10000183</v>
      </c>
    </row>
    <row r="189" customFormat="false" ht="15" hidden="false" customHeight="true" outlineLevel="0" collapsed="false">
      <c r="A189" s="6"/>
      <c r="B189" s="6"/>
      <c r="C189" s="6"/>
      <c r="D189" s="6"/>
      <c r="E189" s="6"/>
      <c r="F189" s="7"/>
      <c r="G189" s="6"/>
      <c r="H189" s="6"/>
      <c r="I189" s="7"/>
      <c r="J189" s="6"/>
      <c r="K189" s="7"/>
      <c r="L189" s="6"/>
      <c r="M189" s="6"/>
      <c r="N189" s="7"/>
      <c r="O189" s="6"/>
      <c r="P189" s="6"/>
      <c r="Q189" s="7"/>
      <c r="R189" s="6" t="str">
        <f aca="false">IF(AND($A189="",$B189=""),"",IF(Q189="Complete","Onboarded",IF(OR(M189="Member",M189="Ambassador"),"Sponsored",IF(K189&lt;&gt;"","Follow-Up",IF(I189&lt;&gt;"","Presented",IF(F189&lt;&gt;"","Contacted","New Lead"))))))</f>
        <v/>
      </c>
      <c r="S189" s="6"/>
      <c r="T189" s="6" t="str">
        <f aca="true">IF(MAX(F189,I189,K189)=0,"",TODAY()-MAX(F189,I189,K189))</f>
        <v/>
      </c>
      <c r="U189" s="6"/>
      <c r="V189" s="6"/>
      <c r="W189" s="6" t="str">
        <f aca="false">IF(AND($A189="",$B189=""),"",IF(M189="Ambassador","1 - Ambassador",IF(M189="Member","2 - Member",IF(J189="Completed","3 - Presented",IF(H189&lt;&gt;"","4 - Shared",IF(F189&lt;&gt;"","5 - Contacted","6 - No Activity"))))))</f>
        <v/>
      </c>
      <c r="X189" s="6" t="n">
        <f aca="false">IF(AND($A189="",$B189=""),9999999+(ROW()-4),VALUE(LEFT($W189,1))*10000+(ROW()-4))</f>
        <v>10000184</v>
      </c>
    </row>
    <row r="190" customFormat="false" ht="15" hidden="false" customHeight="true" outlineLevel="0" collapsed="false">
      <c r="A190" s="6"/>
      <c r="B190" s="6"/>
      <c r="C190" s="6"/>
      <c r="D190" s="6"/>
      <c r="E190" s="6"/>
      <c r="F190" s="7"/>
      <c r="G190" s="6"/>
      <c r="H190" s="6"/>
      <c r="I190" s="7"/>
      <c r="J190" s="6"/>
      <c r="K190" s="7"/>
      <c r="L190" s="6"/>
      <c r="M190" s="6"/>
      <c r="N190" s="7"/>
      <c r="O190" s="6"/>
      <c r="P190" s="6"/>
      <c r="Q190" s="7"/>
      <c r="R190" s="6" t="str">
        <f aca="false">IF(AND($A190="",$B190=""),"",IF(Q190="Complete","Onboarded",IF(OR(M190="Member",M190="Ambassador"),"Sponsored",IF(K190&lt;&gt;"","Follow-Up",IF(I190&lt;&gt;"","Presented",IF(F190&lt;&gt;"","Contacted","New Lead"))))))</f>
        <v/>
      </c>
      <c r="S190" s="6"/>
      <c r="T190" s="6" t="str">
        <f aca="true">IF(MAX(F190,I190,K190)=0,"",TODAY()-MAX(F190,I190,K190))</f>
        <v/>
      </c>
      <c r="U190" s="6"/>
      <c r="V190" s="6"/>
      <c r="W190" s="6" t="str">
        <f aca="false">IF(AND($A190="",$B190=""),"",IF(M190="Ambassador","1 - Ambassador",IF(M190="Member","2 - Member",IF(J190="Completed","3 - Presented",IF(H190&lt;&gt;"","4 - Shared",IF(F190&lt;&gt;"","5 - Contacted","6 - No Activity"))))))</f>
        <v/>
      </c>
      <c r="X190" s="6" t="n">
        <f aca="false">IF(AND($A190="",$B190=""),9999999+(ROW()-4),VALUE(LEFT($W190,1))*10000+(ROW()-4))</f>
        <v>10000185</v>
      </c>
    </row>
    <row r="191" customFormat="false" ht="15" hidden="false" customHeight="true" outlineLevel="0" collapsed="false">
      <c r="A191" s="6"/>
      <c r="B191" s="6"/>
      <c r="C191" s="6"/>
      <c r="D191" s="6"/>
      <c r="E191" s="6"/>
      <c r="F191" s="7"/>
      <c r="G191" s="6"/>
      <c r="H191" s="6"/>
      <c r="I191" s="7"/>
      <c r="J191" s="6"/>
      <c r="K191" s="7"/>
      <c r="L191" s="6"/>
      <c r="M191" s="6"/>
      <c r="N191" s="7"/>
      <c r="O191" s="6"/>
      <c r="P191" s="6"/>
      <c r="Q191" s="7"/>
      <c r="R191" s="6" t="str">
        <f aca="false">IF(AND($A191="",$B191=""),"",IF(Q191="Complete","Onboarded",IF(OR(M191="Member",M191="Ambassador"),"Sponsored",IF(K191&lt;&gt;"","Follow-Up",IF(I191&lt;&gt;"","Presented",IF(F191&lt;&gt;"","Contacted","New Lead"))))))</f>
        <v/>
      </c>
      <c r="S191" s="6"/>
      <c r="T191" s="6" t="str">
        <f aca="true">IF(MAX(F191,I191,K191)=0,"",TODAY()-MAX(F191,I191,K191))</f>
        <v/>
      </c>
      <c r="U191" s="6"/>
      <c r="V191" s="6"/>
      <c r="W191" s="6" t="str">
        <f aca="false">IF(AND($A191="",$B191=""),"",IF(M191="Ambassador","1 - Ambassador",IF(M191="Member","2 - Member",IF(J191="Completed","3 - Presented",IF(H191&lt;&gt;"","4 - Shared",IF(F191&lt;&gt;"","5 - Contacted","6 - No Activity"))))))</f>
        <v/>
      </c>
      <c r="X191" s="6" t="n">
        <f aca="false">IF(AND($A191="",$B191=""),9999999+(ROW()-4),VALUE(LEFT($W191,1))*10000+(ROW()-4))</f>
        <v>10000186</v>
      </c>
    </row>
    <row r="192" customFormat="false" ht="15" hidden="false" customHeight="true" outlineLevel="0" collapsed="false">
      <c r="A192" s="6"/>
      <c r="B192" s="6"/>
      <c r="C192" s="6"/>
      <c r="D192" s="6"/>
      <c r="E192" s="6"/>
      <c r="F192" s="7"/>
      <c r="G192" s="6"/>
      <c r="H192" s="6"/>
      <c r="I192" s="7"/>
      <c r="J192" s="6"/>
      <c r="K192" s="7"/>
      <c r="L192" s="6"/>
      <c r="M192" s="6"/>
      <c r="N192" s="7"/>
      <c r="O192" s="6"/>
      <c r="P192" s="6"/>
      <c r="Q192" s="7"/>
      <c r="R192" s="6" t="str">
        <f aca="false">IF(AND($A192="",$B192=""),"",IF(Q192="Complete","Onboarded",IF(OR(M192="Member",M192="Ambassador"),"Sponsored",IF(K192&lt;&gt;"","Follow-Up",IF(I192&lt;&gt;"","Presented",IF(F192&lt;&gt;"","Contacted","New Lead"))))))</f>
        <v/>
      </c>
      <c r="S192" s="6"/>
      <c r="T192" s="6" t="str">
        <f aca="true">IF(MAX(F192,I192,K192)=0,"",TODAY()-MAX(F192,I192,K192))</f>
        <v/>
      </c>
      <c r="U192" s="6"/>
      <c r="V192" s="6"/>
      <c r="W192" s="6" t="str">
        <f aca="false">IF(AND($A192="",$B192=""),"",IF(M192="Ambassador","1 - Ambassador",IF(M192="Member","2 - Member",IF(J192="Completed","3 - Presented",IF(H192&lt;&gt;"","4 - Shared",IF(F192&lt;&gt;"","5 - Contacted","6 - No Activity"))))))</f>
        <v/>
      </c>
      <c r="X192" s="6" t="n">
        <f aca="false">IF(AND($A192="",$B192=""),9999999+(ROW()-4),VALUE(LEFT($W192,1))*10000+(ROW()-4))</f>
        <v>10000187</v>
      </c>
    </row>
    <row r="193" customFormat="false" ht="15" hidden="false" customHeight="true" outlineLevel="0" collapsed="false">
      <c r="A193" s="6"/>
      <c r="B193" s="6"/>
      <c r="C193" s="6"/>
      <c r="D193" s="6"/>
      <c r="E193" s="6"/>
      <c r="F193" s="7"/>
      <c r="G193" s="6"/>
      <c r="H193" s="6"/>
      <c r="I193" s="7"/>
      <c r="J193" s="6"/>
      <c r="K193" s="7"/>
      <c r="L193" s="6"/>
      <c r="M193" s="6"/>
      <c r="N193" s="7"/>
      <c r="O193" s="6"/>
      <c r="P193" s="6"/>
      <c r="Q193" s="7"/>
      <c r="R193" s="6" t="str">
        <f aca="false">IF(AND($A193="",$B193=""),"",IF(Q193="Complete","Onboarded",IF(OR(M193="Member",M193="Ambassador"),"Sponsored",IF(K193&lt;&gt;"","Follow-Up",IF(I193&lt;&gt;"","Presented",IF(F193&lt;&gt;"","Contacted","New Lead"))))))</f>
        <v/>
      </c>
      <c r="S193" s="6"/>
      <c r="T193" s="6" t="str">
        <f aca="true">IF(MAX(F193,I193,K193)=0,"",TODAY()-MAX(F193,I193,K193))</f>
        <v/>
      </c>
      <c r="U193" s="6"/>
      <c r="V193" s="6"/>
      <c r="W193" s="6" t="str">
        <f aca="false">IF(AND($A193="",$B193=""),"",IF(M193="Ambassador","1 - Ambassador",IF(M193="Member","2 - Member",IF(J193="Completed","3 - Presented",IF(H193&lt;&gt;"","4 - Shared",IF(F193&lt;&gt;"","5 - Contacted","6 - No Activity"))))))</f>
        <v/>
      </c>
      <c r="X193" s="6" t="n">
        <f aca="false">IF(AND($A193="",$B193=""),9999999+(ROW()-4),VALUE(LEFT($W193,1))*10000+(ROW()-4))</f>
        <v>10000188</v>
      </c>
    </row>
    <row r="194" customFormat="false" ht="15" hidden="false" customHeight="true" outlineLevel="0" collapsed="false">
      <c r="A194" s="6"/>
      <c r="B194" s="6"/>
      <c r="C194" s="6"/>
      <c r="D194" s="6"/>
      <c r="E194" s="6"/>
      <c r="F194" s="7"/>
      <c r="G194" s="6"/>
      <c r="H194" s="6"/>
      <c r="I194" s="7"/>
      <c r="J194" s="6"/>
      <c r="K194" s="7"/>
      <c r="L194" s="6"/>
      <c r="M194" s="6"/>
      <c r="N194" s="7"/>
      <c r="O194" s="6"/>
      <c r="P194" s="6"/>
      <c r="Q194" s="7"/>
      <c r="R194" s="6" t="str">
        <f aca="false">IF(AND($A194="",$B194=""),"",IF(Q194="Complete","Onboarded",IF(OR(M194="Member",M194="Ambassador"),"Sponsored",IF(K194&lt;&gt;"","Follow-Up",IF(I194&lt;&gt;"","Presented",IF(F194&lt;&gt;"","Contacted","New Lead"))))))</f>
        <v/>
      </c>
      <c r="S194" s="6"/>
      <c r="T194" s="6" t="str">
        <f aca="true">IF(MAX(F194,I194,K194)=0,"",TODAY()-MAX(F194,I194,K194))</f>
        <v/>
      </c>
      <c r="U194" s="6"/>
      <c r="V194" s="6"/>
      <c r="W194" s="6" t="str">
        <f aca="false">IF(AND($A194="",$B194=""),"",IF(M194="Ambassador","1 - Ambassador",IF(M194="Member","2 - Member",IF(J194="Completed","3 - Presented",IF(H194&lt;&gt;"","4 - Shared",IF(F194&lt;&gt;"","5 - Contacted","6 - No Activity"))))))</f>
        <v/>
      </c>
      <c r="X194" s="6" t="n">
        <f aca="false">IF(AND($A194="",$B194=""),9999999+(ROW()-4),VALUE(LEFT($W194,1))*10000+(ROW()-4))</f>
        <v>10000189</v>
      </c>
    </row>
    <row r="195" customFormat="false" ht="15" hidden="false" customHeight="true" outlineLevel="0" collapsed="false">
      <c r="A195" s="6"/>
      <c r="B195" s="6"/>
      <c r="C195" s="6"/>
      <c r="D195" s="6"/>
      <c r="E195" s="6"/>
      <c r="F195" s="7"/>
      <c r="G195" s="6"/>
      <c r="H195" s="6"/>
      <c r="I195" s="7"/>
      <c r="J195" s="6"/>
      <c r="K195" s="7"/>
      <c r="L195" s="6"/>
      <c r="M195" s="6"/>
      <c r="N195" s="7"/>
      <c r="O195" s="6"/>
      <c r="P195" s="6"/>
      <c r="Q195" s="7"/>
      <c r="R195" s="6" t="str">
        <f aca="false">IF(AND($A195="",$B195=""),"",IF(Q195="Complete","Onboarded",IF(OR(M195="Member",M195="Ambassador"),"Sponsored",IF(K195&lt;&gt;"","Follow-Up",IF(I195&lt;&gt;"","Presented",IF(F195&lt;&gt;"","Contacted","New Lead"))))))</f>
        <v/>
      </c>
      <c r="S195" s="6"/>
      <c r="T195" s="6" t="str">
        <f aca="true">IF(MAX(F195,I195,K195)=0,"",TODAY()-MAX(F195,I195,K195))</f>
        <v/>
      </c>
      <c r="U195" s="6"/>
      <c r="V195" s="6"/>
      <c r="W195" s="6" t="str">
        <f aca="false">IF(AND($A195="",$B195=""),"",IF(M195="Ambassador","1 - Ambassador",IF(M195="Member","2 - Member",IF(J195="Completed","3 - Presented",IF(H195&lt;&gt;"","4 - Shared",IF(F195&lt;&gt;"","5 - Contacted","6 - No Activity"))))))</f>
        <v/>
      </c>
      <c r="X195" s="6" t="n">
        <f aca="false">IF(AND($A195="",$B195=""),9999999+(ROW()-4),VALUE(LEFT($W195,1))*10000+(ROW()-4))</f>
        <v>10000190</v>
      </c>
    </row>
    <row r="196" customFormat="false" ht="15" hidden="false" customHeight="true" outlineLevel="0" collapsed="false">
      <c r="A196" s="6"/>
      <c r="B196" s="6"/>
      <c r="C196" s="6"/>
      <c r="D196" s="6"/>
      <c r="E196" s="6"/>
      <c r="F196" s="7"/>
      <c r="G196" s="6"/>
      <c r="H196" s="6"/>
      <c r="I196" s="7"/>
      <c r="J196" s="6"/>
      <c r="K196" s="7"/>
      <c r="L196" s="6"/>
      <c r="M196" s="6"/>
      <c r="N196" s="7"/>
      <c r="O196" s="6"/>
      <c r="P196" s="6"/>
      <c r="Q196" s="7"/>
      <c r="R196" s="6" t="str">
        <f aca="false">IF(AND($A196="",$B196=""),"",IF(Q196="Complete","Onboarded",IF(OR(M196="Member",M196="Ambassador"),"Sponsored",IF(K196&lt;&gt;"","Follow-Up",IF(I196&lt;&gt;"","Presented",IF(F196&lt;&gt;"","Contacted","New Lead"))))))</f>
        <v/>
      </c>
      <c r="S196" s="6"/>
      <c r="T196" s="6" t="str">
        <f aca="true">IF(MAX(F196,I196,K196)=0,"",TODAY()-MAX(F196,I196,K196))</f>
        <v/>
      </c>
      <c r="U196" s="6"/>
      <c r="V196" s="6"/>
      <c r="W196" s="6" t="str">
        <f aca="false">IF(AND($A196="",$B196=""),"",IF(M196="Ambassador","1 - Ambassador",IF(M196="Member","2 - Member",IF(J196="Completed","3 - Presented",IF(H196&lt;&gt;"","4 - Shared",IF(F196&lt;&gt;"","5 - Contacted","6 - No Activity"))))))</f>
        <v/>
      </c>
      <c r="X196" s="6" t="n">
        <f aca="false">IF(AND($A196="",$B196=""),9999999+(ROW()-4),VALUE(LEFT($W196,1))*10000+(ROW()-4))</f>
        <v>10000191</v>
      </c>
    </row>
    <row r="197" customFormat="false" ht="15" hidden="false" customHeight="true" outlineLevel="0" collapsed="false">
      <c r="A197" s="6"/>
      <c r="B197" s="6"/>
      <c r="C197" s="6"/>
      <c r="D197" s="6"/>
      <c r="E197" s="6"/>
      <c r="F197" s="7"/>
      <c r="G197" s="6"/>
      <c r="H197" s="6"/>
      <c r="I197" s="7"/>
      <c r="J197" s="6"/>
      <c r="K197" s="7"/>
      <c r="L197" s="6"/>
      <c r="M197" s="6"/>
      <c r="N197" s="7"/>
      <c r="O197" s="6"/>
      <c r="P197" s="6"/>
      <c r="Q197" s="7"/>
      <c r="R197" s="6" t="str">
        <f aca="false">IF(AND($A197="",$B197=""),"",IF(Q197="Complete","Onboarded",IF(OR(M197="Member",M197="Ambassador"),"Sponsored",IF(K197&lt;&gt;"","Follow-Up",IF(I197&lt;&gt;"","Presented",IF(F197&lt;&gt;"","Contacted","New Lead"))))))</f>
        <v/>
      </c>
      <c r="S197" s="6"/>
      <c r="T197" s="6" t="str">
        <f aca="true">IF(MAX(F197,I197,K197)=0,"",TODAY()-MAX(F197,I197,K197))</f>
        <v/>
      </c>
      <c r="U197" s="6"/>
      <c r="V197" s="6"/>
      <c r="W197" s="6" t="str">
        <f aca="false">IF(AND($A197="",$B197=""),"",IF(M197="Ambassador","1 - Ambassador",IF(M197="Member","2 - Member",IF(J197="Completed","3 - Presented",IF(H197&lt;&gt;"","4 - Shared",IF(F197&lt;&gt;"","5 - Contacted","6 - No Activity"))))))</f>
        <v/>
      </c>
      <c r="X197" s="6" t="n">
        <f aca="false">IF(AND($A197="",$B197=""),9999999+(ROW()-4),VALUE(LEFT($W197,1))*10000+(ROW()-4))</f>
        <v>10000192</v>
      </c>
    </row>
    <row r="198" customFormat="false" ht="15" hidden="false" customHeight="true" outlineLevel="0" collapsed="false">
      <c r="A198" s="6"/>
      <c r="B198" s="6"/>
      <c r="C198" s="6"/>
      <c r="D198" s="6"/>
      <c r="E198" s="6"/>
      <c r="F198" s="7"/>
      <c r="G198" s="6"/>
      <c r="H198" s="6"/>
      <c r="I198" s="7"/>
      <c r="J198" s="6"/>
      <c r="K198" s="7"/>
      <c r="L198" s="6"/>
      <c r="M198" s="6"/>
      <c r="N198" s="7"/>
      <c r="O198" s="6"/>
      <c r="P198" s="6"/>
      <c r="Q198" s="7"/>
      <c r="R198" s="6" t="str">
        <f aca="false">IF(AND($A198="",$B198=""),"",IF(Q198="Complete","Onboarded",IF(OR(M198="Member",M198="Ambassador"),"Sponsored",IF(K198&lt;&gt;"","Follow-Up",IF(I198&lt;&gt;"","Presented",IF(F198&lt;&gt;"","Contacted","New Lead"))))))</f>
        <v/>
      </c>
      <c r="S198" s="6"/>
      <c r="T198" s="6" t="str">
        <f aca="true">IF(MAX(F198,I198,K198)=0,"",TODAY()-MAX(F198,I198,K198))</f>
        <v/>
      </c>
      <c r="U198" s="6"/>
      <c r="V198" s="6"/>
      <c r="W198" s="6" t="str">
        <f aca="false">IF(AND($A198="",$B198=""),"",IF(M198="Ambassador","1 - Ambassador",IF(M198="Member","2 - Member",IF(J198="Completed","3 - Presented",IF(H198&lt;&gt;"","4 - Shared",IF(F198&lt;&gt;"","5 - Contacted","6 - No Activity"))))))</f>
        <v/>
      </c>
      <c r="X198" s="6" t="n">
        <f aca="false">IF(AND($A198="",$B198=""),9999999+(ROW()-4),VALUE(LEFT($W198,1))*10000+(ROW()-4))</f>
        <v>10000193</v>
      </c>
    </row>
    <row r="199" customFormat="false" ht="15" hidden="false" customHeight="true" outlineLevel="0" collapsed="false">
      <c r="A199" s="6"/>
      <c r="B199" s="6"/>
      <c r="C199" s="6"/>
      <c r="D199" s="6"/>
      <c r="E199" s="6"/>
      <c r="F199" s="7"/>
      <c r="G199" s="6"/>
      <c r="H199" s="6"/>
      <c r="I199" s="7"/>
      <c r="J199" s="6"/>
      <c r="K199" s="7"/>
      <c r="L199" s="6"/>
      <c r="M199" s="6"/>
      <c r="N199" s="7"/>
      <c r="O199" s="6"/>
      <c r="P199" s="6"/>
      <c r="Q199" s="7"/>
      <c r="R199" s="6" t="str">
        <f aca="false">IF(AND($A199="",$B199=""),"",IF(Q199="Complete","Onboarded",IF(OR(M199="Member",M199="Ambassador"),"Sponsored",IF(K199&lt;&gt;"","Follow-Up",IF(I199&lt;&gt;"","Presented",IF(F199&lt;&gt;"","Contacted","New Lead"))))))</f>
        <v/>
      </c>
      <c r="S199" s="6"/>
      <c r="T199" s="6" t="str">
        <f aca="true">IF(MAX(F199,I199,K199)=0,"",TODAY()-MAX(F199,I199,K199))</f>
        <v/>
      </c>
      <c r="U199" s="6"/>
      <c r="V199" s="6"/>
      <c r="W199" s="6" t="str">
        <f aca="false">IF(AND($A199="",$B199=""),"",IF(M199="Ambassador","1 - Ambassador",IF(M199="Member","2 - Member",IF(J199="Completed","3 - Presented",IF(H199&lt;&gt;"","4 - Shared",IF(F199&lt;&gt;"","5 - Contacted","6 - No Activity"))))))</f>
        <v/>
      </c>
      <c r="X199" s="6" t="n">
        <f aca="false">IF(AND($A199="",$B199=""),9999999+(ROW()-4),VALUE(LEFT($W199,1))*10000+(ROW()-4))</f>
        <v>10000194</v>
      </c>
    </row>
    <row r="200" customFormat="false" ht="15" hidden="false" customHeight="true" outlineLevel="0" collapsed="false">
      <c r="A200" s="6"/>
      <c r="B200" s="6"/>
      <c r="C200" s="6"/>
      <c r="D200" s="6"/>
      <c r="E200" s="6"/>
      <c r="F200" s="7"/>
      <c r="G200" s="6"/>
      <c r="H200" s="6"/>
      <c r="I200" s="7"/>
      <c r="J200" s="6"/>
      <c r="K200" s="7"/>
      <c r="L200" s="6"/>
      <c r="M200" s="6"/>
      <c r="N200" s="7"/>
      <c r="O200" s="6"/>
      <c r="P200" s="6"/>
      <c r="Q200" s="7"/>
      <c r="R200" s="6" t="str">
        <f aca="false">IF(AND($A200="",$B200=""),"",IF(Q200="Complete","Onboarded",IF(OR(M200="Member",M200="Ambassador"),"Sponsored",IF(K200&lt;&gt;"","Follow-Up",IF(I200&lt;&gt;"","Presented",IF(F200&lt;&gt;"","Contacted","New Lead"))))))</f>
        <v/>
      </c>
      <c r="S200" s="6"/>
      <c r="T200" s="6" t="str">
        <f aca="true">IF(MAX(F200,I200,K200)=0,"",TODAY()-MAX(F200,I200,K200))</f>
        <v/>
      </c>
      <c r="U200" s="6"/>
      <c r="V200" s="6"/>
      <c r="W200" s="6" t="str">
        <f aca="false">IF(AND($A200="",$B200=""),"",IF(M200="Ambassador","1 - Ambassador",IF(M200="Member","2 - Member",IF(J200="Completed","3 - Presented",IF(H200&lt;&gt;"","4 - Shared",IF(F200&lt;&gt;"","5 - Contacted","6 - No Activity"))))))</f>
        <v/>
      </c>
      <c r="X200" s="6" t="n">
        <f aca="false">IF(AND($A200="",$B200=""),9999999+(ROW()-4),VALUE(LEFT($W200,1))*10000+(ROW()-4))</f>
        <v>10000195</v>
      </c>
    </row>
    <row r="201" customFormat="false" ht="15" hidden="false" customHeight="true" outlineLevel="0" collapsed="false">
      <c r="A201" s="6"/>
      <c r="B201" s="6"/>
      <c r="C201" s="6"/>
      <c r="D201" s="6"/>
      <c r="E201" s="6"/>
      <c r="F201" s="7"/>
      <c r="G201" s="6"/>
      <c r="H201" s="6"/>
      <c r="I201" s="7"/>
      <c r="J201" s="6"/>
      <c r="K201" s="7"/>
      <c r="L201" s="6"/>
      <c r="M201" s="6"/>
      <c r="N201" s="7"/>
      <c r="O201" s="6"/>
      <c r="P201" s="6"/>
      <c r="Q201" s="7"/>
      <c r="R201" s="6" t="str">
        <f aca="false">IF(AND($A201="",$B201=""),"",IF(Q201="Complete","Onboarded",IF(OR(M201="Member",M201="Ambassador"),"Sponsored",IF(K201&lt;&gt;"","Follow-Up",IF(I201&lt;&gt;"","Presented",IF(F201&lt;&gt;"","Contacted","New Lead"))))))</f>
        <v/>
      </c>
      <c r="S201" s="6"/>
      <c r="T201" s="6" t="str">
        <f aca="true">IF(MAX(F201,I201,K201)=0,"",TODAY()-MAX(F201,I201,K201))</f>
        <v/>
      </c>
      <c r="U201" s="6"/>
      <c r="V201" s="6"/>
      <c r="W201" s="6" t="str">
        <f aca="false">IF(AND($A201="",$B201=""),"",IF(M201="Ambassador","1 - Ambassador",IF(M201="Member","2 - Member",IF(J201="Completed","3 - Presented",IF(H201&lt;&gt;"","4 - Shared",IF(F201&lt;&gt;"","5 - Contacted","6 - No Activity"))))))</f>
        <v/>
      </c>
      <c r="X201" s="6" t="n">
        <f aca="false">IF(AND($A201="",$B201=""),9999999+(ROW()-4),VALUE(LEFT($W201,1))*10000+(ROW()-4))</f>
        <v>10000196</v>
      </c>
    </row>
    <row r="202" customFormat="false" ht="15" hidden="false" customHeight="true" outlineLevel="0" collapsed="false">
      <c r="A202" s="6"/>
      <c r="B202" s="6"/>
      <c r="C202" s="6"/>
      <c r="D202" s="6"/>
      <c r="E202" s="6"/>
      <c r="F202" s="7"/>
      <c r="G202" s="6"/>
      <c r="H202" s="6"/>
      <c r="I202" s="7"/>
      <c r="J202" s="6"/>
      <c r="K202" s="7"/>
      <c r="L202" s="6"/>
      <c r="M202" s="6"/>
      <c r="N202" s="7"/>
      <c r="O202" s="6"/>
      <c r="P202" s="6"/>
      <c r="Q202" s="7"/>
      <c r="R202" s="6" t="str">
        <f aca="false">IF(AND($A202="",$B202=""),"",IF(Q202="Complete","Onboarded",IF(OR(M202="Member",M202="Ambassador"),"Sponsored",IF(K202&lt;&gt;"","Follow-Up",IF(I202&lt;&gt;"","Presented",IF(F202&lt;&gt;"","Contacted","New Lead"))))))</f>
        <v/>
      </c>
      <c r="S202" s="6"/>
      <c r="T202" s="6" t="str">
        <f aca="true">IF(MAX(F202,I202,K202)=0,"",TODAY()-MAX(F202,I202,K202))</f>
        <v/>
      </c>
      <c r="U202" s="6"/>
      <c r="V202" s="6"/>
      <c r="W202" s="6" t="str">
        <f aca="false">IF(AND($A202="",$B202=""),"",IF(M202="Ambassador","1 - Ambassador",IF(M202="Member","2 - Member",IF(J202="Completed","3 - Presented",IF(H202&lt;&gt;"","4 - Shared",IF(F202&lt;&gt;"","5 - Contacted","6 - No Activity"))))))</f>
        <v/>
      </c>
      <c r="X202" s="6" t="n">
        <f aca="false">IF(AND($A202="",$B202=""),9999999+(ROW()-4),VALUE(LEFT($W202,1))*10000+(ROW()-4))</f>
        <v>10000197</v>
      </c>
    </row>
    <row r="203" customFormat="false" ht="15" hidden="false" customHeight="true" outlineLevel="0" collapsed="false">
      <c r="A203" s="6"/>
      <c r="B203" s="6"/>
      <c r="C203" s="6"/>
      <c r="D203" s="6"/>
      <c r="E203" s="6"/>
      <c r="F203" s="7"/>
      <c r="G203" s="6"/>
      <c r="H203" s="6"/>
      <c r="I203" s="7"/>
      <c r="J203" s="6"/>
      <c r="K203" s="7"/>
      <c r="L203" s="6"/>
      <c r="M203" s="6"/>
      <c r="N203" s="7"/>
      <c r="O203" s="6"/>
      <c r="P203" s="6"/>
      <c r="Q203" s="7"/>
      <c r="R203" s="6" t="str">
        <f aca="false">IF(AND($A203="",$B203=""),"",IF(Q203="Complete","Onboarded",IF(OR(M203="Member",M203="Ambassador"),"Sponsored",IF(K203&lt;&gt;"","Follow-Up",IF(I203&lt;&gt;"","Presented",IF(F203&lt;&gt;"","Contacted","New Lead"))))))</f>
        <v/>
      </c>
      <c r="S203" s="6"/>
      <c r="T203" s="6" t="str">
        <f aca="true">IF(MAX(F203,I203,K203)=0,"",TODAY()-MAX(F203,I203,K203))</f>
        <v/>
      </c>
      <c r="U203" s="6"/>
      <c r="V203" s="6"/>
      <c r="W203" s="6" t="str">
        <f aca="false">IF(AND($A203="",$B203=""),"",IF(M203="Ambassador","1 - Ambassador",IF(M203="Member","2 - Member",IF(J203="Completed","3 - Presented",IF(H203&lt;&gt;"","4 - Shared",IF(F203&lt;&gt;"","5 - Contacted","6 - No Activity"))))))</f>
        <v/>
      </c>
      <c r="X203" s="6" t="n">
        <f aca="false">IF(AND($A203="",$B203=""),9999999+(ROW()-4),VALUE(LEFT($W203,1))*10000+(ROW()-4))</f>
        <v>10000198</v>
      </c>
    </row>
    <row r="204" customFormat="false" ht="15" hidden="false" customHeight="true" outlineLevel="0" collapsed="false">
      <c r="A204" s="6"/>
      <c r="B204" s="6"/>
      <c r="C204" s="6"/>
      <c r="D204" s="6"/>
      <c r="E204" s="6"/>
      <c r="F204" s="7"/>
      <c r="G204" s="6"/>
      <c r="H204" s="6"/>
      <c r="I204" s="7"/>
      <c r="J204" s="6"/>
      <c r="K204" s="7"/>
      <c r="L204" s="6"/>
      <c r="M204" s="6"/>
      <c r="N204" s="7"/>
      <c r="O204" s="6"/>
      <c r="P204" s="6"/>
      <c r="Q204" s="7"/>
      <c r="R204" s="6" t="str">
        <f aca="false">IF(AND($A204="",$B204=""),"",IF(Q204="Complete","Onboarded",IF(OR(M204="Member",M204="Ambassador"),"Sponsored",IF(K204&lt;&gt;"","Follow-Up",IF(I204&lt;&gt;"","Presented",IF(F204&lt;&gt;"","Contacted","New Lead"))))))</f>
        <v/>
      </c>
      <c r="S204" s="6"/>
      <c r="T204" s="6" t="str">
        <f aca="true">IF(MAX(F204,I204,K204)=0,"",TODAY()-MAX(F204,I204,K204))</f>
        <v/>
      </c>
      <c r="U204" s="6"/>
      <c r="V204" s="6"/>
      <c r="W204" s="6" t="str">
        <f aca="false">IF(AND($A204="",$B204=""),"",IF(M204="Ambassador","1 - Ambassador",IF(M204="Member","2 - Member",IF(J204="Completed","3 - Presented",IF(H204&lt;&gt;"","4 - Shared",IF(F204&lt;&gt;"","5 - Contacted","6 - No Activity"))))))</f>
        <v/>
      </c>
      <c r="X204" s="6" t="n">
        <f aca="false">IF(AND($A204="",$B204=""),9999999+(ROW()-4),VALUE(LEFT($W204,1))*10000+(ROW()-4))</f>
        <v>10000199</v>
      </c>
    </row>
    <row r="205" customFormat="false" ht="15" hidden="false" customHeight="true" outlineLevel="0" collapsed="false">
      <c r="A205" s="6"/>
      <c r="B205" s="6"/>
      <c r="C205" s="6"/>
      <c r="D205" s="6"/>
      <c r="E205" s="6"/>
      <c r="F205" s="7"/>
      <c r="G205" s="6"/>
      <c r="H205" s="6"/>
      <c r="I205" s="7"/>
      <c r="J205" s="6"/>
      <c r="K205" s="7"/>
      <c r="L205" s="6"/>
      <c r="M205" s="6"/>
      <c r="N205" s="7"/>
      <c r="O205" s="6"/>
      <c r="P205" s="6"/>
      <c r="Q205" s="7"/>
      <c r="R205" s="6" t="str">
        <f aca="false">IF(AND($A205="",$B205=""),"",IF(Q205="Complete","Onboarded",IF(OR(M205="Member",M205="Ambassador"),"Sponsored",IF(K205&lt;&gt;"","Follow-Up",IF(I205&lt;&gt;"","Presented",IF(F205&lt;&gt;"","Contacted","New Lead"))))))</f>
        <v/>
      </c>
      <c r="S205" s="6"/>
      <c r="T205" s="6" t="str">
        <f aca="true">IF(MAX(F205,I205,K205)=0,"",TODAY()-MAX(F205,I205,K205))</f>
        <v/>
      </c>
      <c r="U205" s="6"/>
      <c r="V205" s="6"/>
      <c r="W205" s="6" t="str">
        <f aca="false">IF(AND($A205="",$B205=""),"",IF(M205="Ambassador","1 - Ambassador",IF(M205="Member","2 - Member",IF(J205="Completed","3 - Presented",IF(H205&lt;&gt;"","4 - Shared",IF(F205&lt;&gt;"","5 - Contacted","6 - No Activity"))))))</f>
        <v/>
      </c>
      <c r="X205" s="6" t="n">
        <f aca="false">IF(AND($A205="",$B205=""),9999999+(ROW()-4),VALUE(LEFT($W205,1))*10000+(ROW()-4))</f>
        <v>10000200</v>
      </c>
    </row>
    <row r="206" customFormat="false" ht="15" hidden="false" customHeight="true" outlineLevel="0" collapsed="false">
      <c r="A206" s="6"/>
      <c r="B206" s="6"/>
      <c r="C206" s="6"/>
      <c r="D206" s="6"/>
      <c r="E206" s="6"/>
      <c r="F206" s="7"/>
      <c r="G206" s="6"/>
      <c r="H206" s="6"/>
      <c r="I206" s="7"/>
      <c r="J206" s="6"/>
      <c r="K206" s="7"/>
      <c r="L206" s="6"/>
      <c r="M206" s="6"/>
      <c r="N206" s="7"/>
      <c r="O206" s="6"/>
      <c r="P206" s="6"/>
      <c r="Q206" s="7"/>
      <c r="R206" s="6" t="str">
        <f aca="false">IF(AND($A206="",$B206=""),"",IF(Q206="Complete","Onboarded",IF(OR(M206="Member",M206="Ambassador"),"Sponsored",IF(K206&lt;&gt;"","Follow-Up",IF(I206&lt;&gt;"","Presented",IF(F206&lt;&gt;"","Contacted","New Lead"))))))</f>
        <v/>
      </c>
      <c r="S206" s="6"/>
      <c r="T206" s="6" t="str">
        <f aca="true">IF(MAX(F206,I206,K206)=0,"",TODAY()-MAX(F206,I206,K206))</f>
        <v/>
      </c>
      <c r="U206" s="6"/>
      <c r="V206" s="6"/>
      <c r="W206" s="6" t="str">
        <f aca="false">IF(AND($A206="",$B206=""),"",IF(M206="Ambassador","1 - Ambassador",IF(M206="Member","2 - Member",IF(J206="Completed","3 - Presented",IF(H206&lt;&gt;"","4 - Shared",IF(F206&lt;&gt;"","5 - Contacted","6 - No Activity"))))))</f>
        <v/>
      </c>
      <c r="X206" s="6" t="n">
        <f aca="false">IF(AND($A206="",$B206=""),9999999+(ROW()-4),VALUE(LEFT($W206,1))*10000+(ROW()-4))</f>
        <v>10000201</v>
      </c>
    </row>
    <row r="207" customFormat="false" ht="15" hidden="false" customHeight="true" outlineLevel="0" collapsed="false">
      <c r="A207" s="6"/>
      <c r="B207" s="6"/>
      <c r="C207" s="6"/>
      <c r="D207" s="6"/>
      <c r="E207" s="6"/>
      <c r="F207" s="7"/>
      <c r="G207" s="6"/>
      <c r="H207" s="6"/>
      <c r="I207" s="7"/>
      <c r="J207" s="6"/>
      <c r="K207" s="7"/>
      <c r="L207" s="6"/>
      <c r="M207" s="6"/>
      <c r="N207" s="7"/>
      <c r="O207" s="6"/>
      <c r="P207" s="6"/>
      <c r="Q207" s="7"/>
      <c r="R207" s="6" t="str">
        <f aca="false">IF(AND($A207="",$B207=""),"",IF(Q207="Complete","Onboarded",IF(OR(M207="Member",M207="Ambassador"),"Sponsored",IF(K207&lt;&gt;"","Follow-Up",IF(I207&lt;&gt;"","Presented",IF(F207&lt;&gt;"","Contacted","New Lead"))))))</f>
        <v/>
      </c>
      <c r="S207" s="6"/>
      <c r="T207" s="6" t="str">
        <f aca="true">IF(MAX(F207,I207,K207)=0,"",TODAY()-MAX(F207,I207,K207))</f>
        <v/>
      </c>
      <c r="U207" s="6"/>
      <c r="V207" s="6"/>
      <c r="W207" s="6" t="str">
        <f aca="false">IF(AND($A207="",$B207=""),"",IF(M207="Ambassador","1 - Ambassador",IF(M207="Member","2 - Member",IF(J207="Completed","3 - Presented",IF(H207&lt;&gt;"","4 - Shared",IF(F207&lt;&gt;"","5 - Contacted","6 - No Activity"))))))</f>
        <v/>
      </c>
      <c r="X207" s="6" t="n">
        <f aca="false">IF(AND($A207="",$B207=""),9999999+(ROW()-4),VALUE(LEFT($W207,1))*10000+(ROW()-4))</f>
        <v>10000202</v>
      </c>
    </row>
    <row r="208" customFormat="false" ht="15" hidden="false" customHeight="true" outlineLevel="0" collapsed="false">
      <c r="A208" s="6"/>
      <c r="B208" s="6"/>
      <c r="C208" s="6"/>
      <c r="D208" s="6"/>
      <c r="E208" s="6"/>
      <c r="F208" s="7"/>
      <c r="G208" s="6"/>
      <c r="H208" s="6"/>
      <c r="I208" s="7"/>
      <c r="J208" s="6"/>
      <c r="K208" s="7"/>
      <c r="L208" s="6"/>
      <c r="M208" s="6"/>
      <c r="N208" s="7"/>
      <c r="O208" s="6"/>
      <c r="P208" s="6"/>
      <c r="Q208" s="7"/>
      <c r="R208" s="6" t="str">
        <f aca="false">IF(AND($A208="",$B208=""),"",IF(Q208="Complete","Onboarded",IF(OR(M208="Member",M208="Ambassador"),"Sponsored",IF(K208&lt;&gt;"","Follow-Up",IF(I208&lt;&gt;"","Presented",IF(F208&lt;&gt;"","Contacted","New Lead"))))))</f>
        <v/>
      </c>
      <c r="S208" s="6"/>
      <c r="T208" s="6" t="str">
        <f aca="true">IF(MAX(F208,I208,K208)=0,"",TODAY()-MAX(F208,I208,K208))</f>
        <v/>
      </c>
      <c r="U208" s="6"/>
      <c r="V208" s="6"/>
      <c r="W208" s="6" t="str">
        <f aca="false">IF(AND($A208="",$B208=""),"",IF(M208="Ambassador","1 - Ambassador",IF(M208="Member","2 - Member",IF(J208="Completed","3 - Presented",IF(H208&lt;&gt;"","4 - Shared",IF(F208&lt;&gt;"","5 - Contacted","6 - No Activity"))))))</f>
        <v/>
      </c>
      <c r="X208" s="6" t="n">
        <f aca="false">IF(AND($A208="",$B208=""),9999999+(ROW()-4),VALUE(LEFT($W208,1))*10000+(ROW()-4))</f>
        <v>10000203</v>
      </c>
    </row>
    <row r="209" customFormat="false" ht="15" hidden="false" customHeight="true" outlineLevel="0" collapsed="false">
      <c r="A209" s="6"/>
      <c r="B209" s="6"/>
      <c r="C209" s="6"/>
      <c r="D209" s="6"/>
      <c r="E209" s="6"/>
      <c r="F209" s="7"/>
      <c r="G209" s="6"/>
      <c r="H209" s="6"/>
      <c r="I209" s="7"/>
      <c r="J209" s="6"/>
      <c r="K209" s="7"/>
      <c r="L209" s="6"/>
      <c r="M209" s="6"/>
      <c r="N209" s="7"/>
      <c r="O209" s="6"/>
      <c r="P209" s="6"/>
      <c r="Q209" s="7"/>
      <c r="R209" s="6" t="str">
        <f aca="false">IF(AND($A209="",$B209=""),"",IF(Q209="Complete","Onboarded",IF(OR(M209="Member",M209="Ambassador"),"Sponsored",IF(K209&lt;&gt;"","Follow-Up",IF(I209&lt;&gt;"","Presented",IF(F209&lt;&gt;"","Contacted","New Lead"))))))</f>
        <v/>
      </c>
      <c r="S209" s="6"/>
      <c r="T209" s="6" t="str">
        <f aca="true">IF(MAX(F209,I209,K209)=0,"",TODAY()-MAX(F209,I209,K209))</f>
        <v/>
      </c>
      <c r="U209" s="6"/>
      <c r="V209" s="6"/>
      <c r="W209" s="6" t="str">
        <f aca="false">IF(AND($A209="",$B209=""),"",IF(M209="Ambassador","1 - Ambassador",IF(M209="Member","2 - Member",IF(J209="Completed","3 - Presented",IF(H209&lt;&gt;"","4 - Shared",IF(F209&lt;&gt;"","5 - Contacted","6 - No Activity"))))))</f>
        <v/>
      </c>
      <c r="X209" s="6" t="n">
        <f aca="false">IF(AND($A209="",$B209=""),9999999+(ROW()-4),VALUE(LEFT($W209,1))*10000+(ROW()-4))</f>
        <v>10000204</v>
      </c>
    </row>
    <row r="210" customFormat="false" ht="15" hidden="false" customHeight="true" outlineLevel="0" collapsed="false">
      <c r="A210" s="6"/>
      <c r="B210" s="6"/>
      <c r="C210" s="6"/>
      <c r="D210" s="6"/>
      <c r="E210" s="6"/>
      <c r="F210" s="7"/>
      <c r="G210" s="6"/>
      <c r="H210" s="6"/>
      <c r="I210" s="7"/>
      <c r="J210" s="6"/>
      <c r="K210" s="7"/>
      <c r="L210" s="6"/>
      <c r="M210" s="6"/>
      <c r="N210" s="7"/>
      <c r="O210" s="6"/>
      <c r="P210" s="6"/>
      <c r="Q210" s="7"/>
      <c r="R210" s="6" t="str">
        <f aca="false">IF(AND($A210="",$B210=""),"",IF(Q210="Complete","Onboarded",IF(OR(M210="Member",M210="Ambassador"),"Sponsored",IF(K210&lt;&gt;"","Follow-Up",IF(I210&lt;&gt;"","Presented",IF(F210&lt;&gt;"","Contacted","New Lead"))))))</f>
        <v/>
      </c>
      <c r="S210" s="6"/>
      <c r="T210" s="6" t="str">
        <f aca="true">IF(MAX(F210,I210,K210)=0,"",TODAY()-MAX(F210,I210,K210))</f>
        <v/>
      </c>
      <c r="U210" s="6"/>
      <c r="V210" s="6"/>
      <c r="W210" s="6" t="str">
        <f aca="false">IF(AND($A210="",$B210=""),"",IF(M210="Ambassador","1 - Ambassador",IF(M210="Member","2 - Member",IF(J210="Completed","3 - Presented",IF(H210&lt;&gt;"","4 - Shared",IF(F210&lt;&gt;"","5 - Contacted","6 - No Activity"))))))</f>
        <v/>
      </c>
      <c r="X210" s="6" t="n">
        <f aca="false">IF(AND($A210="",$B210=""),9999999+(ROW()-4),VALUE(LEFT($W210,1))*10000+(ROW()-4))</f>
        <v>10000205</v>
      </c>
    </row>
    <row r="211" customFormat="false" ht="15" hidden="false" customHeight="true" outlineLevel="0" collapsed="false">
      <c r="A211" s="6"/>
      <c r="B211" s="6"/>
      <c r="C211" s="6"/>
      <c r="D211" s="6"/>
      <c r="E211" s="6"/>
      <c r="F211" s="7"/>
      <c r="G211" s="6"/>
      <c r="H211" s="6"/>
      <c r="I211" s="7"/>
      <c r="J211" s="6"/>
      <c r="K211" s="7"/>
      <c r="L211" s="6"/>
      <c r="M211" s="6"/>
      <c r="N211" s="7"/>
      <c r="O211" s="6"/>
      <c r="P211" s="6"/>
      <c r="Q211" s="7"/>
      <c r="R211" s="6" t="str">
        <f aca="false">IF(AND($A211="",$B211=""),"",IF(Q211="Complete","Onboarded",IF(OR(M211="Member",M211="Ambassador"),"Sponsored",IF(K211&lt;&gt;"","Follow-Up",IF(I211&lt;&gt;"","Presented",IF(F211&lt;&gt;"","Contacted","New Lead"))))))</f>
        <v/>
      </c>
      <c r="S211" s="6"/>
      <c r="T211" s="6" t="str">
        <f aca="true">IF(MAX(F211,I211,K211)=0,"",TODAY()-MAX(F211,I211,K211))</f>
        <v/>
      </c>
      <c r="U211" s="6"/>
      <c r="V211" s="6"/>
      <c r="W211" s="6" t="str">
        <f aca="false">IF(AND($A211="",$B211=""),"",IF(M211="Ambassador","1 - Ambassador",IF(M211="Member","2 - Member",IF(J211="Completed","3 - Presented",IF(H211&lt;&gt;"","4 - Shared",IF(F211&lt;&gt;"","5 - Contacted","6 - No Activity"))))))</f>
        <v/>
      </c>
      <c r="X211" s="6" t="n">
        <f aca="false">IF(AND($A211="",$B211=""),9999999+(ROW()-4),VALUE(LEFT($W211,1))*10000+(ROW()-4))</f>
        <v>10000206</v>
      </c>
    </row>
    <row r="212" customFormat="false" ht="15" hidden="false" customHeight="true" outlineLevel="0" collapsed="false">
      <c r="A212" s="6"/>
      <c r="B212" s="6"/>
      <c r="C212" s="6"/>
      <c r="D212" s="6"/>
      <c r="E212" s="6"/>
      <c r="F212" s="7"/>
      <c r="G212" s="6"/>
      <c r="H212" s="6"/>
      <c r="I212" s="7"/>
      <c r="J212" s="6"/>
      <c r="K212" s="7"/>
      <c r="L212" s="6"/>
      <c r="M212" s="6"/>
      <c r="N212" s="7"/>
      <c r="O212" s="6"/>
      <c r="P212" s="6"/>
      <c r="Q212" s="7"/>
      <c r="R212" s="6" t="str">
        <f aca="false">IF(AND($A212="",$B212=""),"",IF(Q212="Complete","Onboarded",IF(OR(M212="Member",M212="Ambassador"),"Sponsored",IF(K212&lt;&gt;"","Follow-Up",IF(I212&lt;&gt;"","Presented",IF(F212&lt;&gt;"","Contacted","New Lead"))))))</f>
        <v/>
      </c>
      <c r="S212" s="6"/>
      <c r="T212" s="6" t="str">
        <f aca="true">IF(MAX(F212,I212,K212)=0,"",TODAY()-MAX(F212,I212,K212))</f>
        <v/>
      </c>
      <c r="U212" s="6"/>
      <c r="V212" s="6"/>
      <c r="W212" s="6" t="str">
        <f aca="false">IF(AND($A212="",$B212=""),"",IF(M212="Ambassador","1 - Ambassador",IF(M212="Member","2 - Member",IF(J212="Completed","3 - Presented",IF(H212&lt;&gt;"","4 - Shared",IF(F212&lt;&gt;"","5 - Contacted","6 - No Activity"))))))</f>
        <v/>
      </c>
      <c r="X212" s="6" t="n">
        <f aca="false">IF(AND($A212="",$B212=""),9999999+(ROW()-4),VALUE(LEFT($W212,1))*10000+(ROW()-4))</f>
        <v>10000207</v>
      </c>
    </row>
    <row r="213" customFormat="false" ht="15" hidden="false" customHeight="true" outlineLevel="0" collapsed="false">
      <c r="A213" s="6"/>
      <c r="B213" s="6"/>
      <c r="C213" s="6"/>
      <c r="D213" s="6"/>
      <c r="E213" s="6"/>
      <c r="F213" s="7"/>
      <c r="G213" s="6"/>
      <c r="H213" s="6"/>
      <c r="I213" s="7"/>
      <c r="J213" s="6"/>
      <c r="K213" s="7"/>
      <c r="L213" s="6"/>
      <c r="M213" s="6"/>
      <c r="N213" s="7"/>
      <c r="O213" s="6"/>
      <c r="P213" s="6"/>
      <c r="Q213" s="7"/>
      <c r="R213" s="6" t="str">
        <f aca="false">IF(AND($A213="",$B213=""),"",IF(Q213="Complete","Onboarded",IF(OR(M213="Member",M213="Ambassador"),"Sponsored",IF(K213&lt;&gt;"","Follow-Up",IF(I213&lt;&gt;"","Presented",IF(F213&lt;&gt;"","Contacted","New Lead"))))))</f>
        <v/>
      </c>
      <c r="S213" s="6"/>
      <c r="T213" s="6" t="str">
        <f aca="true">IF(MAX(F213,I213,K213)=0,"",TODAY()-MAX(F213,I213,K213))</f>
        <v/>
      </c>
      <c r="U213" s="6"/>
      <c r="V213" s="6"/>
      <c r="W213" s="6" t="str">
        <f aca="false">IF(AND($A213="",$B213=""),"",IF(M213="Ambassador","1 - Ambassador",IF(M213="Member","2 - Member",IF(J213="Completed","3 - Presented",IF(H213&lt;&gt;"","4 - Shared",IF(F213&lt;&gt;"","5 - Contacted","6 - No Activity"))))))</f>
        <v/>
      </c>
      <c r="X213" s="6" t="n">
        <f aca="false">IF(AND($A213="",$B213=""),9999999+(ROW()-4),VALUE(LEFT($W213,1))*10000+(ROW()-4))</f>
        <v>10000208</v>
      </c>
    </row>
    <row r="214" customFormat="false" ht="15" hidden="false" customHeight="true" outlineLevel="0" collapsed="false">
      <c r="A214" s="6"/>
      <c r="B214" s="6"/>
      <c r="C214" s="6"/>
      <c r="D214" s="6"/>
      <c r="E214" s="6"/>
      <c r="F214" s="7"/>
      <c r="G214" s="6"/>
      <c r="H214" s="6"/>
      <c r="I214" s="7"/>
      <c r="J214" s="6"/>
      <c r="K214" s="7"/>
      <c r="L214" s="6"/>
      <c r="M214" s="6"/>
      <c r="N214" s="7"/>
      <c r="O214" s="6"/>
      <c r="P214" s="6"/>
      <c r="Q214" s="7"/>
      <c r="R214" s="6" t="str">
        <f aca="false">IF(AND($A214="",$B214=""),"",IF(Q214="Complete","Onboarded",IF(OR(M214="Member",M214="Ambassador"),"Sponsored",IF(K214&lt;&gt;"","Follow-Up",IF(I214&lt;&gt;"","Presented",IF(F214&lt;&gt;"","Contacted","New Lead"))))))</f>
        <v/>
      </c>
      <c r="S214" s="6"/>
      <c r="T214" s="6" t="str">
        <f aca="true">IF(MAX(F214,I214,K214)=0,"",TODAY()-MAX(F214,I214,K214))</f>
        <v/>
      </c>
      <c r="U214" s="6"/>
      <c r="V214" s="6"/>
      <c r="W214" s="6" t="str">
        <f aca="false">IF(AND($A214="",$B214=""),"",IF(M214="Ambassador","1 - Ambassador",IF(M214="Member","2 - Member",IF(J214="Completed","3 - Presented",IF(H214&lt;&gt;"","4 - Shared",IF(F214&lt;&gt;"","5 - Contacted","6 - No Activity"))))))</f>
        <v/>
      </c>
      <c r="X214" s="6" t="n">
        <f aca="false">IF(AND($A214="",$B214=""),9999999+(ROW()-4),VALUE(LEFT($W214,1))*10000+(ROW()-4))</f>
        <v>10000209</v>
      </c>
    </row>
    <row r="215" customFormat="false" ht="15" hidden="false" customHeight="true" outlineLevel="0" collapsed="false">
      <c r="A215" s="6"/>
      <c r="B215" s="6"/>
      <c r="C215" s="6"/>
      <c r="D215" s="6"/>
      <c r="E215" s="6"/>
      <c r="F215" s="7"/>
      <c r="G215" s="6"/>
      <c r="H215" s="6"/>
      <c r="I215" s="7"/>
      <c r="J215" s="6"/>
      <c r="K215" s="7"/>
      <c r="L215" s="6"/>
      <c r="M215" s="6"/>
      <c r="N215" s="7"/>
      <c r="O215" s="6"/>
      <c r="P215" s="6"/>
      <c r="Q215" s="7"/>
      <c r="R215" s="6" t="str">
        <f aca="false">IF(AND($A215="",$B215=""),"",IF(Q215="Complete","Onboarded",IF(OR(M215="Member",M215="Ambassador"),"Sponsored",IF(K215&lt;&gt;"","Follow-Up",IF(I215&lt;&gt;"","Presented",IF(F215&lt;&gt;"","Contacted","New Lead"))))))</f>
        <v/>
      </c>
      <c r="S215" s="6"/>
      <c r="T215" s="6" t="str">
        <f aca="true">IF(MAX(F215,I215,K215)=0,"",TODAY()-MAX(F215,I215,K215))</f>
        <v/>
      </c>
      <c r="U215" s="6"/>
      <c r="V215" s="6"/>
      <c r="W215" s="6" t="str">
        <f aca="false">IF(AND($A215="",$B215=""),"",IF(M215="Ambassador","1 - Ambassador",IF(M215="Member","2 - Member",IF(J215="Completed","3 - Presented",IF(H215&lt;&gt;"","4 - Shared",IF(F215&lt;&gt;"","5 - Contacted","6 - No Activity"))))))</f>
        <v/>
      </c>
      <c r="X215" s="6" t="n">
        <f aca="false">IF(AND($A215="",$B215=""),9999999+(ROW()-4),VALUE(LEFT($W215,1))*10000+(ROW()-4))</f>
        <v>10000210</v>
      </c>
    </row>
    <row r="216" customFormat="false" ht="15" hidden="false" customHeight="true" outlineLevel="0" collapsed="false">
      <c r="A216" s="6"/>
      <c r="B216" s="6"/>
      <c r="C216" s="6"/>
      <c r="D216" s="6"/>
      <c r="E216" s="6"/>
      <c r="F216" s="7"/>
      <c r="G216" s="6"/>
      <c r="H216" s="6"/>
      <c r="I216" s="7"/>
      <c r="J216" s="6"/>
      <c r="K216" s="7"/>
      <c r="L216" s="6"/>
      <c r="M216" s="6"/>
      <c r="N216" s="7"/>
      <c r="O216" s="6"/>
      <c r="P216" s="6"/>
      <c r="Q216" s="7"/>
      <c r="R216" s="6" t="str">
        <f aca="false">IF(AND($A216="",$B216=""),"",IF(Q216="Complete","Onboarded",IF(OR(M216="Member",M216="Ambassador"),"Sponsored",IF(K216&lt;&gt;"","Follow-Up",IF(I216&lt;&gt;"","Presented",IF(F216&lt;&gt;"","Contacted","New Lead"))))))</f>
        <v/>
      </c>
      <c r="S216" s="6"/>
      <c r="T216" s="6" t="str">
        <f aca="true">IF(MAX(F216,I216,K216)=0,"",TODAY()-MAX(F216,I216,K216))</f>
        <v/>
      </c>
      <c r="U216" s="6"/>
      <c r="V216" s="6"/>
      <c r="W216" s="6" t="str">
        <f aca="false">IF(AND($A216="",$B216=""),"",IF(M216="Ambassador","1 - Ambassador",IF(M216="Member","2 - Member",IF(J216="Completed","3 - Presented",IF(H216&lt;&gt;"","4 - Shared",IF(F216&lt;&gt;"","5 - Contacted","6 - No Activity"))))))</f>
        <v/>
      </c>
      <c r="X216" s="6" t="n">
        <f aca="false">IF(AND($A216="",$B216=""),9999999+(ROW()-4),VALUE(LEFT($W216,1))*10000+(ROW()-4))</f>
        <v>10000211</v>
      </c>
    </row>
    <row r="217" customFormat="false" ht="15" hidden="false" customHeight="true" outlineLevel="0" collapsed="false">
      <c r="A217" s="6"/>
      <c r="B217" s="6"/>
      <c r="C217" s="6"/>
      <c r="D217" s="6"/>
      <c r="E217" s="6"/>
      <c r="F217" s="7"/>
      <c r="G217" s="6"/>
      <c r="H217" s="6"/>
      <c r="I217" s="7"/>
      <c r="J217" s="6"/>
      <c r="K217" s="7"/>
      <c r="L217" s="6"/>
      <c r="M217" s="6"/>
      <c r="N217" s="7"/>
      <c r="O217" s="6"/>
      <c r="P217" s="6"/>
      <c r="Q217" s="7"/>
      <c r="R217" s="6" t="str">
        <f aca="false">IF(AND($A217="",$B217=""),"",IF(Q217="Complete","Onboarded",IF(OR(M217="Member",M217="Ambassador"),"Sponsored",IF(K217&lt;&gt;"","Follow-Up",IF(I217&lt;&gt;"","Presented",IF(F217&lt;&gt;"","Contacted","New Lead"))))))</f>
        <v/>
      </c>
      <c r="S217" s="6"/>
      <c r="T217" s="6" t="str">
        <f aca="true">IF(MAX(F217,I217,K217)=0,"",TODAY()-MAX(F217,I217,K217))</f>
        <v/>
      </c>
      <c r="U217" s="6"/>
      <c r="V217" s="6"/>
      <c r="W217" s="6" t="str">
        <f aca="false">IF(AND($A217="",$B217=""),"",IF(M217="Ambassador","1 - Ambassador",IF(M217="Member","2 - Member",IF(J217="Completed","3 - Presented",IF(H217&lt;&gt;"","4 - Shared",IF(F217&lt;&gt;"","5 - Contacted","6 - No Activity"))))))</f>
        <v/>
      </c>
      <c r="X217" s="6" t="n">
        <f aca="false">IF(AND($A217="",$B217=""),9999999+(ROW()-4),VALUE(LEFT($W217,1))*10000+(ROW()-4))</f>
        <v>10000212</v>
      </c>
    </row>
    <row r="218" customFormat="false" ht="15" hidden="false" customHeight="true" outlineLevel="0" collapsed="false">
      <c r="A218" s="6"/>
      <c r="B218" s="6"/>
      <c r="C218" s="6"/>
      <c r="D218" s="6"/>
      <c r="E218" s="6"/>
      <c r="F218" s="7"/>
      <c r="G218" s="6"/>
      <c r="H218" s="6"/>
      <c r="I218" s="7"/>
      <c r="J218" s="6"/>
      <c r="K218" s="7"/>
      <c r="L218" s="6"/>
      <c r="M218" s="6"/>
      <c r="N218" s="7"/>
      <c r="O218" s="6"/>
      <c r="P218" s="6"/>
      <c r="Q218" s="7"/>
      <c r="R218" s="6" t="str">
        <f aca="false">IF(AND($A218="",$B218=""),"",IF(Q218="Complete","Onboarded",IF(OR(M218="Member",M218="Ambassador"),"Sponsored",IF(K218&lt;&gt;"","Follow-Up",IF(I218&lt;&gt;"","Presented",IF(F218&lt;&gt;"","Contacted","New Lead"))))))</f>
        <v/>
      </c>
      <c r="S218" s="6"/>
      <c r="T218" s="6" t="str">
        <f aca="true">IF(MAX(F218,I218,K218)=0,"",TODAY()-MAX(F218,I218,K218))</f>
        <v/>
      </c>
      <c r="U218" s="6"/>
      <c r="V218" s="6"/>
      <c r="W218" s="6" t="str">
        <f aca="false">IF(AND($A218="",$B218=""),"",IF(M218="Ambassador","1 - Ambassador",IF(M218="Member","2 - Member",IF(J218="Completed","3 - Presented",IF(H218&lt;&gt;"","4 - Shared",IF(F218&lt;&gt;"","5 - Contacted","6 - No Activity"))))))</f>
        <v/>
      </c>
      <c r="X218" s="6" t="n">
        <f aca="false">IF(AND($A218="",$B218=""),9999999+(ROW()-4),VALUE(LEFT($W218,1))*10000+(ROW()-4))</f>
        <v>10000213</v>
      </c>
    </row>
    <row r="219" customFormat="false" ht="15" hidden="false" customHeight="true" outlineLevel="0" collapsed="false">
      <c r="A219" s="6"/>
      <c r="B219" s="6"/>
      <c r="C219" s="6"/>
      <c r="D219" s="6"/>
      <c r="E219" s="6"/>
      <c r="F219" s="7"/>
      <c r="G219" s="6"/>
      <c r="H219" s="6"/>
      <c r="I219" s="7"/>
      <c r="J219" s="6"/>
      <c r="K219" s="7"/>
      <c r="L219" s="6"/>
      <c r="M219" s="6"/>
      <c r="N219" s="7"/>
      <c r="O219" s="6"/>
      <c r="P219" s="6"/>
      <c r="Q219" s="7"/>
      <c r="R219" s="6" t="str">
        <f aca="false">IF(AND($A219="",$B219=""),"",IF(Q219="Complete","Onboarded",IF(OR(M219="Member",M219="Ambassador"),"Sponsored",IF(K219&lt;&gt;"","Follow-Up",IF(I219&lt;&gt;"","Presented",IF(F219&lt;&gt;"","Contacted","New Lead"))))))</f>
        <v/>
      </c>
      <c r="S219" s="6"/>
      <c r="T219" s="6" t="str">
        <f aca="true">IF(MAX(F219,I219,K219)=0,"",TODAY()-MAX(F219,I219,K219))</f>
        <v/>
      </c>
      <c r="U219" s="6"/>
      <c r="V219" s="6"/>
      <c r="W219" s="6" t="str">
        <f aca="false">IF(AND($A219="",$B219=""),"",IF(M219="Ambassador","1 - Ambassador",IF(M219="Member","2 - Member",IF(J219="Completed","3 - Presented",IF(H219&lt;&gt;"","4 - Shared",IF(F219&lt;&gt;"","5 - Contacted","6 - No Activity"))))))</f>
        <v/>
      </c>
      <c r="X219" s="6" t="n">
        <f aca="false">IF(AND($A219="",$B219=""),9999999+(ROW()-4),VALUE(LEFT($W219,1))*10000+(ROW()-4))</f>
        <v>10000214</v>
      </c>
    </row>
    <row r="220" customFormat="false" ht="15" hidden="false" customHeight="true" outlineLevel="0" collapsed="false">
      <c r="A220" s="6"/>
      <c r="B220" s="6"/>
      <c r="C220" s="6"/>
      <c r="D220" s="6"/>
      <c r="E220" s="6"/>
      <c r="F220" s="7"/>
      <c r="G220" s="6"/>
      <c r="H220" s="6"/>
      <c r="I220" s="7"/>
      <c r="J220" s="6"/>
      <c r="K220" s="7"/>
      <c r="L220" s="6"/>
      <c r="M220" s="6"/>
      <c r="N220" s="7"/>
      <c r="O220" s="6"/>
      <c r="P220" s="6"/>
      <c r="Q220" s="7"/>
      <c r="R220" s="6" t="str">
        <f aca="false">IF(AND($A220="",$B220=""),"",IF(Q220="Complete","Onboarded",IF(OR(M220="Member",M220="Ambassador"),"Sponsored",IF(K220&lt;&gt;"","Follow-Up",IF(I220&lt;&gt;"","Presented",IF(F220&lt;&gt;"","Contacted","New Lead"))))))</f>
        <v/>
      </c>
      <c r="S220" s="6"/>
      <c r="T220" s="6" t="str">
        <f aca="true">IF(MAX(F220,I220,K220)=0,"",TODAY()-MAX(F220,I220,K220))</f>
        <v/>
      </c>
      <c r="U220" s="6"/>
      <c r="V220" s="6"/>
      <c r="W220" s="6" t="str">
        <f aca="false">IF(AND($A220="",$B220=""),"",IF(M220="Ambassador","1 - Ambassador",IF(M220="Member","2 - Member",IF(J220="Completed","3 - Presented",IF(H220&lt;&gt;"","4 - Shared",IF(F220&lt;&gt;"","5 - Contacted","6 - No Activity"))))))</f>
        <v/>
      </c>
      <c r="X220" s="6" t="n">
        <f aca="false">IF(AND($A220="",$B220=""),9999999+(ROW()-4),VALUE(LEFT($W220,1))*10000+(ROW()-4))</f>
        <v>10000215</v>
      </c>
    </row>
    <row r="221" customFormat="false" ht="15" hidden="false" customHeight="true" outlineLevel="0" collapsed="false">
      <c r="A221" s="6"/>
      <c r="B221" s="6"/>
      <c r="C221" s="6"/>
      <c r="D221" s="6"/>
      <c r="E221" s="6"/>
      <c r="F221" s="7"/>
      <c r="G221" s="6"/>
      <c r="H221" s="6"/>
      <c r="I221" s="7"/>
      <c r="J221" s="6"/>
      <c r="K221" s="7"/>
      <c r="L221" s="6"/>
      <c r="M221" s="6"/>
      <c r="N221" s="7"/>
      <c r="O221" s="6"/>
      <c r="P221" s="6"/>
      <c r="Q221" s="7"/>
      <c r="R221" s="6" t="str">
        <f aca="false">IF(AND($A221="",$B221=""),"",IF(Q221="Complete","Onboarded",IF(OR(M221="Member",M221="Ambassador"),"Sponsored",IF(K221&lt;&gt;"","Follow-Up",IF(I221&lt;&gt;"","Presented",IF(F221&lt;&gt;"","Contacted","New Lead"))))))</f>
        <v/>
      </c>
      <c r="S221" s="6"/>
      <c r="T221" s="6" t="str">
        <f aca="true">IF(MAX(F221,I221,K221)=0,"",TODAY()-MAX(F221,I221,K221))</f>
        <v/>
      </c>
      <c r="U221" s="6"/>
      <c r="V221" s="6"/>
      <c r="W221" s="6" t="str">
        <f aca="false">IF(AND($A221="",$B221=""),"",IF(M221="Ambassador","1 - Ambassador",IF(M221="Member","2 - Member",IF(J221="Completed","3 - Presented",IF(H221&lt;&gt;"","4 - Shared",IF(F221&lt;&gt;"","5 - Contacted","6 - No Activity"))))))</f>
        <v/>
      </c>
      <c r="X221" s="6" t="n">
        <f aca="false">IF(AND($A221="",$B221=""),9999999+(ROW()-4),VALUE(LEFT($W221,1))*10000+(ROW()-4))</f>
        <v>10000216</v>
      </c>
    </row>
    <row r="222" customFormat="false" ht="15" hidden="false" customHeight="true" outlineLevel="0" collapsed="false">
      <c r="A222" s="6"/>
      <c r="B222" s="6"/>
      <c r="C222" s="6"/>
      <c r="D222" s="6"/>
      <c r="E222" s="6"/>
      <c r="F222" s="7"/>
      <c r="G222" s="6"/>
      <c r="H222" s="6"/>
      <c r="I222" s="7"/>
      <c r="J222" s="6"/>
      <c r="K222" s="7"/>
      <c r="L222" s="6"/>
      <c r="M222" s="6"/>
      <c r="N222" s="7"/>
      <c r="O222" s="6"/>
      <c r="P222" s="6"/>
      <c r="Q222" s="7"/>
      <c r="R222" s="6" t="str">
        <f aca="false">IF(AND($A222="",$B222=""),"",IF(Q222="Complete","Onboarded",IF(OR(M222="Member",M222="Ambassador"),"Sponsored",IF(K222&lt;&gt;"","Follow-Up",IF(I222&lt;&gt;"","Presented",IF(F222&lt;&gt;"","Contacted","New Lead"))))))</f>
        <v/>
      </c>
      <c r="S222" s="6"/>
      <c r="T222" s="6" t="str">
        <f aca="true">IF(MAX(F222,I222,K222)=0,"",TODAY()-MAX(F222,I222,K222))</f>
        <v/>
      </c>
      <c r="U222" s="6"/>
      <c r="V222" s="6"/>
      <c r="W222" s="6" t="str">
        <f aca="false">IF(AND($A222="",$B222=""),"",IF(M222="Ambassador","1 - Ambassador",IF(M222="Member","2 - Member",IF(J222="Completed","3 - Presented",IF(H222&lt;&gt;"","4 - Shared",IF(F222&lt;&gt;"","5 - Contacted","6 - No Activity"))))))</f>
        <v/>
      </c>
      <c r="X222" s="6" t="n">
        <f aca="false">IF(AND($A222="",$B222=""),9999999+(ROW()-4),VALUE(LEFT($W222,1))*10000+(ROW()-4))</f>
        <v>10000217</v>
      </c>
    </row>
    <row r="223" customFormat="false" ht="15" hidden="false" customHeight="true" outlineLevel="0" collapsed="false">
      <c r="A223" s="6"/>
      <c r="B223" s="6"/>
      <c r="C223" s="6"/>
      <c r="D223" s="6"/>
      <c r="E223" s="6"/>
      <c r="F223" s="7"/>
      <c r="G223" s="6"/>
      <c r="H223" s="6"/>
      <c r="I223" s="7"/>
      <c r="J223" s="6"/>
      <c r="K223" s="7"/>
      <c r="L223" s="6"/>
      <c r="M223" s="6"/>
      <c r="N223" s="7"/>
      <c r="O223" s="6"/>
      <c r="P223" s="6"/>
      <c r="Q223" s="7"/>
      <c r="R223" s="6" t="str">
        <f aca="false">IF(AND($A223="",$B223=""),"",IF(Q223="Complete","Onboarded",IF(OR(M223="Member",M223="Ambassador"),"Sponsored",IF(K223&lt;&gt;"","Follow-Up",IF(I223&lt;&gt;"","Presented",IF(F223&lt;&gt;"","Contacted","New Lead"))))))</f>
        <v/>
      </c>
      <c r="S223" s="6"/>
      <c r="T223" s="6" t="str">
        <f aca="true">IF(MAX(F223,I223,K223)=0,"",TODAY()-MAX(F223,I223,K223))</f>
        <v/>
      </c>
      <c r="U223" s="6"/>
      <c r="V223" s="6"/>
      <c r="W223" s="6" t="str">
        <f aca="false">IF(AND($A223="",$B223=""),"",IF(M223="Ambassador","1 - Ambassador",IF(M223="Member","2 - Member",IF(J223="Completed","3 - Presented",IF(H223&lt;&gt;"","4 - Shared",IF(F223&lt;&gt;"","5 - Contacted","6 - No Activity"))))))</f>
        <v/>
      </c>
      <c r="X223" s="6" t="n">
        <f aca="false">IF(AND($A223="",$B223=""),9999999+(ROW()-4),VALUE(LEFT($W223,1))*10000+(ROW()-4))</f>
        <v>10000218</v>
      </c>
    </row>
    <row r="224" customFormat="false" ht="15" hidden="false" customHeight="true" outlineLevel="0" collapsed="false">
      <c r="A224" s="6"/>
      <c r="B224" s="6"/>
      <c r="C224" s="6"/>
      <c r="D224" s="6"/>
      <c r="E224" s="6"/>
      <c r="F224" s="7"/>
      <c r="G224" s="6"/>
      <c r="H224" s="6"/>
      <c r="I224" s="7"/>
      <c r="J224" s="6"/>
      <c r="K224" s="7"/>
      <c r="L224" s="6"/>
      <c r="M224" s="6"/>
      <c r="N224" s="7"/>
      <c r="O224" s="6"/>
      <c r="P224" s="6"/>
      <c r="Q224" s="7"/>
      <c r="R224" s="6" t="str">
        <f aca="false">IF(AND($A224="",$B224=""),"",IF(Q224="Complete","Onboarded",IF(OR(M224="Member",M224="Ambassador"),"Sponsored",IF(K224&lt;&gt;"","Follow-Up",IF(I224&lt;&gt;"","Presented",IF(F224&lt;&gt;"","Contacted","New Lead"))))))</f>
        <v/>
      </c>
      <c r="S224" s="6"/>
      <c r="T224" s="6" t="str">
        <f aca="true">IF(MAX(F224,I224,K224)=0,"",TODAY()-MAX(F224,I224,K224))</f>
        <v/>
      </c>
      <c r="U224" s="6"/>
      <c r="V224" s="6"/>
      <c r="W224" s="6" t="str">
        <f aca="false">IF(AND($A224="",$B224=""),"",IF(M224="Ambassador","1 - Ambassador",IF(M224="Member","2 - Member",IF(J224="Completed","3 - Presented",IF(H224&lt;&gt;"","4 - Shared",IF(F224&lt;&gt;"","5 - Contacted","6 - No Activity"))))))</f>
        <v/>
      </c>
      <c r="X224" s="6" t="n">
        <f aca="false">IF(AND($A224="",$B224=""),9999999+(ROW()-4),VALUE(LEFT($W224,1))*10000+(ROW()-4))</f>
        <v>10000219</v>
      </c>
    </row>
    <row r="225" customFormat="false" ht="15" hidden="false" customHeight="true" outlineLevel="0" collapsed="false">
      <c r="A225" s="6"/>
      <c r="B225" s="6"/>
      <c r="C225" s="6"/>
      <c r="D225" s="6"/>
      <c r="E225" s="6"/>
      <c r="F225" s="7"/>
      <c r="G225" s="6"/>
      <c r="H225" s="6"/>
      <c r="I225" s="7"/>
      <c r="J225" s="6"/>
      <c r="K225" s="7"/>
      <c r="L225" s="6"/>
      <c r="M225" s="6"/>
      <c r="N225" s="7"/>
      <c r="O225" s="6"/>
      <c r="P225" s="6"/>
      <c r="Q225" s="7"/>
      <c r="R225" s="6" t="str">
        <f aca="false">IF(AND($A225="",$B225=""),"",IF(Q225="Complete","Onboarded",IF(OR(M225="Member",M225="Ambassador"),"Sponsored",IF(K225&lt;&gt;"","Follow-Up",IF(I225&lt;&gt;"","Presented",IF(F225&lt;&gt;"","Contacted","New Lead"))))))</f>
        <v/>
      </c>
      <c r="S225" s="6"/>
      <c r="T225" s="6" t="str">
        <f aca="true">IF(MAX(F225,I225,K225)=0,"",TODAY()-MAX(F225,I225,K225))</f>
        <v/>
      </c>
      <c r="U225" s="6"/>
      <c r="V225" s="6"/>
      <c r="W225" s="6" t="str">
        <f aca="false">IF(AND($A225="",$B225=""),"",IF(M225="Ambassador","1 - Ambassador",IF(M225="Member","2 - Member",IF(J225="Completed","3 - Presented",IF(H225&lt;&gt;"","4 - Shared",IF(F225&lt;&gt;"","5 - Contacted","6 - No Activity"))))))</f>
        <v/>
      </c>
      <c r="X225" s="6" t="n">
        <f aca="false">IF(AND($A225="",$B225=""),9999999+(ROW()-4),VALUE(LEFT($W225,1))*10000+(ROW()-4))</f>
        <v>10000220</v>
      </c>
    </row>
    <row r="226" customFormat="false" ht="15" hidden="false" customHeight="true" outlineLevel="0" collapsed="false">
      <c r="A226" s="6"/>
      <c r="B226" s="6"/>
      <c r="C226" s="6"/>
      <c r="D226" s="6"/>
      <c r="E226" s="6"/>
      <c r="F226" s="7"/>
      <c r="G226" s="6"/>
      <c r="H226" s="6"/>
      <c r="I226" s="7"/>
      <c r="J226" s="6"/>
      <c r="K226" s="7"/>
      <c r="L226" s="6"/>
      <c r="M226" s="6"/>
      <c r="N226" s="7"/>
      <c r="O226" s="6"/>
      <c r="P226" s="6"/>
      <c r="Q226" s="7"/>
      <c r="R226" s="6" t="str">
        <f aca="false">IF(AND($A226="",$B226=""),"",IF(Q226="Complete","Onboarded",IF(OR(M226="Member",M226="Ambassador"),"Sponsored",IF(K226&lt;&gt;"","Follow-Up",IF(I226&lt;&gt;"","Presented",IF(F226&lt;&gt;"","Contacted","New Lead"))))))</f>
        <v/>
      </c>
      <c r="S226" s="6"/>
      <c r="T226" s="6" t="str">
        <f aca="true">IF(MAX(F226,I226,K226)=0,"",TODAY()-MAX(F226,I226,K226))</f>
        <v/>
      </c>
      <c r="U226" s="6"/>
      <c r="V226" s="6"/>
      <c r="W226" s="6" t="str">
        <f aca="false">IF(AND($A226="",$B226=""),"",IF(M226="Ambassador","1 - Ambassador",IF(M226="Member","2 - Member",IF(J226="Completed","3 - Presented",IF(H226&lt;&gt;"","4 - Shared",IF(F226&lt;&gt;"","5 - Contacted","6 - No Activity"))))))</f>
        <v/>
      </c>
      <c r="X226" s="6" t="n">
        <f aca="false">IF(AND($A226="",$B226=""),9999999+(ROW()-4),VALUE(LEFT($W226,1))*10000+(ROW()-4))</f>
        <v>10000221</v>
      </c>
    </row>
    <row r="227" customFormat="false" ht="15" hidden="false" customHeight="true" outlineLevel="0" collapsed="false">
      <c r="A227" s="6"/>
      <c r="B227" s="6"/>
      <c r="C227" s="6"/>
      <c r="D227" s="6"/>
      <c r="E227" s="6"/>
      <c r="F227" s="7"/>
      <c r="G227" s="6"/>
      <c r="H227" s="6"/>
      <c r="I227" s="7"/>
      <c r="J227" s="6"/>
      <c r="K227" s="7"/>
      <c r="L227" s="6"/>
      <c r="M227" s="6"/>
      <c r="N227" s="7"/>
      <c r="O227" s="6"/>
      <c r="P227" s="6"/>
      <c r="Q227" s="7"/>
      <c r="R227" s="6" t="str">
        <f aca="false">IF(AND($A227="",$B227=""),"",IF(Q227="Complete","Onboarded",IF(OR(M227="Member",M227="Ambassador"),"Sponsored",IF(K227&lt;&gt;"","Follow-Up",IF(I227&lt;&gt;"","Presented",IF(F227&lt;&gt;"","Contacted","New Lead"))))))</f>
        <v/>
      </c>
      <c r="S227" s="6"/>
      <c r="T227" s="6" t="str">
        <f aca="true">IF(MAX(F227,I227,K227)=0,"",TODAY()-MAX(F227,I227,K227))</f>
        <v/>
      </c>
      <c r="U227" s="6"/>
      <c r="V227" s="6"/>
      <c r="W227" s="6" t="str">
        <f aca="false">IF(AND($A227="",$B227=""),"",IF(M227="Ambassador","1 - Ambassador",IF(M227="Member","2 - Member",IF(J227="Completed","3 - Presented",IF(H227&lt;&gt;"","4 - Shared",IF(F227&lt;&gt;"","5 - Contacted","6 - No Activity"))))))</f>
        <v/>
      </c>
      <c r="X227" s="6" t="n">
        <f aca="false">IF(AND($A227="",$B227=""),9999999+(ROW()-4),VALUE(LEFT($W227,1))*10000+(ROW()-4))</f>
        <v>10000222</v>
      </c>
    </row>
    <row r="228" customFormat="false" ht="15" hidden="false" customHeight="true" outlineLevel="0" collapsed="false">
      <c r="A228" s="6"/>
      <c r="B228" s="6"/>
      <c r="C228" s="6"/>
      <c r="D228" s="6"/>
      <c r="E228" s="6"/>
      <c r="F228" s="7"/>
      <c r="G228" s="6"/>
      <c r="H228" s="6"/>
      <c r="I228" s="7"/>
      <c r="J228" s="6"/>
      <c r="K228" s="7"/>
      <c r="L228" s="6"/>
      <c r="M228" s="6"/>
      <c r="N228" s="7"/>
      <c r="O228" s="6"/>
      <c r="P228" s="6"/>
      <c r="Q228" s="7"/>
      <c r="R228" s="6" t="str">
        <f aca="false">IF(AND($A228="",$B228=""),"",IF(Q228="Complete","Onboarded",IF(OR(M228="Member",M228="Ambassador"),"Sponsored",IF(K228&lt;&gt;"","Follow-Up",IF(I228&lt;&gt;"","Presented",IF(F228&lt;&gt;"","Contacted","New Lead"))))))</f>
        <v/>
      </c>
      <c r="S228" s="6"/>
      <c r="T228" s="6" t="str">
        <f aca="true">IF(MAX(F228,I228,K228)=0,"",TODAY()-MAX(F228,I228,K228))</f>
        <v/>
      </c>
      <c r="U228" s="6"/>
      <c r="V228" s="6"/>
      <c r="W228" s="6" t="str">
        <f aca="false">IF(AND($A228="",$B228=""),"",IF(M228="Ambassador","1 - Ambassador",IF(M228="Member","2 - Member",IF(J228="Completed","3 - Presented",IF(H228&lt;&gt;"","4 - Shared",IF(F228&lt;&gt;"","5 - Contacted","6 - No Activity"))))))</f>
        <v/>
      </c>
      <c r="X228" s="6" t="n">
        <f aca="false">IF(AND($A228="",$B228=""),9999999+(ROW()-4),VALUE(LEFT($W228,1))*10000+(ROW()-4))</f>
        <v>10000223</v>
      </c>
    </row>
    <row r="229" customFormat="false" ht="15" hidden="false" customHeight="true" outlineLevel="0" collapsed="false">
      <c r="A229" s="6"/>
      <c r="B229" s="6"/>
      <c r="C229" s="6"/>
      <c r="D229" s="6"/>
      <c r="E229" s="6"/>
      <c r="F229" s="7"/>
      <c r="G229" s="6"/>
      <c r="H229" s="6"/>
      <c r="I229" s="7"/>
      <c r="J229" s="6"/>
      <c r="K229" s="7"/>
      <c r="L229" s="6"/>
      <c r="M229" s="6"/>
      <c r="N229" s="7"/>
      <c r="O229" s="6"/>
      <c r="P229" s="6"/>
      <c r="Q229" s="7"/>
      <c r="R229" s="6" t="str">
        <f aca="false">IF(AND($A229="",$B229=""),"",IF(Q229="Complete","Onboarded",IF(OR(M229="Member",M229="Ambassador"),"Sponsored",IF(K229&lt;&gt;"","Follow-Up",IF(I229&lt;&gt;"","Presented",IF(F229&lt;&gt;"","Contacted","New Lead"))))))</f>
        <v/>
      </c>
      <c r="S229" s="6"/>
      <c r="T229" s="6" t="str">
        <f aca="true">IF(MAX(F229,I229,K229)=0,"",TODAY()-MAX(F229,I229,K229))</f>
        <v/>
      </c>
      <c r="U229" s="6"/>
      <c r="V229" s="6"/>
      <c r="W229" s="6" t="str">
        <f aca="false">IF(AND($A229="",$B229=""),"",IF(M229="Ambassador","1 - Ambassador",IF(M229="Member","2 - Member",IF(J229="Completed","3 - Presented",IF(H229&lt;&gt;"","4 - Shared",IF(F229&lt;&gt;"","5 - Contacted","6 - No Activity"))))))</f>
        <v/>
      </c>
      <c r="X229" s="6" t="n">
        <f aca="false">IF(AND($A229="",$B229=""),9999999+(ROW()-4),VALUE(LEFT($W229,1))*10000+(ROW()-4))</f>
        <v>10000224</v>
      </c>
    </row>
    <row r="230" customFormat="false" ht="15" hidden="false" customHeight="true" outlineLevel="0" collapsed="false">
      <c r="A230" s="6"/>
      <c r="B230" s="6"/>
      <c r="C230" s="6"/>
      <c r="D230" s="6"/>
      <c r="E230" s="6"/>
      <c r="F230" s="7"/>
      <c r="G230" s="6"/>
      <c r="H230" s="6"/>
      <c r="I230" s="7"/>
      <c r="J230" s="6"/>
      <c r="K230" s="7"/>
      <c r="L230" s="6"/>
      <c r="M230" s="6"/>
      <c r="N230" s="7"/>
      <c r="O230" s="6"/>
      <c r="P230" s="6"/>
      <c r="Q230" s="7"/>
      <c r="R230" s="6" t="str">
        <f aca="false">IF(AND($A230="",$B230=""),"",IF(Q230="Complete","Onboarded",IF(OR(M230="Member",M230="Ambassador"),"Sponsored",IF(K230&lt;&gt;"","Follow-Up",IF(I230&lt;&gt;"","Presented",IF(F230&lt;&gt;"","Contacted","New Lead"))))))</f>
        <v/>
      </c>
      <c r="S230" s="6"/>
      <c r="T230" s="6" t="str">
        <f aca="true">IF(MAX(F230,I230,K230)=0,"",TODAY()-MAX(F230,I230,K230))</f>
        <v/>
      </c>
      <c r="U230" s="6"/>
      <c r="V230" s="6"/>
      <c r="W230" s="6" t="str">
        <f aca="false">IF(AND($A230="",$B230=""),"",IF(M230="Ambassador","1 - Ambassador",IF(M230="Member","2 - Member",IF(J230="Completed","3 - Presented",IF(H230&lt;&gt;"","4 - Shared",IF(F230&lt;&gt;"","5 - Contacted","6 - No Activity"))))))</f>
        <v/>
      </c>
      <c r="X230" s="6" t="n">
        <f aca="false">IF(AND($A230="",$B230=""),9999999+(ROW()-4),VALUE(LEFT($W230,1))*10000+(ROW()-4))</f>
        <v>10000225</v>
      </c>
    </row>
    <row r="231" customFormat="false" ht="15" hidden="false" customHeight="true" outlineLevel="0" collapsed="false">
      <c r="A231" s="6"/>
      <c r="B231" s="6"/>
      <c r="C231" s="6"/>
      <c r="D231" s="6"/>
      <c r="E231" s="6"/>
      <c r="F231" s="7"/>
      <c r="G231" s="6"/>
      <c r="H231" s="6"/>
      <c r="I231" s="7"/>
      <c r="J231" s="6"/>
      <c r="K231" s="7"/>
      <c r="L231" s="6"/>
      <c r="M231" s="6"/>
      <c r="N231" s="7"/>
      <c r="O231" s="6"/>
      <c r="P231" s="6"/>
      <c r="Q231" s="7"/>
      <c r="R231" s="6" t="str">
        <f aca="false">IF(AND($A231="",$B231=""),"",IF(Q231="Complete","Onboarded",IF(OR(M231="Member",M231="Ambassador"),"Sponsored",IF(K231&lt;&gt;"","Follow-Up",IF(I231&lt;&gt;"","Presented",IF(F231&lt;&gt;"","Contacted","New Lead"))))))</f>
        <v/>
      </c>
      <c r="S231" s="6"/>
      <c r="T231" s="6" t="str">
        <f aca="true">IF(MAX(F231,I231,K231)=0,"",TODAY()-MAX(F231,I231,K231))</f>
        <v/>
      </c>
      <c r="U231" s="6"/>
      <c r="V231" s="6"/>
      <c r="W231" s="6" t="str">
        <f aca="false">IF(AND($A231="",$B231=""),"",IF(M231="Ambassador","1 - Ambassador",IF(M231="Member","2 - Member",IF(J231="Completed","3 - Presented",IF(H231&lt;&gt;"","4 - Shared",IF(F231&lt;&gt;"","5 - Contacted","6 - No Activity"))))))</f>
        <v/>
      </c>
      <c r="X231" s="6" t="n">
        <f aca="false">IF(AND($A231="",$B231=""),9999999+(ROW()-4),VALUE(LEFT($W231,1))*10000+(ROW()-4))</f>
        <v>10000226</v>
      </c>
    </row>
    <row r="232" customFormat="false" ht="15" hidden="false" customHeight="true" outlineLevel="0" collapsed="false">
      <c r="A232" s="6"/>
      <c r="B232" s="6"/>
      <c r="C232" s="6"/>
      <c r="D232" s="6"/>
      <c r="E232" s="6"/>
      <c r="F232" s="7"/>
      <c r="G232" s="6"/>
      <c r="H232" s="6"/>
      <c r="I232" s="7"/>
      <c r="J232" s="6"/>
      <c r="K232" s="7"/>
      <c r="L232" s="6"/>
      <c r="M232" s="6"/>
      <c r="N232" s="7"/>
      <c r="O232" s="6"/>
      <c r="P232" s="6"/>
      <c r="Q232" s="7"/>
      <c r="R232" s="6" t="str">
        <f aca="false">IF(AND($A232="",$B232=""),"",IF(Q232="Complete","Onboarded",IF(OR(M232="Member",M232="Ambassador"),"Sponsored",IF(K232&lt;&gt;"","Follow-Up",IF(I232&lt;&gt;"","Presented",IF(F232&lt;&gt;"","Contacted","New Lead"))))))</f>
        <v/>
      </c>
      <c r="S232" s="6"/>
      <c r="T232" s="6" t="str">
        <f aca="true">IF(MAX(F232,I232,K232)=0,"",TODAY()-MAX(F232,I232,K232))</f>
        <v/>
      </c>
      <c r="U232" s="6"/>
      <c r="V232" s="6"/>
      <c r="W232" s="6" t="str">
        <f aca="false">IF(AND($A232="",$B232=""),"",IF(M232="Ambassador","1 - Ambassador",IF(M232="Member","2 - Member",IF(J232="Completed","3 - Presented",IF(H232&lt;&gt;"","4 - Shared",IF(F232&lt;&gt;"","5 - Contacted","6 - No Activity"))))))</f>
        <v/>
      </c>
      <c r="X232" s="6" t="n">
        <f aca="false">IF(AND($A232="",$B232=""),9999999+(ROW()-4),VALUE(LEFT($W232,1))*10000+(ROW()-4))</f>
        <v>10000227</v>
      </c>
    </row>
    <row r="233" customFormat="false" ht="15" hidden="false" customHeight="true" outlineLevel="0" collapsed="false">
      <c r="A233" s="6"/>
      <c r="B233" s="6"/>
      <c r="C233" s="6"/>
      <c r="D233" s="6"/>
      <c r="E233" s="6"/>
      <c r="F233" s="7"/>
      <c r="G233" s="6"/>
      <c r="H233" s="6"/>
      <c r="I233" s="7"/>
      <c r="J233" s="6"/>
      <c r="K233" s="7"/>
      <c r="L233" s="6"/>
      <c r="M233" s="6"/>
      <c r="N233" s="7"/>
      <c r="O233" s="6"/>
      <c r="P233" s="6"/>
      <c r="Q233" s="7"/>
      <c r="R233" s="6" t="str">
        <f aca="false">IF(AND($A233="",$B233=""),"",IF(Q233="Complete","Onboarded",IF(OR(M233="Member",M233="Ambassador"),"Sponsored",IF(K233&lt;&gt;"","Follow-Up",IF(I233&lt;&gt;"","Presented",IF(F233&lt;&gt;"","Contacted","New Lead"))))))</f>
        <v/>
      </c>
      <c r="S233" s="6"/>
      <c r="T233" s="6" t="str">
        <f aca="true">IF(MAX(F233,I233,K233)=0,"",TODAY()-MAX(F233,I233,K233))</f>
        <v/>
      </c>
      <c r="U233" s="6"/>
      <c r="V233" s="6"/>
      <c r="W233" s="6" t="str">
        <f aca="false">IF(AND($A233="",$B233=""),"",IF(M233="Ambassador","1 - Ambassador",IF(M233="Member","2 - Member",IF(J233="Completed","3 - Presented",IF(H233&lt;&gt;"","4 - Shared",IF(F233&lt;&gt;"","5 - Contacted","6 - No Activity"))))))</f>
        <v/>
      </c>
      <c r="X233" s="6" t="n">
        <f aca="false">IF(AND($A233="",$B233=""),9999999+(ROW()-4),VALUE(LEFT($W233,1))*10000+(ROW()-4))</f>
        <v>10000228</v>
      </c>
    </row>
    <row r="234" customFormat="false" ht="15" hidden="false" customHeight="true" outlineLevel="0" collapsed="false">
      <c r="A234" s="6"/>
      <c r="B234" s="6"/>
      <c r="C234" s="6"/>
      <c r="D234" s="6"/>
      <c r="E234" s="6"/>
      <c r="F234" s="7"/>
      <c r="G234" s="6"/>
      <c r="H234" s="6"/>
      <c r="I234" s="7"/>
      <c r="J234" s="6"/>
      <c r="K234" s="7"/>
      <c r="L234" s="6"/>
      <c r="M234" s="6"/>
      <c r="N234" s="7"/>
      <c r="O234" s="6"/>
      <c r="P234" s="6"/>
      <c r="Q234" s="7"/>
      <c r="R234" s="6" t="str">
        <f aca="false">IF(AND($A234="",$B234=""),"",IF(Q234="Complete","Onboarded",IF(OR(M234="Member",M234="Ambassador"),"Sponsored",IF(K234&lt;&gt;"","Follow-Up",IF(I234&lt;&gt;"","Presented",IF(F234&lt;&gt;"","Contacted","New Lead"))))))</f>
        <v/>
      </c>
      <c r="S234" s="6"/>
      <c r="T234" s="6" t="str">
        <f aca="true">IF(MAX(F234,I234,K234)=0,"",TODAY()-MAX(F234,I234,K234))</f>
        <v/>
      </c>
      <c r="U234" s="6"/>
      <c r="V234" s="6"/>
      <c r="W234" s="6" t="str">
        <f aca="false">IF(AND($A234="",$B234=""),"",IF(M234="Ambassador","1 - Ambassador",IF(M234="Member","2 - Member",IF(J234="Completed","3 - Presented",IF(H234&lt;&gt;"","4 - Shared",IF(F234&lt;&gt;"","5 - Contacted","6 - No Activity"))))))</f>
        <v/>
      </c>
      <c r="X234" s="6" t="n">
        <f aca="false">IF(AND($A234="",$B234=""),9999999+(ROW()-4),VALUE(LEFT($W234,1))*10000+(ROW()-4))</f>
        <v>10000229</v>
      </c>
    </row>
    <row r="235" customFormat="false" ht="15" hidden="false" customHeight="true" outlineLevel="0" collapsed="false">
      <c r="A235" s="6"/>
      <c r="B235" s="6"/>
      <c r="C235" s="6"/>
      <c r="D235" s="6"/>
      <c r="E235" s="6"/>
      <c r="F235" s="7"/>
      <c r="G235" s="6"/>
      <c r="H235" s="6"/>
      <c r="I235" s="7"/>
      <c r="J235" s="6"/>
      <c r="K235" s="7"/>
      <c r="L235" s="6"/>
      <c r="M235" s="6"/>
      <c r="N235" s="7"/>
      <c r="O235" s="6"/>
      <c r="P235" s="6"/>
      <c r="Q235" s="7"/>
      <c r="R235" s="6" t="str">
        <f aca="false">IF(AND($A235="",$B235=""),"",IF(Q235="Complete","Onboarded",IF(OR(M235="Member",M235="Ambassador"),"Sponsored",IF(K235&lt;&gt;"","Follow-Up",IF(I235&lt;&gt;"","Presented",IF(F235&lt;&gt;"","Contacted","New Lead"))))))</f>
        <v/>
      </c>
      <c r="S235" s="6"/>
      <c r="T235" s="6" t="str">
        <f aca="true">IF(MAX(F235,I235,K235)=0,"",TODAY()-MAX(F235,I235,K235))</f>
        <v/>
      </c>
      <c r="U235" s="6"/>
      <c r="V235" s="6"/>
      <c r="W235" s="6" t="str">
        <f aca="false">IF(AND($A235="",$B235=""),"",IF(M235="Ambassador","1 - Ambassador",IF(M235="Member","2 - Member",IF(J235="Completed","3 - Presented",IF(H235&lt;&gt;"","4 - Shared",IF(F235&lt;&gt;"","5 - Contacted","6 - No Activity"))))))</f>
        <v/>
      </c>
      <c r="X235" s="6" t="n">
        <f aca="false">IF(AND($A235="",$B235=""),9999999+(ROW()-4),VALUE(LEFT($W235,1))*10000+(ROW()-4))</f>
        <v>10000230</v>
      </c>
    </row>
    <row r="236" customFormat="false" ht="15" hidden="false" customHeight="true" outlineLevel="0" collapsed="false">
      <c r="A236" s="6"/>
      <c r="B236" s="6"/>
      <c r="C236" s="6"/>
      <c r="D236" s="6"/>
      <c r="E236" s="6"/>
      <c r="F236" s="7"/>
      <c r="G236" s="6"/>
      <c r="H236" s="6"/>
      <c r="I236" s="7"/>
      <c r="J236" s="6"/>
      <c r="K236" s="7"/>
      <c r="L236" s="6"/>
      <c r="M236" s="6"/>
      <c r="N236" s="7"/>
      <c r="O236" s="6"/>
      <c r="P236" s="6"/>
      <c r="Q236" s="7"/>
      <c r="R236" s="6" t="str">
        <f aca="false">IF(AND($A236="",$B236=""),"",IF(Q236="Complete","Onboarded",IF(OR(M236="Member",M236="Ambassador"),"Sponsored",IF(K236&lt;&gt;"","Follow-Up",IF(I236&lt;&gt;"","Presented",IF(F236&lt;&gt;"","Contacted","New Lead"))))))</f>
        <v/>
      </c>
      <c r="S236" s="6"/>
      <c r="T236" s="6" t="str">
        <f aca="true">IF(MAX(F236,I236,K236)=0,"",TODAY()-MAX(F236,I236,K236))</f>
        <v/>
      </c>
      <c r="U236" s="6"/>
      <c r="V236" s="6"/>
      <c r="W236" s="6" t="str">
        <f aca="false">IF(AND($A236="",$B236=""),"",IF(M236="Ambassador","1 - Ambassador",IF(M236="Member","2 - Member",IF(J236="Completed","3 - Presented",IF(H236&lt;&gt;"","4 - Shared",IF(F236&lt;&gt;"","5 - Contacted","6 - No Activity"))))))</f>
        <v/>
      </c>
      <c r="X236" s="6" t="n">
        <f aca="false">IF(AND($A236="",$B236=""),9999999+(ROW()-4),VALUE(LEFT($W236,1))*10000+(ROW()-4))</f>
        <v>10000231</v>
      </c>
    </row>
    <row r="237" customFormat="false" ht="15" hidden="false" customHeight="true" outlineLevel="0" collapsed="false">
      <c r="A237" s="6"/>
      <c r="B237" s="6"/>
      <c r="C237" s="6"/>
      <c r="D237" s="6"/>
      <c r="E237" s="6"/>
      <c r="F237" s="7"/>
      <c r="G237" s="6"/>
      <c r="H237" s="6"/>
      <c r="I237" s="7"/>
      <c r="J237" s="6"/>
      <c r="K237" s="7"/>
      <c r="L237" s="6"/>
      <c r="M237" s="6"/>
      <c r="N237" s="7"/>
      <c r="O237" s="6"/>
      <c r="P237" s="6"/>
      <c r="Q237" s="7"/>
      <c r="R237" s="6" t="str">
        <f aca="false">IF(AND($A237="",$B237=""),"",IF(Q237="Complete","Onboarded",IF(OR(M237="Member",M237="Ambassador"),"Sponsored",IF(K237&lt;&gt;"","Follow-Up",IF(I237&lt;&gt;"","Presented",IF(F237&lt;&gt;"","Contacted","New Lead"))))))</f>
        <v/>
      </c>
      <c r="S237" s="6"/>
      <c r="T237" s="6" t="str">
        <f aca="true">IF(MAX(F237,I237,K237)=0,"",TODAY()-MAX(F237,I237,K237))</f>
        <v/>
      </c>
      <c r="U237" s="6"/>
      <c r="V237" s="6"/>
      <c r="W237" s="6" t="str">
        <f aca="false">IF(AND($A237="",$B237=""),"",IF(M237="Ambassador","1 - Ambassador",IF(M237="Member","2 - Member",IF(J237="Completed","3 - Presented",IF(H237&lt;&gt;"","4 - Shared",IF(F237&lt;&gt;"","5 - Contacted","6 - No Activity"))))))</f>
        <v/>
      </c>
      <c r="X237" s="6" t="n">
        <f aca="false">IF(AND($A237="",$B237=""),9999999+(ROW()-4),VALUE(LEFT($W237,1))*10000+(ROW()-4))</f>
        <v>10000232</v>
      </c>
    </row>
    <row r="238" customFormat="false" ht="15" hidden="false" customHeight="true" outlineLevel="0" collapsed="false">
      <c r="A238" s="6"/>
      <c r="B238" s="6"/>
      <c r="C238" s="6"/>
      <c r="D238" s="6"/>
      <c r="E238" s="6"/>
      <c r="F238" s="7"/>
      <c r="G238" s="6"/>
      <c r="H238" s="6"/>
      <c r="I238" s="7"/>
      <c r="J238" s="6"/>
      <c r="K238" s="7"/>
      <c r="L238" s="6"/>
      <c r="M238" s="6"/>
      <c r="N238" s="7"/>
      <c r="O238" s="6"/>
      <c r="P238" s="6"/>
      <c r="Q238" s="7"/>
      <c r="R238" s="6" t="str">
        <f aca="false">IF(AND($A238="",$B238=""),"",IF(Q238="Complete","Onboarded",IF(OR(M238="Member",M238="Ambassador"),"Sponsored",IF(K238&lt;&gt;"","Follow-Up",IF(I238&lt;&gt;"","Presented",IF(F238&lt;&gt;"","Contacted","New Lead"))))))</f>
        <v/>
      </c>
      <c r="S238" s="6"/>
      <c r="T238" s="6" t="str">
        <f aca="true">IF(MAX(F238,I238,K238)=0,"",TODAY()-MAX(F238,I238,K238))</f>
        <v/>
      </c>
      <c r="U238" s="6"/>
      <c r="V238" s="6"/>
      <c r="W238" s="6" t="str">
        <f aca="false">IF(AND($A238="",$B238=""),"",IF(M238="Ambassador","1 - Ambassador",IF(M238="Member","2 - Member",IF(J238="Completed","3 - Presented",IF(H238&lt;&gt;"","4 - Shared",IF(F238&lt;&gt;"","5 - Contacted","6 - No Activity"))))))</f>
        <v/>
      </c>
      <c r="X238" s="6" t="n">
        <f aca="false">IF(AND($A238="",$B238=""),9999999+(ROW()-4),VALUE(LEFT($W238,1))*10000+(ROW()-4))</f>
        <v>10000233</v>
      </c>
    </row>
    <row r="239" customFormat="false" ht="15" hidden="false" customHeight="true" outlineLevel="0" collapsed="false">
      <c r="A239" s="6"/>
      <c r="B239" s="6"/>
      <c r="C239" s="6"/>
      <c r="D239" s="6"/>
      <c r="E239" s="6"/>
      <c r="F239" s="7"/>
      <c r="G239" s="6"/>
      <c r="H239" s="6"/>
      <c r="I239" s="7"/>
      <c r="J239" s="6"/>
      <c r="K239" s="7"/>
      <c r="L239" s="6"/>
      <c r="M239" s="6"/>
      <c r="N239" s="7"/>
      <c r="O239" s="6"/>
      <c r="P239" s="6"/>
      <c r="Q239" s="7"/>
      <c r="R239" s="6" t="str">
        <f aca="false">IF(AND($A239="",$B239=""),"",IF(Q239="Complete","Onboarded",IF(OR(M239="Member",M239="Ambassador"),"Sponsored",IF(K239&lt;&gt;"","Follow-Up",IF(I239&lt;&gt;"","Presented",IF(F239&lt;&gt;"","Contacted","New Lead"))))))</f>
        <v/>
      </c>
      <c r="S239" s="6"/>
      <c r="T239" s="6" t="str">
        <f aca="true">IF(MAX(F239,I239,K239)=0,"",TODAY()-MAX(F239,I239,K239))</f>
        <v/>
      </c>
      <c r="U239" s="6"/>
      <c r="V239" s="6"/>
      <c r="W239" s="6" t="str">
        <f aca="false">IF(AND($A239="",$B239=""),"",IF(M239="Ambassador","1 - Ambassador",IF(M239="Member","2 - Member",IF(J239="Completed","3 - Presented",IF(H239&lt;&gt;"","4 - Shared",IF(F239&lt;&gt;"","5 - Contacted","6 - No Activity"))))))</f>
        <v/>
      </c>
      <c r="X239" s="6" t="n">
        <f aca="false">IF(AND($A239="",$B239=""),9999999+(ROW()-4),VALUE(LEFT($W239,1))*10000+(ROW()-4))</f>
        <v>10000234</v>
      </c>
    </row>
    <row r="240" customFormat="false" ht="15" hidden="false" customHeight="true" outlineLevel="0" collapsed="false">
      <c r="A240" s="6"/>
      <c r="B240" s="6"/>
      <c r="C240" s="6"/>
      <c r="D240" s="6"/>
      <c r="E240" s="6"/>
      <c r="F240" s="7"/>
      <c r="G240" s="6"/>
      <c r="H240" s="6"/>
      <c r="I240" s="7"/>
      <c r="J240" s="6"/>
      <c r="K240" s="7"/>
      <c r="L240" s="6"/>
      <c r="M240" s="6"/>
      <c r="N240" s="7"/>
      <c r="O240" s="6"/>
      <c r="P240" s="6"/>
      <c r="Q240" s="7"/>
      <c r="R240" s="6" t="str">
        <f aca="false">IF(AND($A240="",$B240=""),"",IF(Q240="Complete","Onboarded",IF(OR(M240="Member",M240="Ambassador"),"Sponsored",IF(K240&lt;&gt;"","Follow-Up",IF(I240&lt;&gt;"","Presented",IF(F240&lt;&gt;"","Contacted","New Lead"))))))</f>
        <v/>
      </c>
      <c r="S240" s="6"/>
      <c r="T240" s="6" t="str">
        <f aca="true">IF(MAX(F240,I240,K240)=0,"",TODAY()-MAX(F240,I240,K240))</f>
        <v/>
      </c>
      <c r="U240" s="6"/>
      <c r="V240" s="6"/>
      <c r="W240" s="6" t="str">
        <f aca="false">IF(AND($A240="",$B240=""),"",IF(M240="Ambassador","1 - Ambassador",IF(M240="Member","2 - Member",IF(J240="Completed","3 - Presented",IF(H240&lt;&gt;"","4 - Shared",IF(F240&lt;&gt;"","5 - Contacted","6 - No Activity"))))))</f>
        <v/>
      </c>
      <c r="X240" s="6" t="n">
        <f aca="false">IF(AND($A240="",$B240=""),9999999+(ROW()-4),VALUE(LEFT($W240,1))*10000+(ROW()-4))</f>
        <v>10000235</v>
      </c>
    </row>
    <row r="241" customFormat="false" ht="15" hidden="false" customHeight="true" outlineLevel="0" collapsed="false">
      <c r="A241" s="6"/>
      <c r="B241" s="6"/>
      <c r="C241" s="6"/>
      <c r="D241" s="6"/>
      <c r="E241" s="6"/>
      <c r="F241" s="7"/>
      <c r="G241" s="6"/>
      <c r="H241" s="6"/>
      <c r="I241" s="7"/>
      <c r="J241" s="6"/>
      <c r="K241" s="7"/>
      <c r="L241" s="6"/>
      <c r="M241" s="6"/>
      <c r="N241" s="7"/>
      <c r="O241" s="6"/>
      <c r="P241" s="6"/>
      <c r="Q241" s="7"/>
      <c r="R241" s="6" t="str">
        <f aca="false">IF(AND($A241="",$B241=""),"",IF(Q241="Complete","Onboarded",IF(OR(M241="Member",M241="Ambassador"),"Sponsored",IF(K241&lt;&gt;"","Follow-Up",IF(I241&lt;&gt;"","Presented",IF(F241&lt;&gt;"","Contacted","New Lead"))))))</f>
        <v/>
      </c>
      <c r="S241" s="6"/>
      <c r="T241" s="6" t="str">
        <f aca="true">IF(MAX(F241,I241,K241)=0,"",TODAY()-MAX(F241,I241,K241))</f>
        <v/>
      </c>
      <c r="U241" s="6"/>
      <c r="V241" s="6"/>
      <c r="W241" s="6" t="str">
        <f aca="false">IF(AND($A241="",$B241=""),"",IF(M241="Ambassador","1 - Ambassador",IF(M241="Member","2 - Member",IF(J241="Completed","3 - Presented",IF(H241&lt;&gt;"","4 - Shared",IF(F241&lt;&gt;"","5 - Contacted","6 - No Activity"))))))</f>
        <v/>
      </c>
      <c r="X241" s="6" t="n">
        <f aca="false">IF(AND($A241="",$B241=""),9999999+(ROW()-4),VALUE(LEFT($W241,1))*10000+(ROW()-4))</f>
        <v>10000236</v>
      </c>
    </row>
    <row r="242" customFormat="false" ht="15" hidden="false" customHeight="true" outlineLevel="0" collapsed="false">
      <c r="A242" s="6"/>
      <c r="B242" s="6"/>
      <c r="C242" s="6"/>
      <c r="D242" s="6"/>
      <c r="E242" s="6"/>
      <c r="F242" s="7"/>
      <c r="G242" s="6"/>
      <c r="H242" s="6"/>
      <c r="I242" s="7"/>
      <c r="J242" s="6"/>
      <c r="K242" s="7"/>
      <c r="L242" s="6"/>
      <c r="M242" s="6"/>
      <c r="N242" s="7"/>
      <c r="O242" s="6"/>
      <c r="P242" s="6"/>
      <c r="Q242" s="7"/>
      <c r="R242" s="6" t="str">
        <f aca="false">IF(AND($A242="",$B242=""),"",IF(Q242="Complete","Onboarded",IF(OR(M242="Member",M242="Ambassador"),"Sponsored",IF(K242&lt;&gt;"","Follow-Up",IF(I242&lt;&gt;"","Presented",IF(F242&lt;&gt;"","Contacted","New Lead"))))))</f>
        <v/>
      </c>
      <c r="S242" s="6"/>
      <c r="T242" s="6" t="str">
        <f aca="true">IF(MAX(F242,I242,K242)=0,"",TODAY()-MAX(F242,I242,K242))</f>
        <v/>
      </c>
      <c r="U242" s="6"/>
      <c r="V242" s="6"/>
      <c r="W242" s="6" t="str">
        <f aca="false">IF(AND($A242="",$B242=""),"",IF(M242="Ambassador","1 - Ambassador",IF(M242="Member","2 - Member",IF(J242="Completed","3 - Presented",IF(H242&lt;&gt;"","4 - Shared",IF(F242&lt;&gt;"","5 - Contacted","6 - No Activity"))))))</f>
        <v/>
      </c>
      <c r="X242" s="6" t="n">
        <f aca="false">IF(AND($A242="",$B242=""),9999999+(ROW()-4),VALUE(LEFT($W242,1))*10000+(ROW()-4))</f>
        <v>10000237</v>
      </c>
    </row>
    <row r="243" customFormat="false" ht="15" hidden="false" customHeight="true" outlineLevel="0" collapsed="false">
      <c r="A243" s="6"/>
      <c r="B243" s="6"/>
      <c r="C243" s="6"/>
      <c r="D243" s="6"/>
      <c r="E243" s="6"/>
      <c r="F243" s="7"/>
      <c r="G243" s="6"/>
      <c r="H243" s="6"/>
      <c r="I243" s="7"/>
      <c r="J243" s="6"/>
      <c r="K243" s="7"/>
      <c r="L243" s="6"/>
      <c r="M243" s="6"/>
      <c r="N243" s="7"/>
      <c r="O243" s="6"/>
      <c r="P243" s="6"/>
      <c r="Q243" s="7"/>
      <c r="R243" s="6" t="str">
        <f aca="false">IF(AND($A243="",$B243=""),"",IF(Q243="Complete","Onboarded",IF(OR(M243="Member",M243="Ambassador"),"Sponsored",IF(K243&lt;&gt;"","Follow-Up",IF(I243&lt;&gt;"","Presented",IF(F243&lt;&gt;"","Contacted","New Lead"))))))</f>
        <v/>
      </c>
      <c r="S243" s="6"/>
      <c r="T243" s="6" t="str">
        <f aca="true">IF(MAX(F243,I243,K243)=0,"",TODAY()-MAX(F243,I243,K243))</f>
        <v/>
      </c>
      <c r="U243" s="6"/>
      <c r="V243" s="6"/>
      <c r="W243" s="6" t="str">
        <f aca="false">IF(AND($A243="",$B243=""),"",IF(M243="Ambassador","1 - Ambassador",IF(M243="Member","2 - Member",IF(J243="Completed","3 - Presented",IF(H243&lt;&gt;"","4 - Shared",IF(F243&lt;&gt;"","5 - Contacted","6 - No Activity"))))))</f>
        <v/>
      </c>
      <c r="X243" s="6" t="n">
        <f aca="false">IF(AND($A243="",$B243=""),9999999+(ROW()-4),VALUE(LEFT($W243,1))*10000+(ROW()-4))</f>
        <v>10000238</v>
      </c>
    </row>
    <row r="244" customFormat="false" ht="15" hidden="false" customHeight="true" outlineLevel="0" collapsed="false">
      <c r="A244" s="6"/>
      <c r="B244" s="6"/>
      <c r="C244" s="6"/>
      <c r="D244" s="6"/>
      <c r="E244" s="6"/>
      <c r="F244" s="7"/>
      <c r="G244" s="6"/>
      <c r="H244" s="6"/>
      <c r="I244" s="7"/>
      <c r="J244" s="6"/>
      <c r="K244" s="7"/>
      <c r="L244" s="6"/>
      <c r="M244" s="6"/>
      <c r="N244" s="7"/>
      <c r="O244" s="6"/>
      <c r="P244" s="6"/>
      <c r="Q244" s="7"/>
      <c r="R244" s="6" t="str">
        <f aca="false">IF(AND($A244="",$B244=""),"",IF(Q244="Complete","Onboarded",IF(OR(M244="Member",M244="Ambassador"),"Sponsored",IF(K244&lt;&gt;"","Follow-Up",IF(I244&lt;&gt;"","Presented",IF(F244&lt;&gt;"","Contacted","New Lead"))))))</f>
        <v/>
      </c>
      <c r="S244" s="6"/>
      <c r="T244" s="6" t="str">
        <f aca="true">IF(MAX(F244,I244,K244)=0,"",TODAY()-MAX(F244,I244,K244))</f>
        <v/>
      </c>
      <c r="U244" s="6"/>
      <c r="V244" s="6"/>
      <c r="W244" s="6" t="str">
        <f aca="false">IF(AND($A244="",$B244=""),"",IF(M244="Ambassador","1 - Ambassador",IF(M244="Member","2 - Member",IF(J244="Completed","3 - Presented",IF(H244&lt;&gt;"","4 - Shared",IF(F244&lt;&gt;"","5 - Contacted","6 - No Activity"))))))</f>
        <v/>
      </c>
      <c r="X244" s="6" t="n">
        <f aca="false">IF(AND($A244="",$B244=""),9999999+(ROW()-4),VALUE(LEFT($W244,1))*10000+(ROW()-4))</f>
        <v>10000239</v>
      </c>
    </row>
    <row r="245" customFormat="false" ht="15" hidden="false" customHeight="true" outlineLevel="0" collapsed="false">
      <c r="A245" s="6"/>
      <c r="B245" s="6"/>
      <c r="C245" s="6"/>
      <c r="D245" s="6"/>
      <c r="E245" s="6"/>
      <c r="F245" s="7"/>
      <c r="G245" s="6"/>
      <c r="H245" s="6"/>
      <c r="I245" s="7"/>
      <c r="J245" s="6"/>
      <c r="K245" s="7"/>
      <c r="L245" s="6"/>
      <c r="M245" s="6"/>
      <c r="N245" s="7"/>
      <c r="O245" s="6"/>
      <c r="P245" s="6"/>
      <c r="Q245" s="7"/>
      <c r="R245" s="6" t="str">
        <f aca="false">IF(AND($A245="",$B245=""),"",IF(Q245="Complete","Onboarded",IF(OR(M245="Member",M245="Ambassador"),"Sponsored",IF(K245&lt;&gt;"","Follow-Up",IF(I245&lt;&gt;"","Presented",IF(F245&lt;&gt;"","Contacted","New Lead"))))))</f>
        <v/>
      </c>
      <c r="S245" s="6"/>
      <c r="T245" s="6" t="str">
        <f aca="true">IF(MAX(F245,I245,K245)=0,"",TODAY()-MAX(F245,I245,K245))</f>
        <v/>
      </c>
      <c r="U245" s="6"/>
      <c r="V245" s="6"/>
      <c r="W245" s="6" t="str">
        <f aca="false">IF(AND($A245="",$B245=""),"",IF(M245="Ambassador","1 - Ambassador",IF(M245="Member","2 - Member",IF(J245="Completed","3 - Presented",IF(H245&lt;&gt;"","4 - Shared",IF(F245&lt;&gt;"","5 - Contacted","6 - No Activity"))))))</f>
        <v/>
      </c>
      <c r="X245" s="6" t="n">
        <f aca="false">IF(AND($A245="",$B245=""),9999999+(ROW()-4),VALUE(LEFT($W245,1))*10000+(ROW()-4))</f>
        <v>10000240</v>
      </c>
    </row>
    <row r="246" customFormat="false" ht="15" hidden="false" customHeight="true" outlineLevel="0" collapsed="false">
      <c r="A246" s="6"/>
      <c r="B246" s="6"/>
      <c r="C246" s="6"/>
      <c r="D246" s="6"/>
      <c r="E246" s="6"/>
      <c r="F246" s="7"/>
      <c r="G246" s="6"/>
      <c r="H246" s="6"/>
      <c r="I246" s="7"/>
      <c r="J246" s="6"/>
      <c r="K246" s="7"/>
      <c r="L246" s="6"/>
      <c r="M246" s="6"/>
      <c r="N246" s="7"/>
      <c r="O246" s="6"/>
      <c r="P246" s="6"/>
      <c r="Q246" s="7"/>
      <c r="R246" s="6" t="str">
        <f aca="false">IF(AND($A246="",$B246=""),"",IF(Q246="Complete","Onboarded",IF(OR(M246="Member",M246="Ambassador"),"Sponsored",IF(K246&lt;&gt;"","Follow-Up",IF(I246&lt;&gt;"","Presented",IF(F246&lt;&gt;"","Contacted","New Lead"))))))</f>
        <v/>
      </c>
      <c r="S246" s="6"/>
      <c r="T246" s="6" t="str">
        <f aca="true">IF(MAX(F246,I246,K246)=0,"",TODAY()-MAX(F246,I246,K246))</f>
        <v/>
      </c>
      <c r="U246" s="6"/>
      <c r="V246" s="6"/>
      <c r="W246" s="6" t="str">
        <f aca="false">IF(AND($A246="",$B246=""),"",IF(M246="Ambassador","1 - Ambassador",IF(M246="Member","2 - Member",IF(J246="Completed","3 - Presented",IF(H246&lt;&gt;"","4 - Shared",IF(F246&lt;&gt;"","5 - Contacted","6 - No Activity"))))))</f>
        <v/>
      </c>
      <c r="X246" s="6" t="n">
        <f aca="false">IF(AND($A246="",$B246=""),9999999+(ROW()-4),VALUE(LEFT($W246,1))*10000+(ROW()-4))</f>
        <v>10000241</v>
      </c>
    </row>
    <row r="247" customFormat="false" ht="15" hidden="false" customHeight="true" outlineLevel="0" collapsed="false">
      <c r="A247" s="6"/>
      <c r="B247" s="6"/>
      <c r="C247" s="6"/>
      <c r="D247" s="6"/>
      <c r="E247" s="6"/>
      <c r="F247" s="7"/>
      <c r="G247" s="6"/>
      <c r="H247" s="6"/>
      <c r="I247" s="7"/>
      <c r="J247" s="6"/>
      <c r="K247" s="7"/>
      <c r="L247" s="6"/>
      <c r="M247" s="6"/>
      <c r="N247" s="7"/>
      <c r="O247" s="6"/>
      <c r="P247" s="6"/>
      <c r="Q247" s="7"/>
      <c r="R247" s="6" t="str">
        <f aca="false">IF(AND($A247="",$B247=""),"",IF(Q247="Complete","Onboarded",IF(OR(M247="Member",M247="Ambassador"),"Sponsored",IF(K247&lt;&gt;"","Follow-Up",IF(I247&lt;&gt;"","Presented",IF(F247&lt;&gt;"","Contacted","New Lead"))))))</f>
        <v/>
      </c>
      <c r="S247" s="6"/>
      <c r="T247" s="6" t="str">
        <f aca="true">IF(MAX(F247,I247,K247)=0,"",TODAY()-MAX(F247,I247,K247))</f>
        <v/>
      </c>
      <c r="U247" s="6"/>
      <c r="V247" s="6"/>
      <c r="W247" s="6" t="str">
        <f aca="false">IF(AND($A247="",$B247=""),"",IF(M247="Ambassador","1 - Ambassador",IF(M247="Member","2 - Member",IF(J247="Completed","3 - Presented",IF(H247&lt;&gt;"","4 - Shared",IF(F247&lt;&gt;"","5 - Contacted","6 - No Activity"))))))</f>
        <v/>
      </c>
      <c r="X247" s="6" t="n">
        <f aca="false">IF(AND($A247="",$B247=""),9999999+(ROW()-4),VALUE(LEFT($W247,1))*10000+(ROW()-4))</f>
        <v>10000242</v>
      </c>
    </row>
    <row r="248" customFormat="false" ht="15" hidden="false" customHeight="true" outlineLevel="0" collapsed="false">
      <c r="A248" s="6"/>
      <c r="B248" s="6"/>
      <c r="C248" s="6"/>
      <c r="D248" s="6"/>
      <c r="E248" s="6"/>
      <c r="F248" s="7"/>
      <c r="G248" s="6"/>
      <c r="H248" s="6"/>
      <c r="I248" s="7"/>
      <c r="J248" s="6"/>
      <c r="K248" s="7"/>
      <c r="L248" s="6"/>
      <c r="M248" s="6"/>
      <c r="N248" s="7"/>
      <c r="O248" s="6"/>
      <c r="P248" s="6"/>
      <c r="Q248" s="7"/>
      <c r="R248" s="6" t="str">
        <f aca="false">IF(AND($A248="",$B248=""),"",IF(Q248="Complete","Onboarded",IF(OR(M248="Member",M248="Ambassador"),"Sponsored",IF(K248&lt;&gt;"","Follow-Up",IF(I248&lt;&gt;"","Presented",IF(F248&lt;&gt;"","Contacted","New Lead"))))))</f>
        <v/>
      </c>
      <c r="S248" s="6"/>
      <c r="T248" s="6" t="str">
        <f aca="true">IF(MAX(F248,I248,K248)=0,"",TODAY()-MAX(F248,I248,K248))</f>
        <v/>
      </c>
      <c r="U248" s="6"/>
      <c r="V248" s="6"/>
      <c r="W248" s="6" t="str">
        <f aca="false">IF(AND($A248="",$B248=""),"",IF(M248="Ambassador","1 - Ambassador",IF(M248="Member","2 - Member",IF(J248="Completed","3 - Presented",IF(H248&lt;&gt;"","4 - Shared",IF(F248&lt;&gt;"","5 - Contacted","6 - No Activity"))))))</f>
        <v/>
      </c>
      <c r="X248" s="6" t="n">
        <f aca="false">IF(AND($A248="",$B248=""),9999999+(ROW()-4),VALUE(LEFT($W248,1))*10000+(ROW()-4))</f>
        <v>10000243</v>
      </c>
    </row>
    <row r="249" customFormat="false" ht="15" hidden="false" customHeight="true" outlineLevel="0" collapsed="false">
      <c r="A249" s="6"/>
      <c r="B249" s="6"/>
      <c r="C249" s="6"/>
      <c r="D249" s="6"/>
      <c r="E249" s="6"/>
      <c r="F249" s="7"/>
      <c r="G249" s="6"/>
      <c r="H249" s="6"/>
      <c r="I249" s="7"/>
      <c r="J249" s="6"/>
      <c r="K249" s="7"/>
      <c r="L249" s="6"/>
      <c r="M249" s="6"/>
      <c r="N249" s="7"/>
      <c r="O249" s="6"/>
      <c r="P249" s="6"/>
      <c r="Q249" s="7"/>
      <c r="R249" s="6" t="str">
        <f aca="false">IF(AND($A249="",$B249=""),"",IF(Q249="Complete","Onboarded",IF(OR(M249="Member",M249="Ambassador"),"Sponsored",IF(K249&lt;&gt;"","Follow-Up",IF(I249&lt;&gt;"","Presented",IF(F249&lt;&gt;"","Contacted","New Lead"))))))</f>
        <v/>
      </c>
      <c r="S249" s="6"/>
      <c r="T249" s="6" t="str">
        <f aca="true">IF(MAX(F249,I249,K249)=0,"",TODAY()-MAX(F249,I249,K249))</f>
        <v/>
      </c>
      <c r="U249" s="6"/>
      <c r="V249" s="6"/>
      <c r="W249" s="6" t="str">
        <f aca="false">IF(AND($A249="",$B249=""),"",IF(M249="Ambassador","1 - Ambassador",IF(M249="Member","2 - Member",IF(J249="Completed","3 - Presented",IF(H249&lt;&gt;"","4 - Shared",IF(F249&lt;&gt;"","5 - Contacted","6 - No Activity"))))))</f>
        <v/>
      </c>
      <c r="X249" s="6" t="n">
        <f aca="false">IF(AND($A249="",$B249=""),9999999+(ROW()-4),VALUE(LEFT($W249,1))*10000+(ROW()-4))</f>
        <v>10000244</v>
      </c>
    </row>
    <row r="250" customFormat="false" ht="15" hidden="false" customHeight="true" outlineLevel="0" collapsed="false">
      <c r="A250" s="6"/>
      <c r="B250" s="6"/>
      <c r="C250" s="6"/>
      <c r="D250" s="6"/>
      <c r="E250" s="6"/>
      <c r="F250" s="7"/>
      <c r="G250" s="6"/>
      <c r="H250" s="6"/>
      <c r="I250" s="7"/>
      <c r="J250" s="6"/>
      <c r="K250" s="7"/>
      <c r="L250" s="6"/>
      <c r="M250" s="6"/>
      <c r="N250" s="7"/>
      <c r="O250" s="6"/>
      <c r="P250" s="6"/>
      <c r="Q250" s="7"/>
      <c r="R250" s="6" t="str">
        <f aca="false">IF(AND($A250="",$B250=""),"",IF(Q250="Complete","Onboarded",IF(OR(M250="Member",M250="Ambassador"),"Sponsored",IF(K250&lt;&gt;"","Follow-Up",IF(I250&lt;&gt;"","Presented",IF(F250&lt;&gt;"","Contacted","New Lead"))))))</f>
        <v/>
      </c>
      <c r="S250" s="6"/>
      <c r="T250" s="6" t="str">
        <f aca="true">IF(MAX(F250,I250,K250)=0,"",TODAY()-MAX(F250,I250,K250))</f>
        <v/>
      </c>
      <c r="U250" s="6"/>
      <c r="V250" s="6"/>
      <c r="W250" s="6" t="str">
        <f aca="false">IF(AND($A250="",$B250=""),"",IF(M250="Ambassador","1 - Ambassador",IF(M250="Member","2 - Member",IF(J250="Completed","3 - Presented",IF(H250&lt;&gt;"","4 - Shared",IF(F250&lt;&gt;"","5 - Contacted","6 - No Activity"))))))</f>
        <v/>
      </c>
      <c r="X250" s="6" t="n">
        <f aca="false">IF(AND($A250="",$B250=""),9999999+(ROW()-4),VALUE(LEFT($W250,1))*10000+(ROW()-4))</f>
        <v>10000245</v>
      </c>
    </row>
    <row r="251" customFormat="false" ht="15" hidden="false" customHeight="true" outlineLevel="0" collapsed="false">
      <c r="A251" s="6"/>
      <c r="B251" s="6"/>
      <c r="C251" s="6"/>
      <c r="D251" s="6"/>
      <c r="E251" s="6"/>
      <c r="F251" s="7"/>
      <c r="G251" s="6"/>
      <c r="H251" s="6"/>
      <c r="I251" s="7"/>
      <c r="J251" s="6"/>
      <c r="K251" s="7"/>
      <c r="L251" s="6"/>
      <c r="M251" s="6"/>
      <c r="N251" s="7"/>
      <c r="O251" s="6"/>
      <c r="P251" s="6"/>
      <c r="Q251" s="7"/>
      <c r="R251" s="6" t="str">
        <f aca="false">IF(AND($A251="",$B251=""),"",IF(Q251="Complete","Onboarded",IF(OR(M251="Member",M251="Ambassador"),"Sponsored",IF(K251&lt;&gt;"","Follow-Up",IF(I251&lt;&gt;"","Presented",IF(F251&lt;&gt;"","Contacted","New Lead"))))))</f>
        <v/>
      </c>
      <c r="S251" s="6"/>
      <c r="T251" s="6" t="str">
        <f aca="true">IF(MAX(F251,I251,K251)=0,"",TODAY()-MAX(F251,I251,K251))</f>
        <v/>
      </c>
      <c r="U251" s="6"/>
      <c r="V251" s="6"/>
      <c r="W251" s="6" t="str">
        <f aca="false">IF(AND($A251="",$B251=""),"",IF(M251="Ambassador","1 - Ambassador",IF(M251="Member","2 - Member",IF(J251="Completed","3 - Presented",IF(H251&lt;&gt;"","4 - Shared",IF(F251&lt;&gt;"","5 - Contacted","6 - No Activity"))))))</f>
        <v/>
      </c>
      <c r="X251" s="6" t="n">
        <f aca="false">IF(AND($A251="",$B251=""),9999999+(ROW()-4),VALUE(LEFT($W251,1))*10000+(ROW()-4))</f>
        <v>10000246</v>
      </c>
    </row>
    <row r="252" customFormat="false" ht="15" hidden="false" customHeight="true" outlineLevel="0" collapsed="false">
      <c r="A252" s="6"/>
      <c r="B252" s="6"/>
      <c r="C252" s="6"/>
      <c r="D252" s="6"/>
      <c r="E252" s="6"/>
      <c r="F252" s="7"/>
      <c r="G252" s="6"/>
      <c r="H252" s="6"/>
      <c r="I252" s="7"/>
      <c r="J252" s="6"/>
      <c r="K252" s="7"/>
      <c r="L252" s="6"/>
      <c r="M252" s="6"/>
      <c r="N252" s="7"/>
      <c r="O252" s="6"/>
      <c r="P252" s="6"/>
      <c r="Q252" s="7"/>
      <c r="R252" s="6" t="str">
        <f aca="false">IF(AND($A252="",$B252=""),"",IF(Q252="Complete","Onboarded",IF(OR(M252="Member",M252="Ambassador"),"Sponsored",IF(K252&lt;&gt;"","Follow-Up",IF(I252&lt;&gt;"","Presented",IF(F252&lt;&gt;"","Contacted","New Lead"))))))</f>
        <v/>
      </c>
      <c r="S252" s="6"/>
      <c r="T252" s="6" t="str">
        <f aca="true">IF(MAX(F252,I252,K252)=0,"",TODAY()-MAX(F252,I252,K252))</f>
        <v/>
      </c>
      <c r="U252" s="6"/>
      <c r="V252" s="6"/>
      <c r="W252" s="6" t="str">
        <f aca="false">IF(AND($A252="",$B252=""),"",IF(M252="Ambassador","1 - Ambassador",IF(M252="Member","2 - Member",IF(J252="Completed","3 - Presented",IF(H252&lt;&gt;"","4 - Shared",IF(F252&lt;&gt;"","5 - Contacted","6 - No Activity"))))))</f>
        <v/>
      </c>
      <c r="X252" s="6" t="n">
        <f aca="false">IF(AND($A252="",$B252=""),9999999+(ROW()-4),VALUE(LEFT($W252,1))*10000+(ROW()-4))</f>
        <v>10000247</v>
      </c>
    </row>
    <row r="253" customFormat="false" ht="15" hidden="false" customHeight="true" outlineLevel="0" collapsed="false">
      <c r="A253" s="6"/>
      <c r="B253" s="6"/>
      <c r="C253" s="6"/>
      <c r="D253" s="6"/>
      <c r="E253" s="6"/>
      <c r="F253" s="7"/>
      <c r="G253" s="6"/>
      <c r="H253" s="6"/>
      <c r="I253" s="7"/>
      <c r="J253" s="6"/>
      <c r="K253" s="7"/>
      <c r="L253" s="6"/>
      <c r="M253" s="6"/>
      <c r="N253" s="7"/>
      <c r="O253" s="6"/>
      <c r="P253" s="6"/>
      <c r="Q253" s="7"/>
      <c r="R253" s="6" t="str">
        <f aca="false">IF(AND($A253="",$B253=""),"",IF(Q253="Complete","Onboarded",IF(OR(M253="Member",M253="Ambassador"),"Sponsored",IF(K253&lt;&gt;"","Follow-Up",IF(I253&lt;&gt;"","Presented",IF(F253&lt;&gt;"","Contacted","New Lead"))))))</f>
        <v/>
      </c>
      <c r="S253" s="6"/>
      <c r="T253" s="6" t="str">
        <f aca="true">IF(MAX(F253,I253,K253)=0,"",TODAY()-MAX(F253,I253,K253))</f>
        <v/>
      </c>
      <c r="U253" s="6"/>
      <c r="V253" s="6"/>
      <c r="W253" s="6" t="str">
        <f aca="false">IF(AND($A253="",$B253=""),"",IF(M253="Ambassador","1 - Ambassador",IF(M253="Member","2 - Member",IF(J253="Completed","3 - Presented",IF(H253&lt;&gt;"","4 - Shared",IF(F253&lt;&gt;"","5 - Contacted","6 - No Activity"))))))</f>
        <v/>
      </c>
      <c r="X253" s="6" t="n">
        <f aca="false">IF(AND($A253="",$B253=""),9999999+(ROW()-4),VALUE(LEFT($W253,1))*10000+(ROW()-4))</f>
        <v>10000248</v>
      </c>
    </row>
    <row r="254" customFormat="false" ht="15" hidden="false" customHeight="true" outlineLevel="0" collapsed="false">
      <c r="A254" s="6"/>
      <c r="B254" s="6"/>
      <c r="C254" s="6"/>
      <c r="D254" s="6"/>
      <c r="E254" s="6"/>
      <c r="F254" s="7"/>
      <c r="G254" s="6"/>
      <c r="H254" s="6"/>
      <c r="I254" s="7"/>
      <c r="J254" s="6"/>
      <c r="K254" s="7"/>
      <c r="L254" s="6"/>
      <c r="M254" s="6"/>
      <c r="N254" s="7"/>
      <c r="O254" s="6"/>
      <c r="P254" s="6"/>
      <c r="Q254" s="7"/>
      <c r="R254" s="6" t="str">
        <f aca="false">IF(AND($A254="",$B254=""),"",IF(Q254="Complete","Onboarded",IF(OR(M254="Member",M254="Ambassador"),"Sponsored",IF(K254&lt;&gt;"","Follow-Up",IF(I254&lt;&gt;"","Presented",IF(F254&lt;&gt;"","Contacted","New Lead"))))))</f>
        <v/>
      </c>
      <c r="S254" s="6"/>
      <c r="T254" s="6" t="str">
        <f aca="true">IF(MAX(F254,I254,K254)=0,"",TODAY()-MAX(F254,I254,K254))</f>
        <v/>
      </c>
      <c r="U254" s="6"/>
      <c r="V254" s="6"/>
      <c r="W254" s="6" t="str">
        <f aca="false">IF(AND($A254="",$B254=""),"",IF(M254="Ambassador","1 - Ambassador",IF(M254="Member","2 - Member",IF(J254="Completed","3 - Presented",IF(H254&lt;&gt;"","4 - Shared",IF(F254&lt;&gt;"","5 - Contacted","6 - No Activity"))))))</f>
        <v/>
      </c>
      <c r="X254" s="6" t="n">
        <f aca="false">IF(AND($A254="",$B254=""),9999999+(ROW()-4),VALUE(LEFT($W254,1))*10000+(ROW()-4))</f>
        <v>10000249</v>
      </c>
    </row>
    <row r="255" customFormat="false" ht="15" hidden="false" customHeight="true" outlineLevel="0" collapsed="false">
      <c r="A255" s="6"/>
      <c r="B255" s="6"/>
      <c r="C255" s="6"/>
      <c r="D255" s="6"/>
      <c r="E255" s="6"/>
      <c r="F255" s="7"/>
      <c r="G255" s="6"/>
      <c r="H255" s="6"/>
      <c r="I255" s="7"/>
      <c r="J255" s="6"/>
      <c r="K255" s="7"/>
      <c r="L255" s="6"/>
      <c r="M255" s="6"/>
      <c r="N255" s="7"/>
      <c r="O255" s="6"/>
      <c r="P255" s="6"/>
      <c r="Q255" s="7"/>
      <c r="R255" s="6" t="str">
        <f aca="false">IF(AND($A255="",$B255=""),"",IF(Q255="Complete","Onboarded",IF(OR(M255="Member",M255="Ambassador"),"Sponsored",IF(K255&lt;&gt;"","Follow-Up",IF(I255&lt;&gt;"","Presented",IF(F255&lt;&gt;"","Contacted","New Lead"))))))</f>
        <v/>
      </c>
      <c r="S255" s="6"/>
      <c r="T255" s="6" t="str">
        <f aca="true">IF(MAX(F255,I255,K255)=0,"",TODAY()-MAX(F255,I255,K255))</f>
        <v/>
      </c>
      <c r="U255" s="6"/>
      <c r="V255" s="6"/>
      <c r="W255" s="6" t="str">
        <f aca="false">IF(AND($A255="",$B255=""),"",IF(M255="Ambassador","1 - Ambassador",IF(M255="Member","2 - Member",IF(J255="Completed","3 - Presented",IF(H255&lt;&gt;"","4 - Shared",IF(F255&lt;&gt;"","5 - Contacted","6 - No Activity"))))))</f>
        <v/>
      </c>
      <c r="X255" s="6" t="n">
        <f aca="false">IF(AND($A255="",$B255=""),9999999+(ROW()-4),VALUE(LEFT($W255,1))*10000+(ROW()-4))</f>
        <v>10000250</v>
      </c>
    </row>
    <row r="256" customFormat="false" ht="15" hidden="false" customHeight="true" outlineLevel="0" collapsed="false">
      <c r="A256" s="6"/>
      <c r="B256" s="6"/>
      <c r="C256" s="6"/>
      <c r="D256" s="6"/>
      <c r="E256" s="6"/>
      <c r="F256" s="7"/>
      <c r="G256" s="6"/>
      <c r="H256" s="6"/>
      <c r="I256" s="7"/>
      <c r="J256" s="6"/>
      <c r="K256" s="7"/>
      <c r="L256" s="6"/>
      <c r="M256" s="6"/>
      <c r="N256" s="7"/>
      <c r="O256" s="6"/>
      <c r="P256" s="6"/>
      <c r="Q256" s="7"/>
      <c r="R256" s="6" t="str">
        <f aca="false">IF(AND($A256="",$B256=""),"",IF(Q256="Complete","Onboarded",IF(OR(M256="Member",M256="Ambassador"),"Sponsored",IF(K256&lt;&gt;"","Follow-Up",IF(I256&lt;&gt;"","Presented",IF(F256&lt;&gt;"","Contacted","New Lead"))))))</f>
        <v/>
      </c>
      <c r="S256" s="6"/>
      <c r="T256" s="6" t="str">
        <f aca="true">IF(MAX(F256,I256,K256)=0,"",TODAY()-MAX(F256,I256,K256))</f>
        <v/>
      </c>
      <c r="U256" s="6"/>
      <c r="V256" s="6"/>
      <c r="W256" s="6" t="str">
        <f aca="false">IF(AND($A256="",$B256=""),"",IF(M256="Ambassador","1 - Ambassador",IF(M256="Member","2 - Member",IF(J256="Completed","3 - Presented",IF(H256&lt;&gt;"","4 - Shared",IF(F256&lt;&gt;"","5 - Contacted","6 - No Activity"))))))</f>
        <v/>
      </c>
      <c r="X256" s="6" t="n">
        <f aca="false">IF(AND($A256="",$B256=""),9999999+(ROW()-4),VALUE(LEFT($W256,1))*10000+(ROW()-4))</f>
        <v>10000251</v>
      </c>
    </row>
    <row r="257" customFormat="false" ht="15" hidden="false" customHeight="true" outlineLevel="0" collapsed="false">
      <c r="A257" s="6"/>
      <c r="B257" s="6"/>
      <c r="C257" s="6"/>
      <c r="D257" s="6"/>
      <c r="E257" s="6"/>
      <c r="F257" s="7"/>
      <c r="G257" s="6"/>
      <c r="H257" s="6"/>
      <c r="I257" s="7"/>
      <c r="J257" s="6"/>
      <c r="K257" s="7"/>
      <c r="L257" s="6"/>
      <c r="M257" s="6"/>
      <c r="N257" s="7"/>
      <c r="O257" s="6"/>
      <c r="P257" s="6"/>
      <c r="Q257" s="7"/>
      <c r="R257" s="6" t="str">
        <f aca="false">IF(AND($A257="",$B257=""),"",IF(Q257="Complete","Onboarded",IF(OR(M257="Member",M257="Ambassador"),"Sponsored",IF(K257&lt;&gt;"","Follow-Up",IF(I257&lt;&gt;"","Presented",IF(F257&lt;&gt;"","Contacted","New Lead"))))))</f>
        <v/>
      </c>
      <c r="S257" s="6"/>
      <c r="T257" s="6" t="str">
        <f aca="true">IF(MAX(F257,I257,K257)=0,"",TODAY()-MAX(F257,I257,K257))</f>
        <v/>
      </c>
      <c r="U257" s="6"/>
      <c r="V257" s="6"/>
      <c r="W257" s="6" t="str">
        <f aca="false">IF(AND($A257="",$B257=""),"",IF(M257="Ambassador","1 - Ambassador",IF(M257="Member","2 - Member",IF(J257="Completed","3 - Presented",IF(H257&lt;&gt;"","4 - Shared",IF(F257&lt;&gt;"","5 - Contacted","6 - No Activity"))))))</f>
        <v/>
      </c>
      <c r="X257" s="6" t="n">
        <f aca="false">IF(AND($A257="",$B257=""),9999999+(ROW()-4),VALUE(LEFT($W257,1))*10000+(ROW()-4))</f>
        <v>10000252</v>
      </c>
    </row>
    <row r="258" customFormat="false" ht="15" hidden="false" customHeight="true" outlineLevel="0" collapsed="false">
      <c r="A258" s="6"/>
      <c r="B258" s="6"/>
      <c r="C258" s="6"/>
      <c r="D258" s="6"/>
      <c r="E258" s="6"/>
      <c r="F258" s="7"/>
      <c r="G258" s="6"/>
      <c r="H258" s="6"/>
      <c r="I258" s="7"/>
      <c r="J258" s="6"/>
      <c r="K258" s="7"/>
      <c r="L258" s="6"/>
      <c r="M258" s="6"/>
      <c r="N258" s="7"/>
      <c r="O258" s="6"/>
      <c r="P258" s="6"/>
      <c r="Q258" s="7"/>
      <c r="R258" s="6" t="str">
        <f aca="false">IF(AND($A258="",$B258=""),"",IF(Q258="Complete","Onboarded",IF(OR(M258="Member",M258="Ambassador"),"Sponsored",IF(K258&lt;&gt;"","Follow-Up",IF(I258&lt;&gt;"","Presented",IF(F258&lt;&gt;"","Contacted","New Lead"))))))</f>
        <v/>
      </c>
      <c r="S258" s="6"/>
      <c r="T258" s="6" t="str">
        <f aca="true">IF(MAX(F258,I258,K258)=0,"",TODAY()-MAX(F258,I258,K258))</f>
        <v/>
      </c>
      <c r="U258" s="6"/>
      <c r="V258" s="6"/>
      <c r="W258" s="6" t="str">
        <f aca="false">IF(AND($A258="",$B258=""),"",IF(M258="Ambassador","1 - Ambassador",IF(M258="Member","2 - Member",IF(J258="Completed","3 - Presented",IF(H258&lt;&gt;"","4 - Shared",IF(F258&lt;&gt;"","5 - Contacted","6 - No Activity"))))))</f>
        <v/>
      </c>
      <c r="X258" s="6" t="n">
        <f aca="false">IF(AND($A258="",$B258=""),9999999+(ROW()-4),VALUE(LEFT($W258,1))*10000+(ROW()-4))</f>
        <v>10000253</v>
      </c>
    </row>
    <row r="259" customFormat="false" ht="15" hidden="false" customHeight="true" outlineLevel="0" collapsed="false">
      <c r="A259" s="6"/>
      <c r="B259" s="6"/>
      <c r="C259" s="6"/>
      <c r="D259" s="6"/>
      <c r="E259" s="6"/>
      <c r="F259" s="7"/>
      <c r="G259" s="6"/>
      <c r="H259" s="6"/>
      <c r="I259" s="7"/>
      <c r="J259" s="6"/>
      <c r="K259" s="7"/>
      <c r="L259" s="6"/>
      <c r="M259" s="6"/>
      <c r="N259" s="7"/>
      <c r="O259" s="6"/>
      <c r="P259" s="6"/>
      <c r="Q259" s="7"/>
      <c r="R259" s="6" t="str">
        <f aca="false">IF(AND($A259="",$B259=""),"",IF(Q259="Complete","Onboarded",IF(OR(M259="Member",M259="Ambassador"),"Sponsored",IF(K259&lt;&gt;"","Follow-Up",IF(I259&lt;&gt;"","Presented",IF(F259&lt;&gt;"","Contacted","New Lead"))))))</f>
        <v/>
      </c>
      <c r="S259" s="6"/>
      <c r="T259" s="6" t="str">
        <f aca="true">IF(MAX(F259,I259,K259)=0,"",TODAY()-MAX(F259,I259,K259))</f>
        <v/>
      </c>
      <c r="U259" s="6"/>
      <c r="V259" s="6"/>
      <c r="W259" s="6" t="str">
        <f aca="false">IF(AND($A259="",$B259=""),"",IF(M259="Ambassador","1 - Ambassador",IF(M259="Member","2 - Member",IF(J259="Completed","3 - Presented",IF(H259&lt;&gt;"","4 - Shared",IF(F259&lt;&gt;"","5 - Contacted","6 - No Activity"))))))</f>
        <v/>
      </c>
      <c r="X259" s="6" t="n">
        <f aca="false">IF(AND($A259="",$B259=""),9999999+(ROW()-4),VALUE(LEFT($W259,1))*10000+(ROW()-4))</f>
        <v>10000254</v>
      </c>
    </row>
    <row r="260" customFormat="false" ht="15" hidden="false" customHeight="true" outlineLevel="0" collapsed="false">
      <c r="A260" s="6"/>
      <c r="B260" s="6"/>
      <c r="C260" s="6"/>
      <c r="D260" s="6"/>
      <c r="E260" s="6"/>
      <c r="F260" s="7"/>
      <c r="G260" s="6"/>
      <c r="H260" s="6"/>
      <c r="I260" s="7"/>
      <c r="J260" s="6"/>
      <c r="K260" s="7"/>
      <c r="L260" s="6"/>
      <c r="M260" s="6"/>
      <c r="N260" s="7"/>
      <c r="O260" s="6"/>
      <c r="P260" s="6"/>
      <c r="Q260" s="7"/>
      <c r="R260" s="6" t="str">
        <f aca="false">IF(AND($A260="",$B260=""),"",IF(Q260="Complete","Onboarded",IF(OR(M260="Member",M260="Ambassador"),"Sponsored",IF(K260&lt;&gt;"","Follow-Up",IF(I260&lt;&gt;"","Presented",IF(F260&lt;&gt;"","Contacted","New Lead"))))))</f>
        <v/>
      </c>
      <c r="S260" s="6"/>
      <c r="T260" s="6" t="str">
        <f aca="true">IF(MAX(F260,I260,K260)=0,"",TODAY()-MAX(F260,I260,K260))</f>
        <v/>
      </c>
      <c r="U260" s="6"/>
      <c r="V260" s="6"/>
      <c r="W260" s="6" t="str">
        <f aca="false">IF(AND($A260="",$B260=""),"",IF(M260="Ambassador","1 - Ambassador",IF(M260="Member","2 - Member",IF(J260="Completed","3 - Presented",IF(H260&lt;&gt;"","4 - Shared",IF(F260&lt;&gt;"","5 - Contacted","6 - No Activity"))))))</f>
        <v/>
      </c>
      <c r="X260" s="6" t="n">
        <f aca="false">IF(AND($A260="",$B260=""),9999999+(ROW()-4),VALUE(LEFT($W260,1))*10000+(ROW()-4))</f>
        <v>10000255</v>
      </c>
    </row>
    <row r="261" customFormat="false" ht="15" hidden="false" customHeight="true" outlineLevel="0" collapsed="false">
      <c r="A261" s="6"/>
      <c r="B261" s="6"/>
      <c r="C261" s="6"/>
      <c r="D261" s="6"/>
      <c r="E261" s="6"/>
      <c r="F261" s="7"/>
      <c r="G261" s="6"/>
      <c r="H261" s="6"/>
      <c r="I261" s="7"/>
      <c r="J261" s="6"/>
      <c r="K261" s="7"/>
      <c r="L261" s="6"/>
      <c r="M261" s="6"/>
      <c r="N261" s="7"/>
      <c r="O261" s="6"/>
      <c r="P261" s="6"/>
      <c r="Q261" s="7"/>
      <c r="R261" s="6" t="str">
        <f aca="false">IF(AND($A261="",$B261=""),"",IF(Q261="Complete","Onboarded",IF(OR(M261="Member",M261="Ambassador"),"Sponsored",IF(K261&lt;&gt;"","Follow-Up",IF(I261&lt;&gt;"","Presented",IF(F261&lt;&gt;"","Contacted","New Lead"))))))</f>
        <v/>
      </c>
      <c r="S261" s="6"/>
      <c r="T261" s="6" t="str">
        <f aca="true">IF(MAX(F261,I261,K261)=0,"",TODAY()-MAX(F261,I261,K261))</f>
        <v/>
      </c>
      <c r="U261" s="6"/>
      <c r="V261" s="6"/>
      <c r="W261" s="6" t="str">
        <f aca="false">IF(AND($A261="",$B261=""),"",IF(M261="Ambassador","1 - Ambassador",IF(M261="Member","2 - Member",IF(J261="Completed","3 - Presented",IF(H261&lt;&gt;"","4 - Shared",IF(F261&lt;&gt;"","5 - Contacted","6 - No Activity"))))))</f>
        <v/>
      </c>
      <c r="X261" s="6" t="n">
        <f aca="false">IF(AND($A261="",$B261=""),9999999+(ROW()-4),VALUE(LEFT($W261,1))*10000+(ROW()-4))</f>
        <v>10000256</v>
      </c>
    </row>
    <row r="262" customFormat="false" ht="15" hidden="false" customHeight="true" outlineLevel="0" collapsed="false">
      <c r="A262" s="6"/>
      <c r="B262" s="6"/>
      <c r="C262" s="6"/>
      <c r="D262" s="6"/>
      <c r="E262" s="6"/>
      <c r="F262" s="7"/>
      <c r="G262" s="6"/>
      <c r="H262" s="6"/>
      <c r="I262" s="7"/>
      <c r="J262" s="6"/>
      <c r="K262" s="7"/>
      <c r="L262" s="6"/>
      <c r="M262" s="6"/>
      <c r="N262" s="7"/>
      <c r="O262" s="6"/>
      <c r="P262" s="6"/>
      <c r="Q262" s="7"/>
      <c r="R262" s="6" t="str">
        <f aca="false">IF(AND($A262="",$B262=""),"",IF(Q262="Complete","Onboarded",IF(OR(M262="Member",M262="Ambassador"),"Sponsored",IF(K262&lt;&gt;"","Follow-Up",IF(I262&lt;&gt;"","Presented",IF(F262&lt;&gt;"","Contacted","New Lead"))))))</f>
        <v/>
      </c>
      <c r="S262" s="6"/>
      <c r="T262" s="6" t="str">
        <f aca="true">IF(MAX(F262,I262,K262)=0,"",TODAY()-MAX(F262,I262,K262))</f>
        <v/>
      </c>
      <c r="U262" s="6"/>
      <c r="V262" s="6"/>
      <c r="W262" s="6" t="str">
        <f aca="false">IF(AND($A262="",$B262=""),"",IF(M262="Ambassador","1 - Ambassador",IF(M262="Member","2 - Member",IF(J262="Completed","3 - Presented",IF(H262&lt;&gt;"","4 - Shared",IF(F262&lt;&gt;"","5 - Contacted","6 - No Activity"))))))</f>
        <v/>
      </c>
      <c r="X262" s="6" t="n">
        <f aca="false">IF(AND($A262="",$B262=""),9999999+(ROW()-4),VALUE(LEFT($W262,1))*10000+(ROW()-4))</f>
        <v>10000257</v>
      </c>
    </row>
    <row r="263" customFormat="false" ht="15" hidden="false" customHeight="true" outlineLevel="0" collapsed="false">
      <c r="A263" s="6"/>
      <c r="B263" s="6"/>
      <c r="C263" s="6"/>
      <c r="D263" s="6"/>
      <c r="E263" s="6"/>
      <c r="F263" s="7"/>
      <c r="G263" s="6"/>
      <c r="H263" s="6"/>
      <c r="I263" s="7"/>
      <c r="J263" s="6"/>
      <c r="K263" s="7"/>
      <c r="L263" s="6"/>
      <c r="M263" s="6"/>
      <c r="N263" s="7"/>
      <c r="O263" s="6"/>
      <c r="P263" s="6"/>
      <c r="Q263" s="7"/>
      <c r="R263" s="6" t="str">
        <f aca="false">IF(AND($A263="",$B263=""),"",IF(Q263="Complete","Onboarded",IF(OR(M263="Member",M263="Ambassador"),"Sponsored",IF(K263&lt;&gt;"","Follow-Up",IF(I263&lt;&gt;"","Presented",IF(F263&lt;&gt;"","Contacted","New Lead"))))))</f>
        <v/>
      </c>
      <c r="S263" s="6"/>
      <c r="T263" s="6" t="str">
        <f aca="true">IF(MAX(F263,I263,K263)=0,"",TODAY()-MAX(F263,I263,K263))</f>
        <v/>
      </c>
      <c r="U263" s="6"/>
      <c r="V263" s="6"/>
      <c r="W263" s="6" t="str">
        <f aca="false">IF(AND($A263="",$B263=""),"",IF(M263="Ambassador","1 - Ambassador",IF(M263="Member","2 - Member",IF(J263="Completed","3 - Presented",IF(H263&lt;&gt;"","4 - Shared",IF(F263&lt;&gt;"","5 - Contacted","6 - No Activity"))))))</f>
        <v/>
      </c>
      <c r="X263" s="6" t="n">
        <f aca="false">IF(AND($A263="",$B263=""),9999999+(ROW()-4),VALUE(LEFT($W263,1))*10000+(ROW()-4))</f>
        <v>10000258</v>
      </c>
    </row>
    <row r="264" customFormat="false" ht="15" hidden="false" customHeight="true" outlineLevel="0" collapsed="false">
      <c r="A264" s="6"/>
      <c r="B264" s="6"/>
      <c r="C264" s="6"/>
      <c r="D264" s="6"/>
      <c r="E264" s="6"/>
      <c r="F264" s="7"/>
      <c r="G264" s="6"/>
      <c r="H264" s="6"/>
      <c r="I264" s="7"/>
      <c r="J264" s="6"/>
      <c r="K264" s="7"/>
      <c r="L264" s="6"/>
      <c r="M264" s="6"/>
      <c r="N264" s="7"/>
      <c r="O264" s="6"/>
      <c r="P264" s="6"/>
      <c r="Q264" s="7"/>
      <c r="R264" s="6" t="str">
        <f aca="false">IF(AND($A264="",$B264=""),"",IF(Q264="Complete","Onboarded",IF(OR(M264="Member",M264="Ambassador"),"Sponsored",IF(K264&lt;&gt;"","Follow-Up",IF(I264&lt;&gt;"","Presented",IF(F264&lt;&gt;"","Contacted","New Lead"))))))</f>
        <v/>
      </c>
      <c r="S264" s="6"/>
      <c r="T264" s="6" t="str">
        <f aca="true">IF(MAX(F264,I264,K264)=0,"",TODAY()-MAX(F264,I264,K264))</f>
        <v/>
      </c>
      <c r="U264" s="6"/>
      <c r="V264" s="6"/>
      <c r="W264" s="6" t="str">
        <f aca="false">IF(AND($A264="",$B264=""),"",IF(M264="Ambassador","1 - Ambassador",IF(M264="Member","2 - Member",IF(J264="Completed","3 - Presented",IF(H264&lt;&gt;"","4 - Shared",IF(F264&lt;&gt;"","5 - Contacted","6 - No Activity"))))))</f>
        <v/>
      </c>
      <c r="X264" s="6" t="n">
        <f aca="false">IF(AND($A264="",$B264=""),9999999+(ROW()-4),VALUE(LEFT($W264,1))*10000+(ROW()-4))</f>
        <v>10000259</v>
      </c>
    </row>
    <row r="265" customFormat="false" ht="15" hidden="false" customHeight="true" outlineLevel="0" collapsed="false">
      <c r="A265" s="6"/>
      <c r="B265" s="6"/>
      <c r="C265" s="6"/>
      <c r="D265" s="6"/>
      <c r="E265" s="6"/>
      <c r="F265" s="7"/>
      <c r="G265" s="6"/>
      <c r="H265" s="6"/>
      <c r="I265" s="7"/>
      <c r="J265" s="6"/>
      <c r="K265" s="7"/>
      <c r="L265" s="6"/>
      <c r="M265" s="6"/>
      <c r="N265" s="7"/>
      <c r="O265" s="6"/>
      <c r="P265" s="6"/>
      <c r="Q265" s="7"/>
      <c r="R265" s="6" t="str">
        <f aca="false">IF(AND($A265="",$B265=""),"",IF(Q265="Complete","Onboarded",IF(OR(M265="Member",M265="Ambassador"),"Sponsored",IF(K265&lt;&gt;"","Follow-Up",IF(I265&lt;&gt;"","Presented",IF(F265&lt;&gt;"","Contacted","New Lead"))))))</f>
        <v/>
      </c>
      <c r="S265" s="6"/>
      <c r="T265" s="6" t="str">
        <f aca="true">IF(MAX(F265,I265,K265)=0,"",TODAY()-MAX(F265,I265,K265))</f>
        <v/>
      </c>
      <c r="U265" s="6"/>
      <c r="V265" s="6"/>
      <c r="W265" s="6" t="str">
        <f aca="false">IF(AND($A265="",$B265=""),"",IF(M265="Ambassador","1 - Ambassador",IF(M265="Member","2 - Member",IF(J265="Completed","3 - Presented",IF(H265&lt;&gt;"","4 - Shared",IF(F265&lt;&gt;"","5 - Contacted","6 - No Activity"))))))</f>
        <v/>
      </c>
      <c r="X265" s="6" t="n">
        <f aca="false">IF(AND($A265="",$B265=""),9999999+(ROW()-4),VALUE(LEFT($W265,1))*10000+(ROW()-4))</f>
        <v>10000260</v>
      </c>
    </row>
    <row r="266" customFormat="false" ht="15" hidden="false" customHeight="true" outlineLevel="0" collapsed="false">
      <c r="A266" s="6"/>
      <c r="B266" s="6"/>
      <c r="C266" s="6"/>
      <c r="D266" s="6"/>
      <c r="E266" s="6"/>
      <c r="F266" s="7"/>
      <c r="G266" s="6"/>
      <c r="H266" s="6"/>
      <c r="I266" s="7"/>
      <c r="J266" s="6"/>
      <c r="K266" s="7"/>
      <c r="L266" s="6"/>
      <c r="M266" s="6"/>
      <c r="N266" s="7"/>
      <c r="O266" s="6"/>
      <c r="P266" s="6"/>
      <c r="Q266" s="7"/>
      <c r="R266" s="6" t="str">
        <f aca="false">IF(AND($A266="",$B266=""),"",IF(Q266="Complete","Onboarded",IF(OR(M266="Member",M266="Ambassador"),"Sponsored",IF(K266&lt;&gt;"","Follow-Up",IF(I266&lt;&gt;"","Presented",IF(F266&lt;&gt;"","Contacted","New Lead"))))))</f>
        <v/>
      </c>
      <c r="S266" s="6"/>
      <c r="T266" s="6" t="str">
        <f aca="true">IF(MAX(F266,I266,K266)=0,"",TODAY()-MAX(F266,I266,K266))</f>
        <v/>
      </c>
      <c r="U266" s="6"/>
      <c r="V266" s="6"/>
      <c r="W266" s="6" t="str">
        <f aca="false">IF(AND($A266="",$B266=""),"",IF(M266="Ambassador","1 - Ambassador",IF(M266="Member","2 - Member",IF(J266="Completed","3 - Presented",IF(H266&lt;&gt;"","4 - Shared",IF(F266&lt;&gt;"","5 - Contacted","6 - No Activity"))))))</f>
        <v/>
      </c>
      <c r="X266" s="6" t="n">
        <f aca="false">IF(AND($A266="",$B266=""),9999999+(ROW()-4),VALUE(LEFT($W266,1))*10000+(ROW()-4))</f>
        <v>10000261</v>
      </c>
    </row>
    <row r="267" customFormat="false" ht="15" hidden="false" customHeight="true" outlineLevel="0" collapsed="false">
      <c r="A267" s="6"/>
      <c r="B267" s="6"/>
      <c r="C267" s="6"/>
      <c r="D267" s="6"/>
      <c r="E267" s="6"/>
      <c r="F267" s="7"/>
      <c r="G267" s="6"/>
      <c r="H267" s="6"/>
      <c r="I267" s="7"/>
      <c r="J267" s="6"/>
      <c r="K267" s="7"/>
      <c r="L267" s="6"/>
      <c r="M267" s="6"/>
      <c r="N267" s="7"/>
      <c r="O267" s="6"/>
      <c r="P267" s="6"/>
      <c r="Q267" s="7"/>
      <c r="R267" s="6" t="str">
        <f aca="false">IF(AND($A267="",$B267=""),"",IF(Q267="Complete","Onboarded",IF(OR(M267="Member",M267="Ambassador"),"Sponsored",IF(K267&lt;&gt;"","Follow-Up",IF(I267&lt;&gt;"","Presented",IF(F267&lt;&gt;"","Contacted","New Lead"))))))</f>
        <v/>
      </c>
      <c r="S267" s="6"/>
      <c r="T267" s="6" t="str">
        <f aca="true">IF(MAX(F267,I267,K267)=0,"",TODAY()-MAX(F267,I267,K267))</f>
        <v/>
      </c>
      <c r="U267" s="6"/>
      <c r="V267" s="6"/>
      <c r="W267" s="6" t="str">
        <f aca="false">IF(AND($A267="",$B267=""),"",IF(M267="Ambassador","1 - Ambassador",IF(M267="Member","2 - Member",IF(J267="Completed","3 - Presented",IF(H267&lt;&gt;"","4 - Shared",IF(F267&lt;&gt;"","5 - Contacted","6 - No Activity"))))))</f>
        <v/>
      </c>
      <c r="X267" s="6" t="n">
        <f aca="false">IF(AND($A267="",$B267=""),9999999+(ROW()-4),VALUE(LEFT($W267,1))*10000+(ROW()-4))</f>
        <v>10000262</v>
      </c>
    </row>
    <row r="268" customFormat="false" ht="15" hidden="false" customHeight="true" outlineLevel="0" collapsed="false">
      <c r="A268" s="6"/>
      <c r="B268" s="6"/>
      <c r="C268" s="6"/>
      <c r="D268" s="6"/>
      <c r="E268" s="6"/>
      <c r="F268" s="7"/>
      <c r="G268" s="6"/>
      <c r="H268" s="6"/>
      <c r="I268" s="7"/>
      <c r="J268" s="6"/>
      <c r="K268" s="7"/>
      <c r="L268" s="6"/>
      <c r="M268" s="6"/>
      <c r="N268" s="7"/>
      <c r="O268" s="6"/>
      <c r="P268" s="6"/>
      <c r="Q268" s="7"/>
      <c r="R268" s="6" t="str">
        <f aca="false">IF(AND($A268="",$B268=""),"",IF(Q268="Complete","Onboarded",IF(OR(M268="Member",M268="Ambassador"),"Sponsored",IF(K268&lt;&gt;"","Follow-Up",IF(I268&lt;&gt;"","Presented",IF(F268&lt;&gt;"","Contacted","New Lead"))))))</f>
        <v/>
      </c>
      <c r="S268" s="6"/>
      <c r="T268" s="6" t="str">
        <f aca="true">IF(MAX(F268,I268,K268)=0,"",TODAY()-MAX(F268,I268,K268))</f>
        <v/>
      </c>
      <c r="U268" s="6"/>
      <c r="V268" s="6"/>
      <c r="W268" s="6" t="str">
        <f aca="false">IF(AND($A268="",$B268=""),"",IF(M268="Ambassador","1 - Ambassador",IF(M268="Member","2 - Member",IF(J268="Completed","3 - Presented",IF(H268&lt;&gt;"","4 - Shared",IF(F268&lt;&gt;"","5 - Contacted","6 - No Activity"))))))</f>
        <v/>
      </c>
      <c r="X268" s="6" t="n">
        <f aca="false">IF(AND($A268="",$B268=""),9999999+(ROW()-4),VALUE(LEFT($W268,1))*10000+(ROW()-4))</f>
        <v>10000263</v>
      </c>
    </row>
    <row r="269" customFormat="false" ht="15" hidden="false" customHeight="true" outlineLevel="0" collapsed="false">
      <c r="A269" s="6"/>
      <c r="B269" s="6"/>
      <c r="C269" s="6"/>
      <c r="D269" s="6"/>
      <c r="E269" s="6"/>
      <c r="F269" s="7"/>
      <c r="G269" s="6"/>
      <c r="H269" s="6"/>
      <c r="I269" s="7"/>
      <c r="J269" s="6"/>
      <c r="K269" s="7"/>
      <c r="L269" s="6"/>
      <c r="M269" s="6"/>
      <c r="N269" s="7"/>
      <c r="O269" s="6"/>
      <c r="P269" s="6"/>
      <c r="Q269" s="7"/>
      <c r="R269" s="6" t="str">
        <f aca="false">IF(AND($A269="",$B269=""),"",IF(Q269="Complete","Onboarded",IF(OR(M269="Member",M269="Ambassador"),"Sponsored",IF(K269&lt;&gt;"","Follow-Up",IF(I269&lt;&gt;"","Presented",IF(F269&lt;&gt;"","Contacted","New Lead"))))))</f>
        <v/>
      </c>
      <c r="S269" s="6"/>
      <c r="T269" s="6" t="str">
        <f aca="true">IF(MAX(F269,I269,K269)=0,"",TODAY()-MAX(F269,I269,K269))</f>
        <v/>
      </c>
      <c r="U269" s="6"/>
      <c r="V269" s="6"/>
      <c r="W269" s="6" t="str">
        <f aca="false">IF(AND($A269="",$B269=""),"",IF(M269="Ambassador","1 - Ambassador",IF(M269="Member","2 - Member",IF(J269="Completed","3 - Presented",IF(H269&lt;&gt;"","4 - Shared",IF(F269&lt;&gt;"","5 - Contacted","6 - No Activity"))))))</f>
        <v/>
      </c>
      <c r="X269" s="6" t="n">
        <f aca="false">IF(AND($A269="",$B269=""),9999999+(ROW()-4),VALUE(LEFT($W269,1))*10000+(ROW()-4))</f>
        <v>10000264</v>
      </c>
    </row>
    <row r="270" customFormat="false" ht="15" hidden="false" customHeight="true" outlineLevel="0" collapsed="false">
      <c r="A270" s="6"/>
      <c r="B270" s="6"/>
      <c r="C270" s="6"/>
      <c r="D270" s="6"/>
      <c r="E270" s="6"/>
      <c r="F270" s="7"/>
      <c r="G270" s="6"/>
      <c r="H270" s="6"/>
      <c r="I270" s="7"/>
      <c r="J270" s="6"/>
      <c r="K270" s="7"/>
      <c r="L270" s="6"/>
      <c r="M270" s="6"/>
      <c r="N270" s="7"/>
      <c r="O270" s="6"/>
      <c r="P270" s="6"/>
      <c r="Q270" s="7"/>
      <c r="R270" s="6" t="str">
        <f aca="false">IF(AND($A270="",$B270=""),"",IF(Q270="Complete","Onboarded",IF(OR(M270="Member",M270="Ambassador"),"Sponsored",IF(K270&lt;&gt;"","Follow-Up",IF(I270&lt;&gt;"","Presented",IF(F270&lt;&gt;"","Contacted","New Lead"))))))</f>
        <v/>
      </c>
      <c r="S270" s="6"/>
      <c r="T270" s="6" t="str">
        <f aca="true">IF(MAX(F270,I270,K270)=0,"",TODAY()-MAX(F270,I270,K270))</f>
        <v/>
      </c>
      <c r="U270" s="6"/>
      <c r="V270" s="6"/>
      <c r="W270" s="6" t="str">
        <f aca="false">IF(AND($A270="",$B270=""),"",IF(M270="Ambassador","1 - Ambassador",IF(M270="Member","2 - Member",IF(J270="Completed","3 - Presented",IF(H270&lt;&gt;"","4 - Shared",IF(F270&lt;&gt;"","5 - Contacted","6 - No Activity"))))))</f>
        <v/>
      </c>
      <c r="X270" s="6" t="n">
        <f aca="false">IF(AND($A270="",$B270=""),9999999+(ROW()-4),VALUE(LEFT($W270,1))*10000+(ROW()-4))</f>
        <v>10000265</v>
      </c>
    </row>
    <row r="271" customFormat="false" ht="15" hidden="false" customHeight="true" outlineLevel="0" collapsed="false">
      <c r="A271" s="6"/>
      <c r="B271" s="6"/>
      <c r="C271" s="6"/>
      <c r="D271" s="6"/>
      <c r="E271" s="6"/>
      <c r="F271" s="7"/>
      <c r="G271" s="6"/>
      <c r="H271" s="6"/>
      <c r="I271" s="7"/>
      <c r="J271" s="6"/>
      <c r="K271" s="7"/>
      <c r="L271" s="6"/>
      <c r="M271" s="6"/>
      <c r="N271" s="7"/>
      <c r="O271" s="6"/>
      <c r="P271" s="6"/>
      <c r="Q271" s="7"/>
      <c r="R271" s="6" t="str">
        <f aca="false">IF(AND($A271="",$B271=""),"",IF(Q271="Complete","Onboarded",IF(OR(M271="Member",M271="Ambassador"),"Sponsored",IF(K271&lt;&gt;"","Follow-Up",IF(I271&lt;&gt;"","Presented",IF(F271&lt;&gt;"","Contacted","New Lead"))))))</f>
        <v/>
      </c>
      <c r="S271" s="6"/>
      <c r="T271" s="6" t="str">
        <f aca="true">IF(MAX(F271,I271,K271)=0,"",TODAY()-MAX(F271,I271,K271))</f>
        <v/>
      </c>
      <c r="U271" s="6"/>
      <c r="V271" s="6"/>
      <c r="W271" s="6" t="str">
        <f aca="false">IF(AND($A271="",$B271=""),"",IF(M271="Ambassador","1 - Ambassador",IF(M271="Member","2 - Member",IF(J271="Completed","3 - Presented",IF(H271&lt;&gt;"","4 - Shared",IF(F271&lt;&gt;"","5 - Contacted","6 - No Activity"))))))</f>
        <v/>
      </c>
      <c r="X271" s="6" t="n">
        <f aca="false">IF(AND($A271="",$B271=""),9999999+(ROW()-4),VALUE(LEFT($W271,1))*10000+(ROW()-4))</f>
        <v>10000266</v>
      </c>
    </row>
    <row r="272" customFormat="false" ht="15" hidden="false" customHeight="true" outlineLevel="0" collapsed="false">
      <c r="A272" s="6"/>
      <c r="B272" s="6"/>
      <c r="C272" s="6"/>
      <c r="D272" s="6"/>
      <c r="E272" s="6"/>
      <c r="F272" s="7"/>
      <c r="G272" s="6"/>
      <c r="H272" s="6"/>
      <c r="I272" s="7"/>
      <c r="J272" s="6"/>
      <c r="K272" s="7"/>
      <c r="L272" s="6"/>
      <c r="M272" s="6"/>
      <c r="N272" s="7"/>
      <c r="O272" s="6"/>
      <c r="P272" s="6"/>
      <c r="Q272" s="7"/>
      <c r="R272" s="6" t="str">
        <f aca="false">IF(AND($A272="",$B272=""),"",IF(Q272="Complete","Onboarded",IF(OR(M272="Member",M272="Ambassador"),"Sponsored",IF(K272&lt;&gt;"","Follow-Up",IF(I272&lt;&gt;"","Presented",IF(F272&lt;&gt;"","Contacted","New Lead"))))))</f>
        <v/>
      </c>
      <c r="S272" s="6"/>
      <c r="T272" s="6" t="str">
        <f aca="true">IF(MAX(F272,I272,K272)=0,"",TODAY()-MAX(F272,I272,K272))</f>
        <v/>
      </c>
      <c r="U272" s="6"/>
      <c r="V272" s="6"/>
      <c r="W272" s="6" t="str">
        <f aca="false">IF(AND($A272="",$B272=""),"",IF(M272="Ambassador","1 - Ambassador",IF(M272="Member","2 - Member",IF(J272="Completed","3 - Presented",IF(H272&lt;&gt;"","4 - Shared",IF(F272&lt;&gt;"","5 - Contacted","6 - No Activity"))))))</f>
        <v/>
      </c>
      <c r="X272" s="6" t="n">
        <f aca="false">IF(AND($A272="",$B272=""),9999999+(ROW()-4),VALUE(LEFT($W272,1))*10000+(ROW()-4))</f>
        <v>10000267</v>
      </c>
    </row>
    <row r="273" customFormat="false" ht="15" hidden="false" customHeight="true" outlineLevel="0" collapsed="false">
      <c r="A273" s="6"/>
      <c r="B273" s="6"/>
      <c r="C273" s="6"/>
      <c r="D273" s="6"/>
      <c r="E273" s="6"/>
      <c r="F273" s="7"/>
      <c r="G273" s="6"/>
      <c r="H273" s="6"/>
      <c r="I273" s="7"/>
      <c r="J273" s="6"/>
      <c r="K273" s="7"/>
      <c r="L273" s="6"/>
      <c r="M273" s="6"/>
      <c r="N273" s="7"/>
      <c r="O273" s="6"/>
      <c r="P273" s="6"/>
      <c r="Q273" s="7"/>
      <c r="R273" s="6" t="str">
        <f aca="false">IF(AND($A273="",$B273=""),"",IF(Q273="Complete","Onboarded",IF(OR(M273="Member",M273="Ambassador"),"Sponsored",IF(K273&lt;&gt;"","Follow-Up",IF(I273&lt;&gt;"","Presented",IF(F273&lt;&gt;"","Contacted","New Lead"))))))</f>
        <v/>
      </c>
      <c r="S273" s="6"/>
      <c r="T273" s="6" t="str">
        <f aca="true">IF(MAX(F273,I273,K273)=0,"",TODAY()-MAX(F273,I273,K273))</f>
        <v/>
      </c>
      <c r="U273" s="6"/>
      <c r="V273" s="6"/>
      <c r="W273" s="6" t="str">
        <f aca="false">IF(AND($A273="",$B273=""),"",IF(M273="Ambassador","1 - Ambassador",IF(M273="Member","2 - Member",IF(J273="Completed","3 - Presented",IF(H273&lt;&gt;"","4 - Shared",IF(F273&lt;&gt;"","5 - Contacted","6 - No Activity"))))))</f>
        <v/>
      </c>
      <c r="X273" s="6" t="n">
        <f aca="false">IF(AND($A273="",$B273=""),9999999+(ROW()-4),VALUE(LEFT($W273,1))*10000+(ROW()-4))</f>
        <v>10000268</v>
      </c>
    </row>
    <row r="274" customFormat="false" ht="15" hidden="false" customHeight="true" outlineLevel="0" collapsed="false">
      <c r="A274" s="6"/>
      <c r="B274" s="6"/>
      <c r="C274" s="6"/>
      <c r="D274" s="6"/>
      <c r="E274" s="6"/>
      <c r="F274" s="7"/>
      <c r="G274" s="6"/>
      <c r="H274" s="6"/>
      <c r="I274" s="7"/>
      <c r="J274" s="6"/>
      <c r="K274" s="7"/>
      <c r="L274" s="6"/>
      <c r="M274" s="6"/>
      <c r="N274" s="7"/>
      <c r="O274" s="6"/>
      <c r="P274" s="6"/>
      <c r="Q274" s="7"/>
      <c r="R274" s="6" t="str">
        <f aca="false">IF(AND($A274="",$B274=""),"",IF(Q274="Complete","Onboarded",IF(OR(M274="Member",M274="Ambassador"),"Sponsored",IF(K274&lt;&gt;"","Follow-Up",IF(I274&lt;&gt;"","Presented",IF(F274&lt;&gt;"","Contacted","New Lead"))))))</f>
        <v/>
      </c>
      <c r="S274" s="6"/>
      <c r="T274" s="6" t="str">
        <f aca="true">IF(MAX(F274,I274,K274)=0,"",TODAY()-MAX(F274,I274,K274))</f>
        <v/>
      </c>
      <c r="U274" s="6"/>
      <c r="V274" s="6"/>
      <c r="W274" s="6" t="str">
        <f aca="false">IF(AND($A274="",$B274=""),"",IF(M274="Ambassador","1 - Ambassador",IF(M274="Member","2 - Member",IF(J274="Completed","3 - Presented",IF(H274&lt;&gt;"","4 - Shared",IF(F274&lt;&gt;"","5 - Contacted","6 - No Activity"))))))</f>
        <v/>
      </c>
      <c r="X274" s="6" t="n">
        <f aca="false">IF(AND($A274="",$B274=""),9999999+(ROW()-4),VALUE(LEFT($W274,1))*10000+(ROW()-4))</f>
        <v>10000269</v>
      </c>
    </row>
    <row r="275" customFormat="false" ht="15" hidden="false" customHeight="true" outlineLevel="0" collapsed="false">
      <c r="A275" s="6"/>
      <c r="B275" s="6"/>
      <c r="C275" s="6"/>
      <c r="D275" s="6"/>
      <c r="E275" s="6"/>
      <c r="F275" s="7"/>
      <c r="G275" s="6"/>
      <c r="H275" s="6"/>
      <c r="I275" s="7"/>
      <c r="J275" s="6"/>
      <c r="K275" s="7"/>
      <c r="L275" s="6"/>
      <c r="M275" s="6"/>
      <c r="N275" s="7"/>
      <c r="O275" s="6"/>
      <c r="P275" s="6"/>
      <c r="Q275" s="7"/>
      <c r="R275" s="6" t="str">
        <f aca="false">IF(AND($A275="",$B275=""),"",IF(Q275="Complete","Onboarded",IF(OR(M275="Member",M275="Ambassador"),"Sponsored",IF(K275&lt;&gt;"","Follow-Up",IF(I275&lt;&gt;"","Presented",IF(F275&lt;&gt;"","Contacted","New Lead"))))))</f>
        <v/>
      </c>
      <c r="S275" s="6"/>
      <c r="T275" s="6" t="str">
        <f aca="true">IF(MAX(F275,I275,K275)=0,"",TODAY()-MAX(F275,I275,K275))</f>
        <v/>
      </c>
      <c r="U275" s="6"/>
      <c r="V275" s="6"/>
      <c r="W275" s="6" t="str">
        <f aca="false">IF(AND($A275="",$B275=""),"",IF(M275="Ambassador","1 - Ambassador",IF(M275="Member","2 - Member",IF(J275="Completed","3 - Presented",IF(H275&lt;&gt;"","4 - Shared",IF(F275&lt;&gt;"","5 - Contacted","6 - No Activity"))))))</f>
        <v/>
      </c>
      <c r="X275" s="6" t="n">
        <f aca="false">IF(AND($A275="",$B275=""),9999999+(ROW()-4),VALUE(LEFT($W275,1))*10000+(ROW()-4))</f>
        <v>10000270</v>
      </c>
    </row>
    <row r="276" customFormat="false" ht="15" hidden="false" customHeight="true" outlineLevel="0" collapsed="false">
      <c r="A276" s="6"/>
      <c r="B276" s="6"/>
      <c r="C276" s="6"/>
      <c r="D276" s="6"/>
      <c r="E276" s="6"/>
      <c r="F276" s="7"/>
      <c r="G276" s="6"/>
      <c r="H276" s="6"/>
      <c r="I276" s="7"/>
      <c r="J276" s="6"/>
      <c r="K276" s="7"/>
      <c r="L276" s="6"/>
      <c r="M276" s="6"/>
      <c r="N276" s="7"/>
      <c r="O276" s="6"/>
      <c r="P276" s="6"/>
      <c r="Q276" s="7"/>
      <c r="R276" s="6" t="str">
        <f aca="false">IF(AND($A276="",$B276=""),"",IF(Q276="Complete","Onboarded",IF(OR(M276="Member",M276="Ambassador"),"Sponsored",IF(K276&lt;&gt;"","Follow-Up",IF(I276&lt;&gt;"","Presented",IF(F276&lt;&gt;"","Contacted","New Lead"))))))</f>
        <v/>
      </c>
      <c r="S276" s="6"/>
      <c r="T276" s="6" t="str">
        <f aca="true">IF(MAX(F276,I276,K276)=0,"",TODAY()-MAX(F276,I276,K276))</f>
        <v/>
      </c>
      <c r="U276" s="6"/>
      <c r="V276" s="6"/>
      <c r="W276" s="6" t="str">
        <f aca="false">IF(AND($A276="",$B276=""),"",IF(M276="Ambassador","1 - Ambassador",IF(M276="Member","2 - Member",IF(J276="Completed","3 - Presented",IF(H276&lt;&gt;"","4 - Shared",IF(F276&lt;&gt;"","5 - Contacted","6 - No Activity"))))))</f>
        <v/>
      </c>
      <c r="X276" s="6" t="n">
        <f aca="false">IF(AND($A276="",$B276=""),9999999+(ROW()-4),VALUE(LEFT($W276,1))*10000+(ROW()-4))</f>
        <v>10000271</v>
      </c>
    </row>
    <row r="277" customFormat="false" ht="15" hidden="false" customHeight="true" outlineLevel="0" collapsed="false">
      <c r="A277" s="6"/>
      <c r="B277" s="6"/>
      <c r="C277" s="6"/>
      <c r="D277" s="6"/>
      <c r="E277" s="6"/>
      <c r="F277" s="7"/>
      <c r="G277" s="6"/>
      <c r="H277" s="6"/>
      <c r="I277" s="7"/>
      <c r="J277" s="6"/>
      <c r="K277" s="7"/>
      <c r="L277" s="6"/>
      <c r="M277" s="6"/>
      <c r="N277" s="7"/>
      <c r="O277" s="6"/>
      <c r="P277" s="6"/>
      <c r="Q277" s="7"/>
      <c r="R277" s="6" t="str">
        <f aca="false">IF(AND($A277="",$B277=""),"",IF(Q277="Complete","Onboarded",IF(OR(M277="Member",M277="Ambassador"),"Sponsored",IF(K277&lt;&gt;"","Follow-Up",IF(I277&lt;&gt;"","Presented",IF(F277&lt;&gt;"","Contacted","New Lead"))))))</f>
        <v/>
      </c>
      <c r="S277" s="6"/>
      <c r="T277" s="6" t="str">
        <f aca="true">IF(MAX(F277,I277,K277)=0,"",TODAY()-MAX(F277,I277,K277))</f>
        <v/>
      </c>
      <c r="U277" s="6"/>
      <c r="V277" s="6"/>
      <c r="W277" s="6" t="str">
        <f aca="false">IF(AND($A277="",$B277=""),"",IF(M277="Ambassador","1 - Ambassador",IF(M277="Member","2 - Member",IF(J277="Completed","3 - Presented",IF(H277&lt;&gt;"","4 - Shared",IF(F277&lt;&gt;"","5 - Contacted","6 - No Activity"))))))</f>
        <v/>
      </c>
      <c r="X277" s="6" t="n">
        <f aca="false">IF(AND($A277="",$B277=""),9999999+(ROW()-4),VALUE(LEFT($W277,1))*10000+(ROW()-4))</f>
        <v>10000272</v>
      </c>
    </row>
    <row r="278" customFormat="false" ht="15" hidden="false" customHeight="true" outlineLevel="0" collapsed="false">
      <c r="A278" s="6"/>
      <c r="B278" s="6"/>
      <c r="C278" s="6"/>
      <c r="D278" s="6"/>
      <c r="E278" s="6"/>
      <c r="F278" s="7"/>
      <c r="G278" s="6"/>
      <c r="H278" s="6"/>
      <c r="I278" s="7"/>
      <c r="J278" s="6"/>
      <c r="K278" s="7"/>
      <c r="L278" s="6"/>
      <c r="M278" s="6"/>
      <c r="N278" s="7"/>
      <c r="O278" s="6"/>
      <c r="P278" s="6"/>
      <c r="Q278" s="7"/>
      <c r="R278" s="6" t="str">
        <f aca="false">IF(AND($A278="",$B278=""),"",IF(Q278="Complete","Onboarded",IF(OR(M278="Member",M278="Ambassador"),"Sponsored",IF(K278&lt;&gt;"","Follow-Up",IF(I278&lt;&gt;"","Presented",IF(F278&lt;&gt;"","Contacted","New Lead"))))))</f>
        <v/>
      </c>
      <c r="S278" s="6"/>
      <c r="T278" s="6" t="str">
        <f aca="true">IF(MAX(F278,I278,K278)=0,"",TODAY()-MAX(F278,I278,K278))</f>
        <v/>
      </c>
      <c r="U278" s="6"/>
      <c r="V278" s="6"/>
      <c r="W278" s="6" t="str">
        <f aca="false">IF(AND($A278="",$B278=""),"",IF(M278="Ambassador","1 - Ambassador",IF(M278="Member","2 - Member",IF(J278="Completed","3 - Presented",IF(H278&lt;&gt;"","4 - Shared",IF(F278&lt;&gt;"","5 - Contacted","6 - No Activity"))))))</f>
        <v/>
      </c>
      <c r="X278" s="6" t="n">
        <f aca="false">IF(AND($A278="",$B278=""),9999999+(ROW()-4),VALUE(LEFT($W278,1))*10000+(ROW()-4))</f>
        <v>10000273</v>
      </c>
    </row>
    <row r="279" customFormat="false" ht="15" hidden="false" customHeight="true" outlineLevel="0" collapsed="false">
      <c r="A279" s="6"/>
      <c r="B279" s="6"/>
      <c r="C279" s="6"/>
      <c r="D279" s="6"/>
      <c r="E279" s="6"/>
      <c r="F279" s="7"/>
      <c r="G279" s="6"/>
      <c r="H279" s="6"/>
      <c r="I279" s="7"/>
      <c r="J279" s="6"/>
      <c r="K279" s="7"/>
      <c r="L279" s="6"/>
      <c r="M279" s="6"/>
      <c r="N279" s="7"/>
      <c r="O279" s="6"/>
      <c r="P279" s="6"/>
      <c r="Q279" s="7"/>
      <c r="R279" s="6" t="str">
        <f aca="false">IF(AND($A279="",$B279=""),"",IF(Q279="Complete","Onboarded",IF(OR(M279="Member",M279="Ambassador"),"Sponsored",IF(K279&lt;&gt;"","Follow-Up",IF(I279&lt;&gt;"","Presented",IF(F279&lt;&gt;"","Contacted","New Lead"))))))</f>
        <v/>
      </c>
      <c r="S279" s="6"/>
      <c r="T279" s="6" t="str">
        <f aca="true">IF(MAX(F279,I279,K279)=0,"",TODAY()-MAX(F279,I279,K279))</f>
        <v/>
      </c>
      <c r="U279" s="6"/>
      <c r="V279" s="6"/>
      <c r="W279" s="6" t="str">
        <f aca="false">IF(AND($A279="",$B279=""),"",IF(M279="Ambassador","1 - Ambassador",IF(M279="Member","2 - Member",IF(J279="Completed","3 - Presented",IF(H279&lt;&gt;"","4 - Shared",IF(F279&lt;&gt;"","5 - Contacted","6 - No Activity"))))))</f>
        <v/>
      </c>
      <c r="X279" s="6" t="n">
        <f aca="false">IF(AND($A279="",$B279=""),9999999+(ROW()-4),VALUE(LEFT($W279,1))*10000+(ROW()-4))</f>
        <v>10000274</v>
      </c>
    </row>
    <row r="280" customFormat="false" ht="15" hidden="false" customHeight="true" outlineLevel="0" collapsed="false">
      <c r="A280" s="6"/>
      <c r="B280" s="6"/>
      <c r="C280" s="6"/>
      <c r="D280" s="6"/>
      <c r="E280" s="6"/>
      <c r="F280" s="7"/>
      <c r="G280" s="6"/>
      <c r="H280" s="6"/>
      <c r="I280" s="7"/>
      <c r="J280" s="6"/>
      <c r="K280" s="7"/>
      <c r="L280" s="6"/>
      <c r="M280" s="6"/>
      <c r="N280" s="7"/>
      <c r="O280" s="6"/>
      <c r="P280" s="6"/>
      <c r="Q280" s="7"/>
      <c r="R280" s="6" t="str">
        <f aca="false">IF(AND($A280="",$B280=""),"",IF(Q280="Complete","Onboarded",IF(OR(M280="Member",M280="Ambassador"),"Sponsored",IF(K280&lt;&gt;"","Follow-Up",IF(I280&lt;&gt;"","Presented",IF(F280&lt;&gt;"","Contacted","New Lead"))))))</f>
        <v/>
      </c>
      <c r="S280" s="6"/>
      <c r="T280" s="6" t="str">
        <f aca="true">IF(MAX(F280,I280,K280)=0,"",TODAY()-MAX(F280,I280,K280))</f>
        <v/>
      </c>
      <c r="U280" s="6"/>
      <c r="V280" s="6"/>
      <c r="W280" s="6" t="str">
        <f aca="false">IF(AND($A280="",$B280=""),"",IF(M280="Ambassador","1 - Ambassador",IF(M280="Member","2 - Member",IF(J280="Completed","3 - Presented",IF(H280&lt;&gt;"","4 - Shared",IF(F280&lt;&gt;"","5 - Contacted","6 - No Activity"))))))</f>
        <v/>
      </c>
      <c r="X280" s="6" t="n">
        <f aca="false">IF(AND($A280="",$B280=""),9999999+(ROW()-4),VALUE(LEFT($W280,1))*10000+(ROW()-4))</f>
        <v>10000275</v>
      </c>
    </row>
    <row r="281" customFormat="false" ht="15" hidden="false" customHeight="true" outlineLevel="0" collapsed="false">
      <c r="A281" s="6"/>
      <c r="B281" s="6"/>
      <c r="C281" s="6"/>
      <c r="D281" s="6"/>
      <c r="E281" s="6"/>
      <c r="F281" s="7"/>
      <c r="G281" s="6"/>
      <c r="H281" s="6"/>
      <c r="I281" s="7"/>
      <c r="J281" s="6"/>
      <c r="K281" s="7"/>
      <c r="L281" s="6"/>
      <c r="M281" s="6"/>
      <c r="N281" s="7"/>
      <c r="O281" s="6"/>
      <c r="P281" s="6"/>
      <c r="Q281" s="7"/>
      <c r="R281" s="6" t="str">
        <f aca="false">IF(AND($A281="",$B281=""),"",IF(Q281="Complete","Onboarded",IF(OR(M281="Member",M281="Ambassador"),"Sponsored",IF(K281&lt;&gt;"","Follow-Up",IF(I281&lt;&gt;"","Presented",IF(F281&lt;&gt;"","Contacted","New Lead"))))))</f>
        <v/>
      </c>
      <c r="S281" s="6"/>
      <c r="T281" s="6" t="str">
        <f aca="true">IF(MAX(F281,I281,K281)=0,"",TODAY()-MAX(F281,I281,K281))</f>
        <v/>
      </c>
      <c r="U281" s="6"/>
      <c r="V281" s="6"/>
      <c r="W281" s="6" t="str">
        <f aca="false">IF(AND($A281="",$B281=""),"",IF(M281="Ambassador","1 - Ambassador",IF(M281="Member","2 - Member",IF(J281="Completed","3 - Presented",IF(H281&lt;&gt;"","4 - Shared",IF(F281&lt;&gt;"","5 - Contacted","6 - No Activity"))))))</f>
        <v/>
      </c>
      <c r="X281" s="6" t="n">
        <f aca="false">IF(AND($A281="",$B281=""),9999999+(ROW()-4),VALUE(LEFT($W281,1))*10000+(ROW()-4))</f>
        <v>10000276</v>
      </c>
    </row>
    <row r="282" customFormat="false" ht="15" hidden="false" customHeight="true" outlineLevel="0" collapsed="false">
      <c r="A282" s="6"/>
      <c r="B282" s="6"/>
      <c r="C282" s="6"/>
      <c r="D282" s="6"/>
      <c r="E282" s="6"/>
      <c r="F282" s="7"/>
      <c r="G282" s="6"/>
      <c r="H282" s="6"/>
      <c r="I282" s="7"/>
      <c r="J282" s="6"/>
      <c r="K282" s="7"/>
      <c r="L282" s="6"/>
      <c r="M282" s="6"/>
      <c r="N282" s="7"/>
      <c r="O282" s="6"/>
      <c r="P282" s="6"/>
      <c r="Q282" s="7"/>
      <c r="R282" s="6" t="str">
        <f aca="false">IF(AND($A282="",$B282=""),"",IF(Q282="Complete","Onboarded",IF(OR(M282="Member",M282="Ambassador"),"Sponsored",IF(K282&lt;&gt;"","Follow-Up",IF(I282&lt;&gt;"","Presented",IF(F282&lt;&gt;"","Contacted","New Lead"))))))</f>
        <v/>
      </c>
      <c r="S282" s="6"/>
      <c r="T282" s="6" t="str">
        <f aca="true">IF(MAX(F282,I282,K282)=0,"",TODAY()-MAX(F282,I282,K282))</f>
        <v/>
      </c>
      <c r="U282" s="6"/>
      <c r="V282" s="6"/>
      <c r="W282" s="6" t="str">
        <f aca="false">IF(AND($A282="",$B282=""),"",IF(M282="Ambassador","1 - Ambassador",IF(M282="Member","2 - Member",IF(J282="Completed","3 - Presented",IF(H282&lt;&gt;"","4 - Shared",IF(F282&lt;&gt;"","5 - Contacted","6 - No Activity"))))))</f>
        <v/>
      </c>
      <c r="X282" s="6" t="n">
        <f aca="false">IF(AND($A282="",$B282=""),9999999+(ROW()-4),VALUE(LEFT($W282,1))*10000+(ROW()-4))</f>
        <v>10000277</v>
      </c>
    </row>
    <row r="283" customFormat="false" ht="15" hidden="false" customHeight="true" outlineLevel="0" collapsed="false">
      <c r="A283" s="6"/>
      <c r="B283" s="6"/>
      <c r="C283" s="6"/>
      <c r="D283" s="6"/>
      <c r="E283" s="6"/>
      <c r="F283" s="7"/>
      <c r="G283" s="6"/>
      <c r="H283" s="6"/>
      <c r="I283" s="7"/>
      <c r="J283" s="6"/>
      <c r="K283" s="7"/>
      <c r="L283" s="6"/>
      <c r="M283" s="6"/>
      <c r="N283" s="7"/>
      <c r="O283" s="6"/>
      <c r="P283" s="6"/>
      <c r="Q283" s="7"/>
      <c r="R283" s="6" t="str">
        <f aca="false">IF(AND($A283="",$B283=""),"",IF(Q283="Complete","Onboarded",IF(OR(M283="Member",M283="Ambassador"),"Sponsored",IF(K283&lt;&gt;"","Follow-Up",IF(I283&lt;&gt;"","Presented",IF(F283&lt;&gt;"","Contacted","New Lead"))))))</f>
        <v/>
      </c>
      <c r="S283" s="6"/>
      <c r="T283" s="6" t="str">
        <f aca="true">IF(MAX(F283,I283,K283)=0,"",TODAY()-MAX(F283,I283,K283))</f>
        <v/>
      </c>
      <c r="U283" s="6"/>
      <c r="V283" s="6"/>
      <c r="W283" s="6" t="str">
        <f aca="false">IF(AND($A283="",$B283=""),"",IF(M283="Ambassador","1 - Ambassador",IF(M283="Member","2 - Member",IF(J283="Completed","3 - Presented",IF(H283&lt;&gt;"","4 - Shared",IF(F283&lt;&gt;"","5 - Contacted","6 - No Activity"))))))</f>
        <v/>
      </c>
      <c r="X283" s="6" t="n">
        <f aca="false">IF(AND($A283="",$B283=""),9999999+(ROW()-4),VALUE(LEFT($W283,1))*10000+(ROW()-4))</f>
        <v>10000278</v>
      </c>
    </row>
    <row r="284" customFormat="false" ht="15" hidden="false" customHeight="true" outlineLevel="0" collapsed="false">
      <c r="A284" s="6"/>
      <c r="B284" s="6"/>
      <c r="C284" s="6"/>
      <c r="D284" s="6"/>
      <c r="E284" s="6"/>
      <c r="F284" s="7"/>
      <c r="G284" s="6"/>
      <c r="H284" s="6"/>
      <c r="I284" s="7"/>
      <c r="J284" s="6"/>
      <c r="K284" s="7"/>
      <c r="L284" s="6"/>
      <c r="M284" s="6"/>
      <c r="N284" s="7"/>
      <c r="O284" s="6"/>
      <c r="P284" s="6"/>
      <c r="Q284" s="7"/>
      <c r="R284" s="6" t="str">
        <f aca="false">IF(AND($A284="",$B284=""),"",IF(Q284="Complete","Onboarded",IF(OR(M284="Member",M284="Ambassador"),"Sponsored",IF(K284&lt;&gt;"","Follow-Up",IF(I284&lt;&gt;"","Presented",IF(F284&lt;&gt;"","Contacted","New Lead"))))))</f>
        <v/>
      </c>
      <c r="S284" s="6"/>
      <c r="T284" s="6" t="str">
        <f aca="true">IF(MAX(F284,I284,K284)=0,"",TODAY()-MAX(F284,I284,K284))</f>
        <v/>
      </c>
      <c r="U284" s="6"/>
      <c r="V284" s="6"/>
      <c r="W284" s="6" t="str">
        <f aca="false">IF(AND($A284="",$B284=""),"",IF(M284="Ambassador","1 - Ambassador",IF(M284="Member","2 - Member",IF(J284="Completed","3 - Presented",IF(H284&lt;&gt;"","4 - Shared",IF(F284&lt;&gt;"","5 - Contacted","6 - No Activity"))))))</f>
        <v/>
      </c>
      <c r="X284" s="6" t="n">
        <f aca="false">IF(AND($A284="",$B284=""),9999999+(ROW()-4),VALUE(LEFT($W284,1))*10000+(ROW()-4))</f>
        <v>10000279</v>
      </c>
    </row>
    <row r="285" customFormat="false" ht="15" hidden="false" customHeight="true" outlineLevel="0" collapsed="false">
      <c r="A285" s="6"/>
      <c r="B285" s="6"/>
      <c r="C285" s="6"/>
      <c r="D285" s="6"/>
      <c r="E285" s="6"/>
      <c r="F285" s="7"/>
      <c r="G285" s="6"/>
      <c r="H285" s="6"/>
      <c r="I285" s="7"/>
      <c r="J285" s="6"/>
      <c r="K285" s="7"/>
      <c r="L285" s="6"/>
      <c r="M285" s="6"/>
      <c r="N285" s="7"/>
      <c r="O285" s="6"/>
      <c r="P285" s="6"/>
      <c r="Q285" s="7"/>
      <c r="R285" s="6" t="str">
        <f aca="false">IF(AND($A285="",$B285=""),"",IF(Q285="Complete","Onboarded",IF(OR(M285="Member",M285="Ambassador"),"Sponsored",IF(K285&lt;&gt;"","Follow-Up",IF(I285&lt;&gt;"","Presented",IF(F285&lt;&gt;"","Contacted","New Lead"))))))</f>
        <v/>
      </c>
      <c r="S285" s="6"/>
      <c r="T285" s="6" t="str">
        <f aca="true">IF(MAX(F285,I285,K285)=0,"",TODAY()-MAX(F285,I285,K285))</f>
        <v/>
      </c>
      <c r="U285" s="6"/>
      <c r="V285" s="6"/>
      <c r="W285" s="6" t="str">
        <f aca="false">IF(AND($A285="",$B285=""),"",IF(M285="Ambassador","1 - Ambassador",IF(M285="Member","2 - Member",IF(J285="Completed","3 - Presented",IF(H285&lt;&gt;"","4 - Shared",IF(F285&lt;&gt;"","5 - Contacted","6 - No Activity"))))))</f>
        <v/>
      </c>
      <c r="X285" s="6" t="n">
        <f aca="false">IF(AND($A285="",$B285=""),9999999+(ROW()-4),VALUE(LEFT($W285,1))*10000+(ROW()-4))</f>
        <v>10000280</v>
      </c>
    </row>
    <row r="286" customFormat="false" ht="15" hidden="false" customHeight="true" outlineLevel="0" collapsed="false">
      <c r="A286" s="6"/>
      <c r="B286" s="6"/>
      <c r="C286" s="6"/>
      <c r="D286" s="6"/>
      <c r="E286" s="6"/>
      <c r="F286" s="7"/>
      <c r="G286" s="6"/>
      <c r="H286" s="6"/>
      <c r="I286" s="7"/>
      <c r="J286" s="6"/>
      <c r="K286" s="7"/>
      <c r="L286" s="6"/>
      <c r="M286" s="6"/>
      <c r="N286" s="7"/>
      <c r="O286" s="6"/>
      <c r="P286" s="6"/>
      <c r="Q286" s="7"/>
      <c r="R286" s="6" t="str">
        <f aca="false">IF(AND($A286="",$B286=""),"",IF(Q286="Complete","Onboarded",IF(OR(M286="Member",M286="Ambassador"),"Sponsored",IF(K286&lt;&gt;"","Follow-Up",IF(I286&lt;&gt;"","Presented",IF(F286&lt;&gt;"","Contacted","New Lead"))))))</f>
        <v/>
      </c>
      <c r="S286" s="6"/>
      <c r="T286" s="6" t="str">
        <f aca="true">IF(MAX(F286,I286,K286)=0,"",TODAY()-MAX(F286,I286,K286))</f>
        <v/>
      </c>
      <c r="U286" s="6"/>
      <c r="V286" s="6"/>
      <c r="W286" s="6" t="str">
        <f aca="false">IF(AND($A286="",$B286=""),"",IF(M286="Ambassador","1 - Ambassador",IF(M286="Member","2 - Member",IF(J286="Completed","3 - Presented",IF(H286&lt;&gt;"","4 - Shared",IF(F286&lt;&gt;"","5 - Contacted","6 - No Activity"))))))</f>
        <v/>
      </c>
      <c r="X286" s="6" t="n">
        <f aca="false">IF(AND($A286="",$B286=""),9999999+(ROW()-4),VALUE(LEFT($W286,1))*10000+(ROW()-4))</f>
        <v>10000281</v>
      </c>
    </row>
    <row r="287" customFormat="false" ht="15" hidden="false" customHeight="true" outlineLevel="0" collapsed="false">
      <c r="A287" s="6"/>
      <c r="B287" s="6"/>
      <c r="C287" s="6"/>
      <c r="D287" s="6"/>
      <c r="E287" s="6"/>
      <c r="F287" s="7"/>
      <c r="G287" s="6"/>
      <c r="H287" s="6"/>
      <c r="I287" s="7"/>
      <c r="J287" s="6"/>
      <c r="K287" s="7"/>
      <c r="L287" s="6"/>
      <c r="M287" s="6"/>
      <c r="N287" s="7"/>
      <c r="O287" s="6"/>
      <c r="P287" s="6"/>
      <c r="Q287" s="7"/>
      <c r="R287" s="6" t="str">
        <f aca="false">IF(AND($A287="",$B287=""),"",IF(Q287="Complete","Onboarded",IF(OR(M287="Member",M287="Ambassador"),"Sponsored",IF(K287&lt;&gt;"","Follow-Up",IF(I287&lt;&gt;"","Presented",IF(F287&lt;&gt;"","Contacted","New Lead"))))))</f>
        <v/>
      </c>
      <c r="S287" s="6"/>
      <c r="T287" s="6" t="str">
        <f aca="true">IF(MAX(F287,I287,K287)=0,"",TODAY()-MAX(F287,I287,K287))</f>
        <v/>
      </c>
      <c r="U287" s="6"/>
      <c r="V287" s="6"/>
      <c r="W287" s="6" t="str">
        <f aca="false">IF(AND($A287="",$B287=""),"",IF(M287="Ambassador","1 - Ambassador",IF(M287="Member","2 - Member",IF(J287="Completed","3 - Presented",IF(H287&lt;&gt;"","4 - Shared",IF(F287&lt;&gt;"","5 - Contacted","6 - No Activity"))))))</f>
        <v/>
      </c>
      <c r="X287" s="6" t="n">
        <f aca="false">IF(AND($A287="",$B287=""),9999999+(ROW()-4),VALUE(LEFT($W287,1))*10000+(ROW()-4))</f>
        <v>10000282</v>
      </c>
    </row>
    <row r="288" customFormat="false" ht="15" hidden="false" customHeight="true" outlineLevel="0" collapsed="false">
      <c r="A288" s="6"/>
      <c r="B288" s="6"/>
      <c r="C288" s="6"/>
      <c r="D288" s="6"/>
      <c r="E288" s="6"/>
      <c r="F288" s="7"/>
      <c r="G288" s="6"/>
      <c r="H288" s="6"/>
      <c r="I288" s="7"/>
      <c r="J288" s="6"/>
      <c r="K288" s="7"/>
      <c r="L288" s="6"/>
      <c r="M288" s="6"/>
      <c r="N288" s="7"/>
      <c r="O288" s="6"/>
      <c r="P288" s="6"/>
      <c r="Q288" s="7"/>
      <c r="R288" s="6" t="str">
        <f aca="false">IF(AND($A288="",$B288=""),"",IF(Q288="Complete","Onboarded",IF(OR(M288="Member",M288="Ambassador"),"Sponsored",IF(K288&lt;&gt;"","Follow-Up",IF(I288&lt;&gt;"","Presented",IF(F288&lt;&gt;"","Contacted","New Lead"))))))</f>
        <v/>
      </c>
      <c r="S288" s="6"/>
      <c r="T288" s="6" t="str">
        <f aca="true">IF(MAX(F288,I288,K288)=0,"",TODAY()-MAX(F288,I288,K288))</f>
        <v/>
      </c>
      <c r="U288" s="6"/>
      <c r="V288" s="6"/>
      <c r="W288" s="6" t="str">
        <f aca="false">IF(AND($A288="",$B288=""),"",IF(M288="Ambassador","1 - Ambassador",IF(M288="Member","2 - Member",IF(J288="Completed","3 - Presented",IF(H288&lt;&gt;"","4 - Shared",IF(F288&lt;&gt;"","5 - Contacted","6 - No Activity"))))))</f>
        <v/>
      </c>
      <c r="X288" s="6" t="n">
        <f aca="false">IF(AND($A288="",$B288=""),9999999+(ROW()-4),VALUE(LEFT($W288,1))*10000+(ROW()-4))</f>
        <v>10000283</v>
      </c>
    </row>
    <row r="289" customFormat="false" ht="15" hidden="false" customHeight="true" outlineLevel="0" collapsed="false">
      <c r="A289" s="6"/>
      <c r="B289" s="6"/>
      <c r="C289" s="6"/>
      <c r="D289" s="6"/>
      <c r="E289" s="6"/>
      <c r="F289" s="7"/>
      <c r="G289" s="6"/>
      <c r="H289" s="6"/>
      <c r="I289" s="7"/>
      <c r="J289" s="6"/>
      <c r="K289" s="7"/>
      <c r="L289" s="6"/>
      <c r="M289" s="6"/>
      <c r="N289" s="7"/>
      <c r="O289" s="6"/>
      <c r="P289" s="6"/>
      <c r="Q289" s="7"/>
      <c r="R289" s="6" t="str">
        <f aca="false">IF(AND($A289="",$B289=""),"",IF(Q289="Complete","Onboarded",IF(OR(M289="Member",M289="Ambassador"),"Sponsored",IF(K289&lt;&gt;"","Follow-Up",IF(I289&lt;&gt;"","Presented",IF(F289&lt;&gt;"","Contacted","New Lead"))))))</f>
        <v/>
      </c>
      <c r="S289" s="6"/>
      <c r="T289" s="6" t="str">
        <f aca="true">IF(MAX(F289,I289,K289)=0,"",TODAY()-MAX(F289,I289,K289))</f>
        <v/>
      </c>
      <c r="U289" s="6"/>
      <c r="V289" s="6"/>
      <c r="W289" s="6" t="str">
        <f aca="false">IF(AND($A289="",$B289=""),"",IF(M289="Ambassador","1 - Ambassador",IF(M289="Member","2 - Member",IF(J289="Completed","3 - Presented",IF(H289&lt;&gt;"","4 - Shared",IF(F289&lt;&gt;"","5 - Contacted","6 - No Activity"))))))</f>
        <v/>
      </c>
      <c r="X289" s="6" t="n">
        <f aca="false">IF(AND($A289="",$B289=""),9999999+(ROW()-4),VALUE(LEFT($W289,1))*10000+(ROW()-4))</f>
        <v>10000284</v>
      </c>
    </row>
    <row r="290" customFormat="false" ht="15" hidden="false" customHeight="true" outlineLevel="0" collapsed="false">
      <c r="A290" s="6"/>
      <c r="B290" s="6"/>
      <c r="C290" s="6"/>
      <c r="D290" s="6"/>
      <c r="E290" s="6"/>
      <c r="F290" s="7"/>
      <c r="G290" s="6"/>
      <c r="H290" s="6"/>
      <c r="I290" s="7"/>
      <c r="J290" s="6"/>
      <c r="K290" s="7"/>
      <c r="L290" s="6"/>
      <c r="M290" s="6"/>
      <c r="N290" s="7"/>
      <c r="O290" s="6"/>
      <c r="P290" s="6"/>
      <c r="Q290" s="7"/>
      <c r="R290" s="6" t="str">
        <f aca="false">IF(AND($A290="",$B290=""),"",IF(Q290="Complete","Onboarded",IF(OR(M290="Member",M290="Ambassador"),"Sponsored",IF(K290&lt;&gt;"","Follow-Up",IF(I290&lt;&gt;"","Presented",IF(F290&lt;&gt;"","Contacted","New Lead"))))))</f>
        <v/>
      </c>
      <c r="S290" s="6"/>
      <c r="T290" s="6" t="str">
        <f aca="true">IF(MAX(F290,I290,K290)=0,"",TODAY()-MAX(F290,I290,K290))</f>
        <v/>
      </c>
      <c r="U290" s="6"/>
      <c r="V290" s="6"/>
      <c r="W290" s="6" t="str">
        <f aca="false">IF(AND($A290="",$B290=""),"",IF(M290="Ambassador","1 - Ambassador",IF(M290="Member","2 - Member",IF(J290="Completed","3 - Presented",IF(H290&lt;&gt;"","4 - Shared",IF(F290&lt;&gt;"","5 - Contacted","6 - No Activity"))))))</f>
        <v/>
      </c>
      <c r="X290" s="6" t="n">
        <f aca="false">IF(AND($A290="",$B290=""),9999999+(ROW()-4),VALUE(LEFT($W290,1))*10000+(ROW()-4))</f>
        <v>10000285</v>
      </c>
    </row>
    <row r="291" customFormat="false" ht="15" hidden="false" customHeight="true" outlineLevel="0" collapsed="false">
      <c r="A291" s="6"/>
      <c r="B291" s="6"/>
      <c r="C291" s="6"/>
      <c r="D291" s="6"/>
      <c r="E291" s="6"/>
      <c r="F291" s="7"/>
      <c r="G291" s="6"/>
      <c r="H291" s="6"/>
      <c r="I291" s="7"/>
      <c r="J291" s="6"/>
      <c r="K291" s="7"/>
      <c r="L291" s="6"/>
      <c r="M291" s="6"/>
      <c r="N291" s="7"/>
      <c r="O291" s="6"/>
      <c r="P291" s="6"/>
      <c r="Q291" s="7"/>
      <c r="R291" s="6" t="str">
        <f aca="false">IF(AND($A291="",$B291=""),"",IF(Q291="Complete","Onboarded",IF(OR(M291="Member",M291="Ambassador"),"Sponsored",IF(K291&lt;&gt;"","Follow-Up",IF(I291&lt;&gt;"","Presented",IF(F291&lt;&gt;"","Contacted","New Lead"))))))</f>
        <v/>
      </c>
      <c r="S291" s="6"/>
      <c r="T291" s="6" t="str">
        <f aca="true">IF(MAX(F291,I291,K291)=0,"",TODAY()-MAX(F291,I291,K291))</f>
        <v/>
      </c>
      <c r="U291" s="6"/>
      <c r="V291" s="6"/>
      <c r="W291" s="6" t="str">
        <f aca="false">IF(AND($A291="",$B291=""),"",IF(M291="Ambassador","1 - Ambassador",IF(M291="Member","2 - Member",IF(J291="Completed","3 - Presented",IF(H291&lt;&gt;"","4 - Shared",IF(F291&lt;&gt;"","5 - Contacted","6 - No Activity"))))))</f>
        <v/>
      </c>
      <c r="X291" s="6" t="n">
        <f aca="false">IF(AND($A291="",$B291=""),9999999+(ROW()-4),VALUE(LEFT($W291,1))*10000+(ROW()-4))</f>
        <v>10000286</v>
      </c>
    </row>
    <row r="292" customFormat="false" ht="15" hidden="false" customHeight="true" outlineLevel="0" collapsed="false">
      <c r="A292" s="6"/>
      <c r="B292" s="6"/>
      <c r="C292" s="6"/>
      <c r="D292" s="6"/>
      <c r="E292" s="6"/>
      <c r="F292" s="7"/>
      <c r="G292" s="6"/>
      <c r="H292" s="6"/>
      <c r="I292" s="7"/>
      <c r="J292" s="6"/>
      <c r="K292" s="7"/>
      <c r="L292" s="6"/>
      <c r="M292" s="6"/>
      <c r="N292" s="7"/>
      <c r="O292" s="6"/>
      <c r="P292" s="6"/>
      <c r="Q292" s="7"/>
      <c r="R292" s="6" t="str">
        <f aca="false">IF(AND($A292="",$B292=""),"",IF(Q292="Complete","Onboarded",IF(OR(M292="Member",M292="Ambassador"),"Sponsored",IF(K292&lt;&gt;"","Follow-Up",IF(I292&lt;&gt;"","Presented",IF(F292&lt;&gt;"","Contacted","New Lead"))))))</f>
        <v/>
      </c>
      <c r="S292" s="6"/>
      <c r="T292" s="6" t="str">
        <f aca="true">IF(MAX(F292,I292,K292)=0,"",TODAY()-MAX(F292,I292,K292))</f>
        <v/>
      </c>
      <c r="U292" s="6"/>
      <c r="V292" s="6"/>
      <c r="W292" s="6" t="str">
        <f aca="false">IF(AND($A292="",$B292=""),"",IF(M292="Ambassador","1 - Ambassador",IF(M292="Member","2 - Member",IF(J292="Completed","3 - Presented",IF(H292&lt;&gt;"","4 - Shared",IF(F292&lt;&gt;"","5 - Contacted","6 - No Activity"))))))</f>
        <v/>
      </c>
      <c r="X292" s="6" t="n">
        <f aca="false">IF(AND($A292="",$B292=""),9999999+(ROW()-4),VALUE(LEFT($W292,1))*10000+(ROW()-4))</f>
        <v>10000287</v>
      </c>
    </row>
    <row r="293" customFormat="false" ht="15" hidden="false" customHeight="true" outlineLevel="0" collapsed="false">
      <c r="A293" s="6"/>
      <c r="B293" s="6"/>
      <c r="C293" s="6"/>
      <c r="D293" s="6"/>
      <c r="E293" s="6"/>
      <c r="F293" s="7"/>
      <c r="G293" s="6"/>
      <c r="H293" s="6"/>
      <c r="I293" s="7"/>
      <c r="J293" s="6"/>
      <c r="K293" s="7"/>
      <c r="L293" s="6"/>
      <c r="M293" s="6"/>
      <c r="N293" s="7"/>
      <c r="O293" s="6"/>
      <c r="P293" s="6"/>
      <c r="Q293" s="7"/>
      <c r="R293" s="6" t="str">
        <f aca="false">IF(AND($A293="",$B293=""),"",IF(Q293="Complete","Onboarded",IF(OR(M293="Member",M293="Ambassador"),"Sponsored",IF(K293&lt;&gt;"","Follow-Up",IF(I293&lt;&gt;"","Presented",IF(F293&lt;&gt;"","Contacted","New Lead"))))))</f>
        <v/>
      </c>
      <c r="S293" s="6"/>
      <c r="T293" s="6" t="str">
        <f aca="true">IF(MAX(F293,I293,K293)=0,"",TODAY()-MAX(F293,I293,K293))</f>
        <v/>
      </c>
      <c r="U293" s="6"/>
      <c r="V293" s="6"/>
      <c r="W293" s="6" t="str">
        <f aca="false">IF(AND($A293="",$B293=""),"",IF(M293="Ambassador","1 - Ambassador",IF(M293="Member","2 - Member",IF(J293="Completed","3 - Presented",IF(H293&lt;&gt;"","4 - Shared",IF(F293&lt;&gt;"","5 - Contacted","6 - No Activity"))))))</f>
        <v/>
      </c>
      <c r="X293" s="6" t="n">
        <f aca="false">IF(AND($A293="",$B293=""),9999999+(ROW()-4),VALUE(LEFT($W293,1))*10000+(ROW()-4))</f>
        <v>10000288</v>
      </c>
    </row>
    <row r="294" customFormat="false" ht="15" hidden="false" customHeight="true" outlineLevel="0" collapsed="false">
      <c r="A294" s="6"/>
      <c r="B294" s="6"/>
      <c r="C294" s="6"/>
      <c r="D294" s="6"/>
      <c r="E294" s="6"/>
      <c r="F294" s="7"/>
      <c r="G294" s="6"/>
      <c r="H294" s="6"/>
      <c r="I294" s="7"/>
      <c r="J294" s="6"/>
      <c r="K294" s="7"/>
      <c r="L294" s="6"/>
      <c r="M294" s="6"/>
      <c r="N294" s="7"/>
      <c r="O294" s="6"/>
      <c r="P294" s="6"/>
      <c r="Q294" s="7"/>
      <c r="R294" s="6" t="str">
        <f aca="false">IF(AND($A294="",$B294=""),"",IF(Q294="Complete","Onboarded",IF(OR(M294="Member",M294="Ambassador"),"Sponsored",IF(K294&lt;&gt;"","Follow-Up",IF(I294&lt;&gt;"","Presented",IF(F294&lt;&gt;"","Contacted","New Lead"))))))</f>
        <v/>
      </c>
      <c r="S294" s="6"/>
      <c r="T294" s="6" t="str">
        <f aca="true">IF(MAX(F294,I294,K294)=0,"",TODAY()-MAX(F294,I294,K294))</f>
        <v/>
      </c>
      <c r="U294" s="6"/>
      <c r="V294" s="6"/>
      <c r="W294" s="6" t="str">
        <f aca="false">IF(AND($A294="",$B294=""),"",IF(M294="Ambassador","1 - Ambassador",IF(M294="Member","2 - Member",IF(J294="Completed","3 - Presented",IF(H294&lt;&gt;"","4 - Shared",IF(F294&lt;&gt;"","5 - Contacted","6 - No Activity"))))))</f>
        <v/>
      </c>
      <c r="X294" s="6" t="n">
        <f aca="false">IF(AND($A294="",$B294=""),9999999+(ROW()-4),VALUE(LEFT($W294,1))*10000+(ROW()-4))</f>
        <v>10000289</v>
      </c>
    </row>
    <row r="295" customFormat="false" ht="15" hidden="false" customHeight="true" outlineLevel="0" collapsed="false">
      <c r="A295" s="6"/>
      <c r="B295" s="6"/>
      <c r="C295" s="6"/>
      <c r="D295" s="6"/>
      <c r="E295" s="6"/>
      <c r="F295" s="7"/>
      <c r="G295" s="6"/>
      <c r="H295" s="6"/>
      <c r="I295" s="7"/>
      <c r="J295" s="6"/>
      <c r="K295" s="7"/>
      <c r="L295" s="6"/>
      <c r="M295" s="6"/>
      <c r="N295" s="7"/>
      <c r="O295" s="6"/>
      <c r="P295" s="6"/>
      <c r="Q295" s="7"/>
      <c r="R295" s="6" t="str">
        <f aca="false">IF(AND($A295="",$B295=""),"",IF(Q295="Complete","Onboarded",IF(OR(M295="Member",M295="Ambassador"),"Sponsored",IF(K295&lt;&gt;"","Follow-Up",IF(I295&lt;&gt;"","Presented",IF(F295&lt;&gt;"","Contacted","New Lead"))))))</f>
        <v/>
      </c>
      <c r="S295" s="6"/>
      <c r="T295" s="6" t="str">
        <f aca="true">IF(MAX(F295,I295,K295)=0,"",TODAY()-MAX(F295,I295,K295))</f>
        <v/>
      </c>
      <c r="U295" s="6"/>
      <c r="V295" s="6"/>
      <c r="W295" s="6" t="str">
        <f aca="false">IF(AND($A295="",$B295=""),"",IF(M295="Ambassador","1 - Ambassador",IF(M295="Member","2 - Member",IF(J295="Completed","3 - Presented",IF(H295&lt;&gt;"","4 - Shared",IF(F295&lt;&gt;"","5 - Contacted","6 - No Activity"))))))</f>
        <v/>
      </c>
      <c r="X295" s="6" t="n">
        <f aca="false">IF(AND($A295="",$B295=""),9999999+(ROW()-4),VALUE(LEFT($W295,1))*10000+(ROW()-4))</f>
        <v>10000290</v>
      </c>
    </row>
    <row r="296" customFormat="false" ht="15" hidden="false" customHeight="true" outlineLevel="0" collapsed="false">
      <c r="A296" s="6"/>
      <c r="B296" s="6"/>
      <c r="C296" s="6"/>
      <c r="D296" s="6"/>
      <c r="E296" s="6"/>
      <c r="F296" s="7"/>
      <c r="G296" s="6"/>
      <c r="H296" s="6"/>
      <c r="I296" s="7"/>
      <c r="J296" s="6"/>
      <c r="K296" s="7"/>
      <c r="L296" s="6"/>
      <c r="M296" s="6"/>
      <c r="N296" s="7"/>
      <c r="O296" s="6"/>
      <c r="P296" s="6"/>
      <c r="Q296" s="7"/>
      <c r="R296" s="6" t="str">
        <f aca="false">IF(AND($A296="",$B296=""),"",IF(Q296="Complete","Onboarded",IF(OR(M296="Member",M296="Ambassador"),"Sponsored",IF(K296&lt;&gt;"","Follow-Up",IF(I296&lt;&gt;"","Presented",IF(F296&lt;&gt;"","Contacted","New Lead"))))))</f>
        <v/>
      </c>
      <c r="S296" s="6"/>
      <c r="T296" s="6" t="str">
        <f aca="true">IF(MAX(F296,I296,K296)=0,"",TODAY()-MAX(F296,I296,K296))</f>
        <v/>
      </c>
      <c r="U296" s="6"/>
      <c r="V296" s="6"/>
      <c r="W296" s="6" t="str">
        <f aca="false">IF(AND($A296="",$B296=""),"",IF(M296="Ambassador","1 - Ambassador",IF(M296="Member","2 - Member",IF(J296="Completed","3 - Presented",IF(H296&lt;&gt;"","4 - Shared",IF(F296&lt;&gt;"","5 - Contacted","6 - No Activity"))))))</f>
        <v/>
      </c>
      <c r="X296" s="6" t="n">
        <f aca="false">IF(AND($A296="",$B296=""),9999999+(ROW()-4),VALUE(LEFT($W296,1))*10000+(ROW()-4))</f>
        <v>10000291</v>
      </c>
    </row>
    <row r="297" customFormat="false" ht="15" hidden="false" customHeight="true" outlineLevel="0" collapsed="false">
      <c r="A297" s="6"/>
      <c r="B297" s="6"/>
      <c r="C297" s="6"/>
      <c r="D297" s="6"/>
      <c r="E297" s="6"/>
      <c r="F297" s="7"/>
      <c r="G297" s="6"/>
      <c r="H297" s="6"/>
      <c r="I297" s="7"/>
      <c r="J297" s="6"/>
      <c r="K297" s="7"/>
      <c r="L297" s="6"/>
      <c r="M297" s="6"/>
      <c r="N297" s="7"/>
      <c r="O297" s="6"/>
      <c r="P297" s="6"/>
      <c r="Q297" s="7"/>
      <c r="R297" s="6" t="str">
        <f aca="false">IF(AND($A297="",$B297=""),"",IF(Q297="Complete","Onboarded",IF(OR(M297="Member",M297="Ambassador"),"Sponsored",IF(K297&lt;&gt;"","Follow-Up",IF(I297&lt;&gt;"","Presented",IF(F297&lt;&gt;"","Contacted","New Lead"))))))</f>
        <v/>
      </c>
      <c r="S297" s="6"/>
      <c r="T297" s="6" t="str">
        <f aca="true">IF(MAX(F297,I297,K297)=0,"",TODAY()-MAX(F297,I297,K297))</f>
        <v/>
      </c>
      <c r="U297" s="6"/>
      <c r="V297" s="6"/>
      <c r="W297" s="6" t="str">
        <f aca="false">IF(AND($A297="",$B297=""),"",IF(M297="Ambassador","1 - Ambassador",IF(M297="Member","2 - Member",IF(J297="Completed","3 - Presented",IF(H297&lt;&gt;"","4 - Shared",IF(F297&lt;&gt;"","5 - Contacted","6 - No Activity"))))))</f>
        <v/>
      </c>
      <c r="X297" s="6" t="n">
        <f aca="false">IF(AND($A297="",$B297=""),9999999+(ROW()-4),VALUE(LEFT($W297,1))*10000+(ROW()-4))</f>
        <v>10000292</v>
      </c>
    </row>
    <row r="298" customFormat="false" ht="15" hidden="false" customHeight="true" outlineLevel="0" collapsed="false">
      <c r="A298" s="6"/>
      <c r="B298" s="6"/>
      <c r="C298" s="6"/>
      <c r="D298" s="6"/>
      <c r="E298" s="6"/>
      <c r="F298" s="7"/>
      <c r="G298" s="6"/>
      <c r="H298" s="6"/>
      <c r="I298" s="7"/>
      <c r="J298" s="6"/>
      <c r="K298" s="7"/>
      <c r="L298" s="6"/>
      <c r="M298" s="6"/>
      <c r="N298" s="7"/>
      <c r="O298" s="6"/>
      <c r="P298" s="6"/>
      <c r="Q298" s="7"/>
      <c r="R298" s="6" t="str">
        <f aca="false">IF(AND($A298="",$B298=""),"",IF(Q298="Complete","Onboarded",IF(OR(M298="Member",M298="Ambassador"),"Sponsored",IF(K298&lt;&gt;"","Follow-Up",IF(I298&lt;&gt;"","Presented",IF(F298&lt;&gt;"","Contacted","New Lead"))))))</f>
        <v/>
      </c>
      <c r="S298" s="6"/>
      <c r="T298" s="6" t="str">
        <f aca="true">IF(MAX(F298,I298,K298)=0,"",TODAY()-MAX(F298,I298,K298))</f>
        <v/>
      </c>
      <c r="U298" s="6"/>
      <c r="V298" s="6"/>
      <c r="W298" s="6" t="str">
        <f aca="false">IF(AND($A298="",$B298=""),"",IF(M298="Ambassador","1 - Ambassador",IF(M298="Member","2 - Member",IF(J298="Completed","3 - Presented",IF(H298&lt;&gt;"","4 - Shared",IF(F298&lt;&gt;"","5 - Contacted","6 - No Activity"))))))</f>
        <v/>
      </c>
      <c r="X298" s="6" t="n">
        <f aca="false">IF(AND($A298="",$B298=""),9999999+(ROW()-4),VALUE(LEFT($W298,1))*10000+(ROW()-4))</f>
        <v>10000293</v>
      </c>
    </row>
    <row r="299" customFormat="false" ht="15" hidden="false" customHeight="true" outlineLevel="0" collapsed="false">
      <c r="A299" s="6"/>
      <c r="B299" s="6"/>
      <c r="C299" s="6"/>
      <c r="D299" s="6"/>
      <c r="E299" s="6"/>
      <c r="F299" s="7"/>
      <c r="G299" s="6"/>
      <c r="H299" s="6"/>
      <c r="I299" s="7"/>
      <c r="J299" s="6"/>
      <c r="K299" s="7"/>
      <c r="L299" s="6"/>
      <c r="M299" s="6"/>
      <c r="N299" s="7"/>
      <c r="O299" s="6"/>
      <c r="P299" s="6"/>
      <c r="Q299" s="7"/>
      <c r="R299" s="6" t="str">
        <f aca="false">IF(AND($A299="",$B299=""),"",IF(Q299="Complete","Onboarded",IF(OR(M299="Member",M299="Ambassador"),"Sponsored",IF(K299&lt;&gt;"","Follow-Up",IF(I299&lt;&gt;"","Presented",IF(F299&lt;&gt;"","Contacted","New Lead"))))))</f>
        <v/>
      </c>
      <c r="S299" s="6"/>
      <c r="T299" s="6" t="str">
        <f aca="true">IF(MAX(F299,I299,K299)=0,"",TODAY()-MAX(F299,I299,K299))</f>
        <v/>
      </c>
      <c r="U299" s="6"/>
      <c r="V299" s="6"/>
      <c r="W299" s="6" t="str">
        <f aca="false">IF(AND($A299="",$B299=""),"",IF(M299="Ambassador","1 - Ambassador",IF(M299="Member","2 - Member",IF(J299="Completed","3 - Presented",IF(H299&lt;&gt;"","4 - Shared",IF(F299&lt;&gt;"","5 - Contacted","6 - No Activity"))))))</f>
        <v/>
      </c>
      <c r="X299" s="6" t="n">
        <f aca="false">IF(AND($A299="",$B299=""),9999999+(ROW()-4),VALUE(LEFT($W299,1))*10000+(ROW()-4))</f>
        <v>10000294</v>
      </c>
    </row>
    <row r="300" customFormat="false" ht="15" hidden="false" customHeight="true" outlineLevel="0" collapsed="false">
      <c r="A300" s="6"/>
      <c r="B300" s="6"/>
      <c r="C300" s="6"/>
      <c r="D300" s="6"/>
      <c r="E300" s="6"/>
      <c r="F300" s="7"/>
      <c r="G300" s="6"/>
      <c r="H300" s="6"/>
      <c r="I300" s="7"/>
      <c r="J300" s="6"/>
      <c r="K300" s="7"/>
      <c r="L300" s="6"/>
      <c r="M300" s="6"/>
      <c r="N300" s="7"/>
      <c r="O300" s="6"/>
      <c r="P300" s="6"/>
      <c r="Q300" s="7"/>
      <c r="R300" s="6" t="str">
        <f aca="false">IF(AND($A300="",$B300=""),"",IF(Q300="Complete","Onboarded",IF(OR(M300="Member",M300="Ambassador"),"Sponsored",IF(K300&lt;&gt;"","Follow-Up",IF(I300&lt;&gt;"","Presented",IF(F300&lt;&gt;"","Contacted","New Lead"))))))</f>
        <v/>
      </c>
      <c r="S300" s="6"/>
      <c r="T300" s="6" t="str">
        <f aca="true">IF(MAX(F300,I300,K300)=0,"",TODAY()-MAX(F300,I300,K300))</f>
        <v/>
      </c>
      <c r="U300" s="6"/>
      <c r="V300" s="6"/>
      <c r="W300" s="6" t="str">
        <f aca="false">IF(AND($A300="",$B300=""),"",IF(M300="Ambassador","1 - Ambassador",IF(M300="Member","2 - Member",IF(J300="Completed","3 - Presented",IF(H300&lt;&gt;"","4 - Shared",IF(F300&lt;&gt;"","5 - Contacted","6 - No Activity"))))))</f>
        <v/>
      </c>
      <c r="X300" s="6" t="n">
        <f aca="false">IF(AND($A300="",$B300=""),9999999+(ROW()-4),VALUE(LEFT($W300,1))*10000+(ROW()-4))</f>
        <v>10000295</v>
      </c>
    </row>
    <row r="301" customFormat="false" ht="15" hidden="false" customHeight="true" outlineLevel="0" collapsed="false">
      <c r="A301" s="6"/>
      <c r="B301" s="6"/>
      <c r="C301" s="6"/>
      <c r="D301" s="6"/>
      <c r="E301" s="6"/>
      <c r="F301" s="7"/>
      <c r="G301" s="6"/>
      <c r="H301" s="6"/>
      <c r="I301" s="7"/>
      <c r="J301" s="6"/>
      <c r="K301" s="7"/>
      <c r="L301" s="6"/>
      <c r="M301" s="6"/>
      <c r="N301" s="7"/>
      <c r="O301" s="6"/>
      <c r="P301" s="6"/>
      <c r="Q301" s="7"/>
      <c r="R301" s="6" t="str">
        <f aca="false">IF(AND($A301="",$B301=""),"",IF(Q301="Complete","Onboarded",IF(OR(M301="Member",M301="Ambassador"),"Sponsored",IF(K301&lt;&gt;"","Follow-Up",IF(I301&lt;&gt;"","Presented",IF(F301&lt;&gt;"","Contacted","New Lead"))))))</f>
        <v/>
      </c>
      <c r="S301" s="6"/>
      <c r="T301" s="6" t="str">
        <f aca="true">IF(MAX(F301,I301,K301)=0,"",TODAY()-MAX(F301,I301,K301))</f>
        <v/>
      </c>
      <c r="U301" s="6"/>
      <c r="V301" s="6"/>
      <c r="W301" s="6" t="str">
        <f aca="false">IF(AND($A301="",$B301=""),"",IF(M301="Ambassador","1 - Ambassador",IF(M301="Member","2 - Member",IF(J301="Completed","3 - Presented",IF(H301&lt;&gt;"","4 - Shared",IF(F301&lt;&gt;"","5 - Contacted","6 - No Activity"))))))</f>
        <v/>
      </c>
      <c r="X301" s="6" t="n">
        <f aca="false">IF(AND($A301="",$B301=""),9999999+(ROW()-4),VALUE(LEFT($W301,1))*10000+(ROW()-4))</f>
        <v>10000296</v>
      </c>
    </row>
    <row r="302" customFormat="false" ht="15" hidden="false" customHeight="true" outlineLevel="0" collapsed="false">
      <c r="A302" s="6"/>
      <c r="B302" s="6"/>
      <c r="C302" s="6"/>
      <c r="D302" s="6"/>
      <c r="E302" s="6"/>
      <c r="F302" s="7"/>
      <c r="G302" s="6"/>
      <c r="H302" s="6"/>
      <c r="I302" s="7"/>
      <c r="J302" s="6"/>
      <c r="K302" s="7"/>
      <c r="L302" s="6"/>
      <c r="M302" s="6"/>
      <c r="N302" s="7"/>
      <c r="O302" s="6"/>
      <c r="P302" s="6"/>
      <c r="Q302" s="7"/>
      <c r="R302" s="6" t="str">
        <f aca="false">IF(AND($A302="",$B302=""),"",IF(Q302="Complete","Onboarded",IF(OR(M302="Member",M302="Ambassador"),"Sponsored",IF(K302&lt;&gt;"","Follow-Up",IF(I302&lt;&gt;"","Presented",IF(F302&lt;&gt;"","Contacted","New Lead"))))))</f>
        <v/>
      </c>
      <c r="S302" s="6"/>
      <c r="T302" s="6" t="str">
        <f aca="true">IF(MAX(F302,I302,K302)=0,"",TODAY()-MAX(F302,I302,K302))</f>
        <v/>
      </c>
      <c r="U302" s="6"/>
      <c r="V302" s="6"/>
      <c r="W302" s="6" t="str">
        <f aca="false">IF(AND($A302="",$B302=""),"",IF(M302="Ambassador","1 - Ambassador",IF(M302="Member","2 - Member",IF(J302="Completed","3 - Presented",IF(H302&lt;&gt;"","4 - Shared",IF(F302&lt;&gt;"","5 - Contacted","6 - No Activity"))))))</f>
        <v/>
      </c>
      <c r="X302" s="6" t="n">
        <f aca="false">IF(AND($A302="",$B302=""),9999999+(ROW()-4),VALUE(LEFT($W302,1))*10000+(ROW()-4))</f>
        <v>10000297</v>
      </c>
    </row>
    <row r="303" customFormat="false" ht="15" hidden="false" customHeight="true" outlineLevel="0" collapsed="false">
      <c r="A303" s="6"/>
      <c r="B303" s="6"/>
      <c r="C303" s="6"/>
      <c r="D303" s="6"/>
      <c r="E303" s="6"/>
      <c r="F303" s="7"/>
      <c r="G303" s="6"/>
      <c r="H303" s="6"/>
      <c r="I303" s="7"/>
      <c r="J303" s="6"/>
      <c r="K303" s="7"/>
      <c r="L303" s="6"/>
      <c r="M303" s="6"/>
      <c r="N303" s="7"/>
      <c r="O303" s="6"/>
      <c r="P303" s="6"/>
      <c r="Q303" s="7"/>
      <c r="R303" s="6" t="str">
        <f aca="false">IF(AND($A303="",$B303=""),"",IF(Q303="Complete","Onboarded",IF(OR(M303="Member",M303="Ambassador"),"Sponsored",IF(K303&lt;&gt;"","Follow-Up",IF(I303&lt;&gt;"","Presented",IF(F303&lt;&gt;"","Contacted","New Lead"))))))</f>
        <v/>
      </c>
      <c r="S303" s="6"/>
      <c r="T303" s="6" t="str">
        <f aca="true">IF(MAX(F303,I303,K303)=0,"",TODAY()-MAX(F303,I303,K303))</f>
        <v/>
      </c>
      <c r="U303" s="6"/>
      <c r="V303" s="6"/>
      <c r="W303" s="6" t="str">
        <f aca="false">IF(AND($A303="",$B303=""),"",IF(M303="Ambassador","1 - Ambassador",IF(M303="Member","2 - Member",IF(J303="Completed","3 - Presented",IF(H303&lt;&gt;"","4 - Shared",IF(F303&lt;&gt;"","5 - Contacted","6 - No Activity"))))))</f>
        <v/>
      </c>
      <c r="X303" s="6" t="n">
        <f aca="false">IF(AND($A303="",$B303=""),9999999+(ROW()-4),VALUE(LEFT($W303,1))*10000+(ROW()-4))</f>
        <v>10000298</v>
      </c>
    </row>
    <row r="304" customFormat="false" ht="15" hidden="false" customHeight="true" outlineLevel="0" collapsed="false">
      <c r="A304" s="6"/>
      <c r="B304" s="6"/>
      <c r="C304" s="6"/>
      <c r="D304" s="6"/>
      <c r="E304" s="6"/>
      <c r="F304" s="7"/>
      <c r="G304" s="6"/>
      <c r="H304" s="6"/>
      <c r="I304" s="7"/>
      <c r="J304" s="6"/>
      <c r="K304" s="7"/>
      <c r="L304" s="6"/>
      <c r="M304" s="6"/>
      <c r="N304" s="7"/>
      <c r="O304" s="6"/>
      <c r="P304" s="6"/>
      <c r="Q304" s="7"/>
      <c r="R304" s="6" t="str">
        <f aca="false">IF(AND($A304="",$B304=""),"",IF(Q304="Complete","Onboarded",IF(OR(M304="Member",M304="Ambassador"),"Sponsored",IF(K304&lt;&gt;"","Follow-Up",IF(I304&lt;&gt;"","Presented",IF(F304&lt;&gt;"","Contacted","New Lead"))))))</f>
        <v/>
      </c>
      <c r="S304" s="6"/>
      <c r="T304" s="6" t="str">
        <f aca="true">IF(MAX(F304,I304,K304)=0,"",TODAY()-MAX(F304,I304,K304))</f>
        <v/>
      </c>
      <c r="U304" s="6"/>
      <c r="V304" s="6"/>
      <c r="W304" s="6" t="str">
        <f aca="false">IF(AND($A304="",$B304=""),"",IF(M304="Ambassador","1 - Ambassador",IF(M304="Member","2 - Member",IF(J304="Completed","3 - Presented",IF(H304&lt;&gt;"","4 - Shared",IF(F304&lt;&gt;"","5 - Contacted","6 - No Activity"))))))</f>
        <v/>
      </c>
      <c r="X304" s="6" t="n">
        <f aca="false">IF(AND($A304="",$B304=""),9999999+(ROW()-4),VALUE(LEFT($W304,1))*10000+(ROW()-4))</f>
        <v>10000299</v>
      </c>
    </row>
    <row r="305" customFormat="false" ht="15" hidden="false" customHeight="true" outlineLevel="0" collapsed="false">
      <c r="A305" s="6"/>
      <c r="B305" s="6"/>
      <c r="C305" s="6"/>
      <c r="D305" s="6"/>
      <c r="E305" s="6"/>
      <c r="F305" s="7"/>
      <c r="G305" s="6"/>
      <c r="H305" s="6"/>
      <c r="I305" s="7"/>
      <c r="J305" s="6"/>
      <c r="K305" s="7"/>
      <c r="L305" s="6"/>
      <c r="M305" s="6"/>
      <c r="N305" s="7"/>
      <c r="O305" s="6"/>
      <c r="P305" s="6"/>
      <c r="Q305" s="7"/>
      <c r="R305" s="6" t="str">
        <f aca="false">IF(AND($A305="",$B305=""),"",IF(Q305="Complete","Onboarded",IF(OR(M305="Member",M305="Ambassador"),"Sponsored",IF(K305&lt;&gt;"","Follow-Up",IF(I305&lt;&gt;"","Presented",IF(F305&lt;&gt;"","Contacted","New Lead"))))))</f>
        <v/>
      </c>
      <c r="S305" s="6"/>
      <c r="T305" s="6" t="str">
        <f aca="true">IF(MAX(F305,I305,K305)=0,"",TODAY()-MAX(F305,I305,K305))</f>
        <v/>
      </c>
      <c r="U305" s="6"/>
      <c r="V305" s="6"/>
      <c r="W305" s="6" t="str">
        <f aca="false">IF(AND($A305="",$B305=""),"",IF(M305="Ambassador","1 - Ambassador",IF(M305="Member","2 - Member",IF(J305="Completed","3 - Presented",IF(H305&lt;&gt;"","4 - Shared",IF(F305&lt;&gt;"","5 - Contacted","6 - No Activity"))))))</f>
        <v/>
      </c>
      <c r="X305" s="6" t="n">
        <f aca="false">IF(AND($A305="",$B305=""),9999999+(ROW()-4),VALUE(LEFT($W305,1))*10000+(ROW()-4))</f>
        <v>10000300</v>
      </c>
    </row>
    <row r="306" customFormat="false" ht="15" hidden="false" customHeight="true" outlineLevel="0" collapsed="false">
      <c r="A306" s="6"/>
      <c r="B306" s="6"/>
      <c r="C306" s="6"/>
      <c r="D306" s="6"/>
      <c r="E306" s="6"/>
      <c r="F306" s="7"/>
      <c r="G306" s="6"/>
      <c r="H306" s="6"/>
      <c r="I306" s="7"/>
      <c r="J306" s="6"/>
      <c r="K306" s="7"/>
      <c r="L306" s="6"/>
      <c r="M306" s="6"/>
      <c r="N306" s="7"/>
      <c r="O306" s="6"/>
      <c r="P306" s="6"/>
      <c r="Q306" s="7"/>
      <c r="R306" s="6" t="str">
        <f aca="false">IF(AND($A306="",$B306=""),"",IF(Q306="Complete","Onboarded",IF(OR(M306="Member",M306="Ambassador"),"Sponsored",IF(K306&lt;&gt;"","Follow-Up",IF(I306&lt;&gt;"","Presented",IF(F306&lt;&gt;"","Contacted","New Lead"))))))</f>
        <v/>
      </c>
      <c r="S306" s="6"/>
      <c r="T306" s="6" t="str">
        <f aca="true">IF(MAX(F306,I306,K306)=0,"",TODAY()-MAX(F306,I306,K306))</f>
        <v/>
      </c>
      <c r="U306" s="6"/>
      <c r="V306" s="6"/>
      <c r="W306" s="6" t="str">
        <f aca="false">IF(AND($A306="",$B306=""),"",IF(M306="Ambassador","1 - Ambassador",IF(M306="Member","2 - Member",IF(J306="Completed","3 - Presented",IF(H306&lt;&gt;"","4 - Shared",IF(F306&lt;&gt;"","5 - Contacted","6 - No Activity"))))))</f>
        <v/>
      </c>
      <c r="X306" s="6" t="n">
        <f aca="false">IF(AND($A306="",$B306=""),9999999+(ROW()-4),VALUE(LEFT($W306,1))*10000+(ROW()-4))</f>
        <v>10000301</v>
      </c>
    </row>
    <row r="307" customFormat="false" ht="15" hidden="false" customHeight="true" outlineLevel="0" collapsed="false">
      <c r="A307" s="6"/>
      <c r="B307" s="6"/>
      <c r="C307" s="6"/>
      <c r="D307" s="6"/>
      <c r="E307" s="6"/>
      <c r="F307" s="7"/>
      <c r="G307" s="6"/>
      <c r="H307" s="6"/>
      <c r="I307" s="7"/>
      <c r="J307" s="6"/>
      <c r="K307" s="7"/>
      <c r="L307" s="6"/>
      <c r="M307" s="6"/>
      <c r="N307" s="7"/>
      <c r="O307" s="6"/>
      <c r="P307" s="6"/>
      <c r="Q307" s="7"/>
      <c r="R307" s="6" t="str">
        <f aca="false">IF(AND($A307="",$B307=""),"",IF(Q307="Complete","Onboarded",IF(OR(M307="Member",M307="Ambassador"),"Sponsored",IF(K307&lt;&gt;"","Follow-Up",IF(I307&lt;&gt;"","Presented",IF(F307&lt;&gt;"","Contacted","New Lead"))))))</f>
        <v/>
      </c>
      <c r="S307" s="6"/>
      <c r="T307" s="6" t="str">
        <f aca="true">IF(MAX(F307,I307,K307)=0,"",TODAY()-MAX(F307,I307,K307))</f>
        <v/>
      </c>
      <c r="U307" s="6"/>
      <c r="V307" s="6"/>
      <c r="W307" s="6" t="str">
        <f aca="false">IF(AND($A307="",$B307=""),"",IF(M307="Ambassador","1 - Ambassador",IF(M307="Member","2 - Member",IF(J307="Completed","3 - Presented",IF(H307&lt;&gt;"","4 - Shared",IF(F307&lt;&gt;"","5 - Contacted","6 - No Activity"))))))</f>
        <v/>
      </c>
      <c r="X307" s="6" t="n">
        <f aca="false">IF(AND($A307="",$B307=""),9999999+(ROW()-4),VALUE(LEFT($W307,1))*10000+(ROW()-4))</f>
        <v>10000302</v>
      </c>
    </row>
    <row r="308" customFormat="false" ht="15" hidden="false" customHeight="true" outlineLevel="0" collapsed="false">
      <c r="A308" s="6"/>
      <c r="B308" s="6"/>
      <c r="C308" s="6"/>
      <c r="D308" s="6"/>
      <c r="E308" s="6"/>
      <c r="F308" s="7"/>
      <c r="G308" s="6"/>
      <c r="H308" s="6"/>
      <c r="I308" s="7"/>
      <c r="J308" s="6"/>
      <c r="K308" s="7"/>
      <c r="L308" s="6"/>
      <c r="M308" s="6"/>
      <c r="N308" s="7"/>
      <c r="O308" s="6"/>
      <c r="P308" s="6"/>
      <c r="Q308" s="7"/>
      <c r="R308" s="6" t="str">
        <f aca="false">IF(AND($A308="",$B308=""),"",IF(Q308="Complete","Onboarded",IF(OR(M308="Member",M308="Ambassador"),"Sponsored",IF(K308&lt;&gt;"","Follow-Up",IF(I308&lt;&gt;"","Presented",IF(F308&lt;&gt;"","Contacted","New Lead"))))))</f>
        <v/>
      </c>
      <c r="S308" s="6"/>
      <c r="T308" s="6" t="str">
        <f aca="true">IF(MAX(F308,I308,K308)=0,"",TODAY()-MAX(F308,I308,K308))</f>
        <v/>
      </c>
      <c r="U308" s="6"/>
      <c r="V308" s="6"/>
      <c r="W308" s="6" t="str">
        <f aca="false">IF(AND($A308="",$B308=""),"",IF(M308="Ambassador","1 - Ambassador",IF(M308="Member","2 - Member",IF(J308="Completed","3 - Presented",IF(H308&lt;&gt;"","4 - Shared",IF(F308&lt;&gt;"","5 - Contacted","6 - No Activity"))))))</f>
        <v/>
      </c>
      <c r="X308" s="6" t="n">
        <f aca="false">IF(AND($A308="",$B308=""),9999999+(ROW()-4),VALUE(LEFT($W308,1))*10000+(ROW()-4))</f>
        <v>10000303</v>
      </c>
    </row>
    <row r="309" customFormat="false" ht="15" hidden="false" customHeight="true" outlineLevel="0" collapsed="false">
      <c r="A309" s="6"/>
      <c r="B309" s="6"/>
      <c r="C309" s="6"/>
      <c r="D309" s="6"/>
      <c r="E309" s="6"/>
      <c r="F309" s="7"/>
      <c r="G309" s="6"/>
      <c r="H309" s="6"/>
      <c r="I309" s="7"/>
      <c r="J309" s="6"/>
      <c r="K309" s="7"/>
      <c r="L309" s="6"/>
      <c r="M309" s="6"/>
      <c r="N309" s="7"/>
      <c r="O309" s="6"/>
      <c r="P309" s="6"/>
      <c r="Q309" s="7"/>
      <c r="R309" s="6" t="str">
        <f aca="false">IF(AND($A309="",$B309=""),"",IF(Q309="Complete","Onboarded",IF(OR(M309="Member",M309="Ambassador"),"Sponsored",IF(K309&lt;&gt;"","Follow-Up",IF(I309&lt;&gt;"","Presented",IF(F309&lt;&gt;"","Contacted","New Lead"))))))</f>
        <v/>
      </c>
      <c r="S309" s="6"/>
      <c r="T309" s="6" t="str">
        <f aca="true">IF(MAX(F309,I309,K309)=0,"",TODAY()-MAX(F309,I309,K309))</f>
        <v/>
      </c>
      <c r="U309" s="6"/>
      <c r="V309" s="6"/>
      <c r="W309" s="6" t="str">
        <f aca="false">IF(AND($A309="",$B309=""),"",IF(M309="Ambassador","1 - Ambassador",IF(M309="Member","2 - Member",IF(J309="Completed","3 - Presented",IF(H309&lt;&gt;"","4 - Shared",IF(F309&lt;&gt;"","5 - Contacted","6 - No Activity"))))))</f>
        <v/>
      </c>
      <c r="X309" s="6" t="n">
        <f aca="false">IF(AND($A309="",$B309=""),9999999+(ROW()-4),VALUE(LEFT($W309,1))*10000+(ROW()-4))</f>
        <v>10000304</v>
      </c>
    </row>
    <row r="310" customFormat="false" ht="15" hidden="false" customHeight="true" outlineLevel="0" collapsed="false">
      <c r="A310" s="6"/>
      <c r="B310" s="6"/>
      <c r="C310" s="6"/>
      <c r="D310" s="6"/>
      <c r="E310" s="6"/>
      <c r="F310" s="7"/>
      <c r="G310" s="6"/>
      <c r="H310" s="6"/>
      <c r="I310" s="7"/>
      <c r="J310" s="6"/>
      <c r="K310" s="7"/>
      <c r="L310" s="6"/>
      <c r="M310" s="6"/>
      <c r="N310" s="7"/>
      <c r="O310" s="6"/>
      <c r="P310" s="6"/>
      <c r="Q310" s="7"/>
      <c r="R310" s="6" t="str">
        <f aca="false">IF(AND($A310="",$B310=""),"",IF(Q310="Complete","Onboarded",IF(OR(M310="Member",M310="Ambassador"),"Sponsored",IF(K310&lt;&gt;"","Follow-Up",IF(I310&lt;&gt;"","Presented",IF(F310&lt;&gt;"","Contacted","New Lead"))))))</f>
        <v/>
      </c>
      <c r="S310" s="6"/>
      <c r="T310" s="6" t="str">
        <f aca="true">IF(MAX(F310,I310,K310)=0,"",TODAY()-MAX(F310,I310,K310))</f>
        <v/>
      </c>
      <c r="U310" s="6"/>
      <c r="V310" s="6"/>
      <c r="W310" s="6" t="str">
        <f aca="false">IF(AND($A310="",$B310=""),"",IF(M310="Ambassador","1 - Ambassador",IF(M310="Member","2 - Member",IF(J310="Completed","3 - Presented",IF(H310&lt;&gt;"","4 - Shared",IF(F310&lt;&gt;"","5 - Contacted","6 - No Activity"))))))</f>
        <v/>
      </c>
      <c r="X310" s="6" t="n">
        <f aca="false">IF(AND($A310="",$B310=""),9999999+(ROW()-4),VALUE(LEFT($W310,1))*10000+(ROW()-4))</f>
        <v>10000305</v>
      </c>
    </row>
    <row r="311" customFormat="false" ht="15" hidden="false" customHeight="true" outlineLevel="0" collapsed="false">
      <c r="A311" s="6"/>
      <c r="B311" s="6"/>
      <c r="C311" s="6"/>
      <c r="D311" s="6"/>
      <c r="E311" s="6"/>
      <c r="F311" s="7"/>
      <c r="G311" s="6"/>
      <c r="H311" s="6"/>
      <c r="I311" s="7"/>
      <c r="J311" s="6"/>
      <c r="K311" s="7"/>
      <c r="L311" s="6"/>
      <c r="M311" s="6"/>
      <c r="N311" s="7"/>
      <c r="O311" s="6"/>
      <c r="P311" s="6"/>
      <c r="Q311" s="7"/>
      <c r="R311" s="6" t="str">
        <f aca="false">IF(AND($A311="",$B311=""),"",IF(Q311="Complete","Onboarded",IF(OR(M311="Member",M311="Ambassador"),"Sponsored",IF(K311&lt;&gt;"","Follow-Up",IF(I311&lt;&gt;"","Presented",IF(F311&lt;&gt;"","Contacted","New Lead"))))))</f>
        <v/>
      </c>
      <c r="S311" s="6"/>
      <c r="T311" s="6" t="str">
        <f aca="true">IF(MAX(F311,I311,K311)=0,"",TODAY()-MAX(F311,I311,K311))</f>
        <v/>
      </c>
      <c r="U311" s="6"/>
      <c r="V311" s="6"/>
      <c r="W311" s="6" t="str">
        <f aca="false">IF(AND($A311="",$B311=""),"",IF(M311="Ambassador","1 - Ambassador",IF(M311="Member","2 - Member",IF(J311="Completed","3 - Presented",IF(H311&lt;&gt;"","4 - Shared",IF(F311&lt;&gt;"","5 - Contacted","6 - No Activity"))))))</f>
        <v/>
      </c>
      <c r="X311" s="6" t="n">
        <f aca="false">IF(AND($A311="",$B311=""),9999999+(ROW()-4),VALUE(LEFT($W311,1))*10000+(ROW()-4))</f>
        <v>10000306</v>
      </c>
    </row>
    <row r="312" customFormat="false" ht="15" hidden="false" customHeight="true" outlineLevel="0" collapsed="false">
      <c r="A312" s="6"/>
      <c r="B312" s="6"/>
      <c r="C312" s="6"/>
      <c r="D312" s="6"/>
      <c r="E312" s="6"/>
      <c r="F312" s="7"/>
      <c r="G312" s="6"/>
      <c r="H312" s="6"/>
      <c r="I312" s="7"/>
      <c r="J312" s="6"/>
      <c r="K312" s="7"/>
      <c r="L312" s="6"/>
      <c r="M312" s="6"/>
      <c r="N312" s="7"/>
      <c r="O312" s="6"/>
      <c r="P312" s="6"/>
      <c r="Q312" s="7"/>
      <c r="R312" s="6" t="str">
        <f aca="false">IF(AND($A312="",$B312=""),"",IF(Q312="Complete","Onboarded",IF(OR(M312="Member",M312="Ambassador"),"Sponsored",IF(K312&lt;&gt;"","Follow-Up",IF(I312&lt;&gt;"","Presented",IF(F312&lt;&gt;"","Contacted","New Lead"))))))</f>
        <v/>
      </c>
      <c r="S312" s="6"/>
      <c r="T312" s="6" t="str">
        <f aca="true">IF(MAX(F312,I312,K312)=0,"",TODAY()-MAX(F312,I312,K312))</f>
        <v/>
      </c>
      <c r="U312" s="6"/>
      <c r="V312" s="6"/>
      <c r="W312" s="6" t="str">
        <f aca="false">IF(AND($A312="",$B312=""),"",IF(M312="Ambassador","1 - Ambassador",IF(M312="Member","2 - Member",IF(J312="Completed","3 - Presented",IF(H312&lt;&gt;"","4 - Shared",IF(F312&lt;&gt;"","5 - Contacted","6 - No Activity"))))))</f>
        <v/>
      </c>
      <c r="X312" s="6" t="n">
        <f aca="false">IF(AND($A312="",$B312=""),9999999+(ROW()-4),VALUE(LEFT($W312,1))*10000+(ROW()-4))</f>
        <v>10000307</v>
      </c>
    </row>
    <row r="313" customFormat="false" ht="15" hidden="false" customHeight="true" outlineLevel="0" collapsed="false">
      <c r="A313" s="6"/>
      <c r="B313" s="6"/>
      <c r="C313" s="6"/>
      <c r="D313" s="6"/>
      <c r="E313" s="6"/>
      <c r="F313" s="7"/>
      <c r="G313" s="6"/>
      <c r="H313" s="6"/>
      <c r="I313" s="7"/>
      <c r="J313" s="6"/>
      <c r="K313" s="7"/>
      <c r="L313" s="6"/>
      <c r="M313" s="6"/>
      <c r="N313" s="7"/>
      <c r="O313" s="6"/>
      <c r="P313" s="6"/>
      <c r="Q313" s="7"/>
      <c r="R313" s="6" t="str">
        <f aca="false">IF(AND($A313="",$B313=""),"",IF(Q313="Complete","Onboarded",IF(OR(M313="Member",M313="Ambassador"),"Sponsored",IF(K313&lt;&gt;"","Follow-Up",IF(I313&lt;&gt;"","Presented",IF(F313&lt;&gt;"","Contacted","New Lead"))))))</f>
        <v/>
      </c>
      <c r="S313" s="6"/>
      <c r="T313" s="6" t="str">
        <f aca="true">IF(MAX(F313,I313,K313)=0,"",TODAY()-MAX(F313,I313,K313))</f>
        <v/>
      </c>
      <c r="U313" s="6"/>
      <c r="V313" s="6"/>
      <c r="W313" s="6" t="str">
        <f aca="false">IF(AND($A313="",$B313=""),"",IF(M313="Ambassador","1 - Ambassador",IF(M313="Member","2 - Member",IF(J313="Completed","3 - Presented",IF(H313&lt;&gt;"","4 - Shared",IF(F313&lt;&gt;"","5 - Contacted","6 - No Activity"))))))</f>
        <v/>
      </c>
      <c r="X313" s="6" t="n">
        <f aca="false">IF(AND($A313="",$B313=""),9999999+(ROW()-4),VALUE(LEFT($W313,1))*10000+(ROW()-4))</f>
        <v>10000308</v>
      </c>
    </row>
    <row r="314" customFormat="false" ht="15" hidden="false" customHeight="true" outlineLevel="0" collapsed="false">
      <c r="A314" s="6"/>
      <c r="B314" s="6"/>
      <c r="C314" s="6"/>
      <c r="D314" s="6"/>
      <c r="E314" s="6"/>
      <c r="F314" s="7"/>
      <c r="G314" s="6"/>
      <c r="H314" s="6"/>
      <c r="I314" s="7"/>
      <c r="J314" s="6"/>
      <c r="K314" s="7"/>
      <c r="L314" s="6"/>
      <c r="M314" s="6"/>
      <c r="N314" s="7"/>
      <c r="O314" s="6"/>
      <c r="P314" s="6"/>
      <c r="Q314" s="7"/>
      <c r="R314" s="6" t="str">
        <f aca="false">IF(AND($A314="",$B314=""),"",IF(Q314="Complete","Onboarded",IF(OR(M314="Member",M314="Ambassador"),"Sponsored",IF(K314&lt;&gt;"","Follow-Up",IF(I314&lt;&gt;"","Presented",IF(F314&lt;&gt;"","Contacted","New Lead"))))))</f>
        <v/>
      </c>
      <c r="S314" s="6"/>
      <c r="T314" s="6" t="str">
        <f aca="true">IF(MAX(F314,I314,K314)=0,"",TODAY()-MAX(F314,I314,K314))</f>
        <v/>
      </c>
      <c r="U314" s="6"/>
      <c r="V314" s="6"/>
      <c r="W314" s="6" t="str">
        <f aca="false">IF(AND($A314="",$B314=""),"",IF(M314="Ambassador","1 - Ambassador",IF(M314="Member","2 - Member",IF(J314="Completed","3 - Presented",IF(H314&lt;&gt;"","4 - Shared",IF(F314&lt;&gt;"","5 - Contacted","6 - No Activity"))))))</f>
        <v/>
      </c>
      <c r="X314" s="6" t="n">
        <f aca="false">IF(AND($A314="",$B314=""),9999999+(ROW()-4),VALUE(LEFT($W314,1))*10000+(ROW()-4))</f>
        <v>10000309</v>
      </c>
    </row>
    <row r="315" customFormat="false" ht="15" hidden="false" customHeight="true" outlineLevel="0" collapsed="false">
      <c r="A315" s="6"/>
      <c r="B315" s="6"/>
      <c r="C315" s="6"/>
      <c r="D315" s="6"/>
      <c r="E315" s="6"/>
      <c r="F315" s="7"/>
      <c r="G315" s="6"/>
      <c r="H315" s="6"/>
      <c r="I315" s="7"/>
      <c r="J315" s="6"/>
      <c r="K315" s="7"/>
      <c r="L315" s="6"/>
      <c r="M315" s="6"/>
      <c r="N315" s="7"/>
      <c r="O315" s="6"/>
      <c r="P315" s="6"/>
      <c r="Q315" s="7"/>
      <c r="R315" s="6" t="str">
        <f aca="false">IF(AND($A315="",$B315=""),"",IF(Q315="Complete","Onboarded",IF(OR(M315="Member",M315="Ambassador"),"Sponsored",IF(K315&lt;&gt;"","Follow-Up",IF(I315&lt;&gt;"","Presented",IF(F315&lt;&gt;"","Contacted","New Lead"))))))</f>
        <v/>
      </c>
      <c r="S315" s="6"/>
      <c r="T315" s="6" t="str">
        <f aca="true">IF(MAX(F315,I315,K315)=0,"",TODAY()-MAX(F315,I315,K315))</f>
        <v/>
      </c>
      <c r="U315" s="6"/>
      <c r="V315" s="6"/>
      <c r="W315" s="6" t="str">
        <f aca="false">IF(AND($A315="",$B315=""),"",IF(M315="Ambassador","1 - Ambassador",IF(M315="Member","2 - Member",IF(J315="Completed","3 - Presented",IF(H315&lt;&gt;"","4 - Shared",IF(F315&lt;&gt;"","5 - Contacted","6 - No Activity"))))))</f>
        <v/>
      </c>
      <c r="X315" s="6" t="n">
        <f aca="false">IF(AND($A315="",$B315=""),9999999+(ROW()-4),VALUE(LEFT($W315,1))*10000+(ROW()-4))</f>
        <v>10000310</v>
      </c>
    </row>
    <row r="316" customFormat="false" ht="15" hidden="false" customHeight="true" outlineLevel="0" collapsed="false">
      <c r="A316" s="6"/>
      <c r="B316" s="6"/>
      <c r="C316" s="6"/>
      <c r="D316" s="6"/>
      <c r="E316" s="6"/>
      <c r="F316" s="7"/>
      <c r="G316" s="6"/>
      <c r="H316" s="6"/>
      <c r="I316" s="7"/>
      <c r="J316" s="6"/>
      <c r="K316" s="7"/>
      <c r="L316" s="6"/>
      <c r="M316" s="6"/>
      <c r="N316" s="7"/>
      <c r="O316" s="6"/>
      <c r="P316" s="6"/>
      <c r="Q316" s="7"/>
      <c r="R316" s="6" t="str">
        <f aca="false">IF(AND($A316="",$B316=""),"",IF(Q316="Complete","Onboarded",IF(OR(M316="Member",M316="Ambassador"),"Sponsored",IF(K316&lt;&gt;"","Follow-Up",IF(I316&lt;&gt;"","Presented",IF(F316&lt;&gt;"","Contacted","New Lead"))))))</f>
        <v/>
      </c>
      <c r="S316" s="6"/>
      <c r="T316" s="6" t="str">
        <f aca="true">IF(MAX(F316,I316,K316)=0,"",TODAY()-MAX(F316,I316,K316))</f>
        <v/>
      </c>
      <c r="U316" s="6"/>
      <c r="V316" s="6"/>
      <c r="W316" s="6" t="str">
        <f aca="false">IF(AND($A316="",$B316=""),"",IF(M316="Ambassador","1 - Ambassador",IF(M316="Member","2 - Member",IF(J316="Completed","3 - Presented",IF(H316&lt;&gt;"","4 - Shared",IF(F316&lt;&gt;"","5 - Contacted","6 - No Activity"))))))</f>
        <v/>
      </c>
      <c r="X316" s="6" t="n">
        <f aca="false">IF(AND($A316="",$B316=""),9999999+(ROW()-4),VALUE(LEFT($W316,1))*10000+(ROW()-4))</f>
        <v>10000311</v>
      </c>
    </row>
    <row r="317" customFormat="false" ht="15" hidden="false" customHeight="true" outlineLevel="0" collapsed="false">
      <c r="A317" s="6"/>
      <c r="B317" s="6"/>
      <c r="C317" s="6"/>
      <c r="D317" s="6"/>
      <c r="E317" s="6"/>
      <c r="F317" s="7"/>
      <c r="G317" s="6"/>
      <c r="H317" s="6"/>
      <c r="I317" s="7"/>
      <c r="J317" s="6"/>
      <c r="K317" s="7"/>
      <c r="L317" s="6"/>
      <c r="M317" s="6"/>
      <c r="N317" s="7"/>
      <c r="O317" s="6"/>
      <c r="P317" s="6"/>
      <c r="Q317" s="7"/>
      <c r="R317" s="6" t="str">
        <f aca="false">IF(AND($A317="",$B317=""),"",IF(Q317="Complete","Onboarded",IF(OR(M317="Member",M317="Ambassador"),"Sponsored",IF(K317&lt;&gt;"","Follow-Up",IF(I317&lt;&gt;"","Presented",IF(F317&lt;&gt;"","Contacted","New Lead"))))))</f>
        <v/>
      </c>
      <c r="S317" s="6"/>
      <c r="T317" s="6" t="str">
        <f aca="true">IF(MAX(F317,I317,K317)=0,"",TODAY()-MAX(F317,I317,K317))</f>
        <v/>
      </c>
      <c r="U317" s="6"/>
      <c r="V317" s="6"/>
      <c r="W317" s="6" t="str">
        <f aca="false">IF(AND($A317="",$B317=""),"",IF(M317="Ambassador","1 - Ambassador",IF(M317="Member","2 - Member",IF(J317="Completed","3 - Presented",IF(H317&lt;&gt;"","4 - Shared",IF(F317&lt;&gt;"","5 - Contacted","6 - No Activity"))))))</f>
        <v/>
      </c>
      <c r="X317" s="6" t="n">
        <f aca="false">IF(AND($A317="",$B317=""),9999999+(ROW()-4),VALUE(LEFT($W317,1))*10000+(ROW()-4))</f>
        <v>10000312</v>
      </c>
    </row>
    <row r="318" customFormat="false" ht="15" hidden="false" customHeight="true" outlineLevel="0" collapsed="false">
      <c r="A318" s="6"/>
      <c r="B318" s="6"/>
      <c r="C318" s="6"/>
      <c r="D318" s="6"/>
      <c r="E318" s="6"/>
      <c r="F318" s="7"/>
      <c r="G318" s="6"/>
      <c r="H318" s="6"/>
      <c r="I318" s="7"/>
      <c r="J318" s="6"/>
      <c r="K318" s="7"/>
      <c r="L318" s="6"/>
      <c r="M318" s="6"/>
      <c r="N318" s="7"/>
      <c r="O318" s="6"/>
      <c r="P318" s="6"/>
      <c r="Q318" s="7"/>
      <c r="R318" s="6" t="str">
        <f aca="false">IF(AND($A318="",$B318=""),"",IF(Q318="Complete","Onboarded",IF(OR(M318="Member",M318="Ambassador"),"Sponsored",IF(K318&lt;&gt;"","Follow-Up",IF(I318&lt;&gt;"","Presented",IF(F318&lt;&gt;"","Contacted","New Lead"))))))</f>
        <v/>
      </c>
      <c r="S318" s="6"/>
      <c r="T318" s="6" t="str">
        <f aca="true">IF(MAX(F318,I318,K318)=0,"",TODAY()-MAX(F318,I318,K318))</f>
        <v/>
      </c>
      <c r="U318" s="6"/>
      <c r="V318" s="6"/>
      <c r="W318" s="6" t="str">
        <f aca="false">IF(AND($A318="",$B318=""),"",IF(M318="Ambassador","1 - Ambassador",IF(M318="Member","2 - Member",IF(J318="Completed","3 - Presented",IF(H318&lt;&gt;"","4 - Shared",IF(F318&lt;&gt;"","5 - Contacted","6 - No Activity"))))))</f>
        <v/>
      </c>
      <c r="X318" s="6" t="n">
        <f aca="false">IF(AND($A318="",$B318=""),9999999+(ROW()-4),VALUE(LEFT($W318,1))*10000+(ROW()-4))</f>
        <v>10000313</v>
      </c>
    </row>
    <row r="319" customFormat="false" ht="15" hidden="false" customHeight="true" outlineLevel="0" collapsed="false">
      <c r="A319" s="6"/>
      <c r="B319" s="6"/>
      <c r="C319" s="6"/>
      <c r="D319" s="6"/>
      <c r="E319" s="6"/>
      <c r="F319" s="7"/>
      <c r="G319" s="6"/>
      <c r="H319" s="6"/>
      <c r="I319" s="7"/>
      <c r="J319" s="6"/>
      <c r="K319" s="7"/>
      <c r="L319" s="6"/>
      <c r="M319" s="6"/>
      <c r="N319" s="7"/>
      <c r="O319" s="6"/>
      <c r="P319" s="6"/>
      <c r="Q319" s="7"/>
      <c r="R319" s="6" t="str">
        <f aca="false">IF(AND($A319="",$B319=""),"",IF(Q319="Complete","Onboarded",IF(OR(M319="Member",M319="Ambassador"),"Sponsored",IF(K319&lt;&gt;"","Follow-Up",IF(I319&lt;&gt;"","Presented",IF(F319&lt;&gt;"","Contacted","New Lead"))))))</f>
        <v/>
      </c>
      <c r="S319" s="6"/>
      <c r="T319" s="6" t="str">
        <f aca="true">IF(MAX(F319,I319,K319)=0,"",TODAY()-MAX(F319,I319,K319))</f>
        <v/>
      </c>
      <c r="U319" s="6"/>
      <c r="V319" s="6"/>
      <c r="W319" s="6" t="str">
        <f aca="false">IF(AND($A319="",$B319=""),"",IF(M319="Ambassador","1 - Ambassador",IF(M319="Member","2 - Member",IF(J319="Completed","3 - Presented",IF(H319&lt;&gt;"","4 - Shared",IF(F319&lt;&gt;"","5 - Contacted","6 - No Activity"))))))</f>
        <v/>
      </c>
      <c r="X319" s="6" t="n">
        <f aca="false">IF(AND($A319="",$B319=""),9999999+(ROW()-4),VALUE(LEFT($W319,1))*10000+(ROW()-4))</f>
        <v>10000314</v>
      </c>
    </row>
    <row r="320" customFormat="false" ht="15" hidden="false" customHeight="true" outlineLevel="0" collapsed="false">
      <c r="A320" s="6"/>
      <c r="B320" s="6"/>
      <c r="C320" s="6"/>
      <c r="D320" s="6"/>
      <c r="E320" s="6"/>
      <c r="F320" s="7"/>
      <c r="G320" s="6"/>
      <c r="H320" s="6"/>
      <c r="I320" s="7"/>
      <c r="J320" s="6"/>
      <c r="K320" s="7"/>
      <c r="L320" s="6"/>
      <c r="M320" s="6"/>
      <c r="N320" s="7"/>
      <c r="O320" s="6"/>
      <c r="P320" s="6"/>
      <c r="Q320" s="7"/>
      <c r="R320" s="6" t="str">
        <f aca="false">IF(AND($A320="",$B320=""),"",IF(Q320="Complete","Onboarded",IF(OR(M320="Member",M320="Ambassador"),"Sponsored",IF(K320&lt;&gt;"","Follow-Up",IF(I320&lt;&gt;"","Presented",IF(F320&lt;&gt;"","Contacted","New Lead"))))))</f>
        <v/>
      </c>
      <c r="S320" s="6"/>
      <c r="T320" s="6" t="str">
        <f aca="true">IF(MAX(F320,I320,K320)=0,"",TODAY()-MAX(F320,I320,K320))</f>
        <v/>
      </c>
      <c r="U320" s="6"/>
      <c r="V320" s="6"/>
      <c r="W320" s="6" t="str">
        <f aca="false">IF(AND($A320="",$B320=""),"",IF(M320="Ambassador","1 - Ambassador",IF(M320="Member","2 - Member",IF(J320="Completed","3 - Presented",IF(H320&lt;&gt;"","4 - Shared",IF(F320&lt;&gt;"","5 - Contacted","6 - No Activity"))))))</f>
        <v/>
      </c>
      <c r="X320" s="6" t="n">
        <f aca="false">IF(AND($A320="",$B320=""),9999999+(ROW()-4),VALUE(LEFT($W320,1))*10000+(ROW()-4))</f>
        <v>10000315</v>
      </c>
    </row>
    <row r="321" customFormat="false" ht="15" hidden="false" customHeight="true" outlineLevel="0" collapsed="false">
      <c r="A321" s="6"/>
      <c r="B321" s="6"/>
      <c r="C321" s="6"/>
      <c r="D321" s="6"/>
      <c r="E321" s="6"/>
      <c r="F321" s="7"/>
      <c r="G321" s="6"/>
      <c r="H321" s="6"/>
      <c r="I321" s="7"/>
      <c r="J321" s="6"/>
      <c r="K321" s="7"/>
      <c r="L321" s="6"/>
      <c r="M321" s="6"/>
      <c r="N321" s="7"/>
      <c r="O321" s="6"/>
      <c r="P321" s="6"/>
      <c r="Q321" s="7"/>
      <c r="R321" s="6" t="str">
        <f aca="false">IF(AND($A321="",$B321=""),"",IF(Q321="Complete","Onboarded",IF(OR(M321="Member",M321="Ambassador"),"Sponsored",IF(K321&lt;&gt;"","Follow-Up",IF(I321&lt;&gt;"","Presented",IF(F321&lt;&gt;"","Contacted","New Lead"))))))</f>
        <v/>
      </c>
      <c r="S321" s="6"/>
      <c r="T321" s="6" t="str">
        <f aca="true">IF(MAX(F321,I321,K321)=0,"",TODAY()-MAX(F321,I321,K321))</f>
        <v/>
      </c>
      <c r="U321" s="6"/>
      <c r="V321" s="6"/>
      <c r="W321" s="6" t="str">
        <f aca="false">IF(AND($A321="",$B321=""),"",IF(M321="Ambassador","1 - Ambassador",IF(M321="Member","2 - Member",IF(J321="Completed","3 - Presented",IF(H321&lt;&gt;"","4 - Shared",IF(F321&lt;&gt;"","5 - Contacted","6 - No Activity"))))))</f>
        <v/>
      </c>
      <c r="X321" s="6" t="n">
        <f aca="false">IF(AND($A321="",$B321=""),9999999+(ROW()-4),VALUE(LEFT($W321,1))*10000+(ROW()-4))</f>
        <v>10000316</v>
      </c>
    </row>
    <row r="322" customFormat="false" ht="15" hidden="false" customHeight="true" outlineLevel="0" collapsed="false">
      <c r="A322" s="6"/>
      <c r="B322" s="6"/>
      <c r="C322" s="6"/>
      <c r="D322" s="6"/>
      <c r="E322" s="6"/>
      <c r="F322" s="7"/>
      <c r="G322" s="6"/>
      <c r="H322" s="6"/>
      <c r="I322" s="7"/>
      <c r="J322" s="6"/>
      <c r="K322" s="7"/>
      <c r="L322" s="6"/>
      <c r="M322" s="6"/>
      <c r="N322" s="7"/>
      <c r="O322" s="6"/>
      <c r="P322" s="6"/>
      <c r="Q322" s="7"/>
      <c r="R322" s="6" t="str">
        <f aca="false">IF(AND($A322="",$B322=""),"",IF(Q322="Complete","Onboarded",IF(OR(M322="Member",M322="Ambassador"),"Sponsored",IF(K322&lt;&gt;"","Follow-Up",IF(I322&lt;&gt;"","Presented",IF(F322&lt;&gt;"","Contacted","New Lead"))))))</f>
        <v/>
      </c>
      <c r="S322" s="6"/>
      <c r="T322" s="6" t="str">
        <f aca="true">IF(MAX(F322,I322,K322)=0,"",TODAY()-MAX(F322,I322,K322))</f>
        <v/>
      </c>
      <c r="U322" s="6"/>
      <c r="V322" s="6"/>
      <c r="W322" s="6" t="str">
        <f aca="false">IF(AND($A322="",$B322=""),"",IF(M322="Ambassador","1 - Ambassador",IF(M322="Member","2 - Member",IF(J322="Completed","3 - Presented",IF(H322&lt;&gt;"","4 - Shared",IF(F322&lt;&gt;"","5 - Contacted","6 - No Activity"))))))</f>
        <v/>
      </c>
      <c r="X322" s="6" t="n">
        <f aca="false">IF(AND($A322="",$B322=""),9999999+(ROW()-4),VALUE(LEFT($W322,1))*10000+(ROW()-4))</f>
        <v>10000317</v>
      </c>
    </row>
    <row r="323" customFormat="false" ht="15" hidden="false" customHeight="true" outlineLevel="0" collapsed="false">
      <c r="A323" s="6"/>
      <c r="B323" s="6"/>
      <c r="C323" s="6"/>
      <c r="D323" s="6"/>
      <c r="E323" s="6"/>
      <c r="F323" s="7"/>
      <c r="G323" s="6"/>
      <c r="H323" s="6"/>
      <c r="I323" s="7"/>
      <c r="J323" s="6"/>
      <c r="K323" s="7"/>
      <c r="L323" s="6"/>
      <c r="M323" s="6"/>
      <c r="N323" s="7"/>
      <c r="O323" s="6"/>
      <c r="P323" s="6"/>
      <c r="Q323" s="7"/>
      <c r="R323" s="6" t="str">
        <f aca="false">IF(AND($A323="",$B323=""),"",IF(Q323="Complete","Onboarded",IF(OR(M323="Member",M323="Ambassador"),"Sponsored",IF(K323&lt;&gt;"","Follow-Up",IF(I323&lt;&gt;"","Presented",IF(F323&lt;&gt;"","Contacted","New Lead"))))))</f>
        <v/>
      </c>
      <c r="S323" s="6"/>
      <c r="T323" s="6" t="str">
        <f aca="true">IF(MAX(F323,I323,K323)=0,"",TODAY()-MAX(F323,I323,K323))</f>
        <v/>
      </c>
      <c r="U323" s="6"/>
      <c r="V323" s="6"/>
      <c r="W323" s="6" t="str">
        <f aca="false">IF(AND($A323="",$B323=""),"",IF(M323="Ambassador","1 - Ambassador",IF(M323="Member","2 - Member",IF(J323="Completed","3 - Presented",IF(H323&lt;&gt;"","4 - Shared",IF(F323&lt;&gt;"","5 - Contacted","6 - No Activity"))))))</f>
        <v/>
      </c>
      <c r="X323" s="6" t="n">
        <f aca="false">IF(AND($A323="",$B323=""),9999999+(ROW()-4),VALUE(LEFT($W323,1))*10000+(ROW()-4))</f>
        <v>10000318</v>
      </c>
    </row>
    <row r="324" customFormat="false" ht="15" hidden="false" customHeight="true" outlineLevel="0" collapsed="false">
      <c r="A324" s="6"/>
      <c r="B324" s="6"/>
      <c r="C324" s="6"/>
      <c r="D324" s="6"/>
      <c r="E324" s="6"/>
      <c r="F324" s="7"/>
      <c r="G324" s="6"/>
      <c r="H324" s="6"/>
      <c r="I324" s="7"/>
      <c r="J324" s="6"/>
      <c r="K324" s="7"/>
      <c r="L324" s="6"/>
      <c r="M324" s="6"/>
      <c r="N324" s="7"/>
      <c r="O324" s="6"/>
      <c r="P324" s="6"/>
      <c r="Q324" s="7"/>
      <c r="R324" s="6" t="str">
        <f aca="false">IF(AND($A324="",$B324=""),"",IF(Q324="Complete","Onboarded",IF(OR(M324="Member",M324="Ambassador"),"Sponsored",IF(K324&lt;&gt;"","Follow-Up",IF(I324&lt;&gt;"","Presented",IF(F324&lt;&gt;"","Contacted","New Lead"))))))</f>
        <v/>
      </c>
      <c r="S324" s="6"/>
      <c r="T324" s="6" t="str">
        <f aca="true">IF(MAX(F324,I324,K324)=0,"",TODAY()-MAX(F324,I324,K324))</f>
        <v/>
      </c>
      <c r="U324" s="6"/>
      <c r="V324" s="6"/>
      <c r="W324" s="6" t="str">
        <f aca="false">IF(AND($A324="",$B324=""),"",IF(M324="Ambassador","1 - Ambassador",IF(M324="Member","2 - Member",IF(J324="Completed","3 - Presented",IF(H324&lt;&gt;"","4 - Shared",IF(F324&lt;&gt;"","5 - Contacted","6 - No Activity"))))))</f>
        <v/>
      </c>
      <c r="X324" s="6" t="n">
        <f aca="false">IF(AND($A324="",$B324=""),9999999+(ROW()-4),VALUE(LEFT($W324,1))*10000+(ROW()-4))</f>
        <v>10000319</v>
      </c>
    </row>
    <row r="325" customFormat="false" ht="15" hidden="false" customHeight="true" outlineLevel="0" collapsed="false">
      <c r="A325" s="6"/>
      <c r="B325" s="6"/>
      <c r="C325" s="6"/>
      <c r="D325" s="6"/>
      <c r="E325" s="6"/>
      <c r="F325" s="7"/>
      <c r="G325" s="6"/>
      <c r="H325" s="6"/>
      <c r="I325" s="7"/>
      <c r="J325" s="6"/>
      <c r="K325" s="7"/>
      <c r="L325" s="6"/>
      <c r="M325" s="6"/>
      <c r="N325" s="7"/>
      <c r="O325" s="6"/>
      <c r="P325" s="6"/>
      <c r="Q325" s="7"/>
      <c r="R325" s="6" t="str">
        <f aca="false">IF(AND($A325="",$B325=""),"",IF(Q325="Complete","Onboarded",IF(OR(M325="Member",M325="Ambassador"),"Sponsored",IF(K325&lt;&gt;"","Follow-Up",IF(I325&lt;&gt;"","Presented",IF(F325&lt;&gt;"","Contacted","New Lead"))))))</f>
        <v/>
      </c>
      <c r="S325" s="6"/>
      <c r="T325" s="6" t="str">
        <f aca="true">IF(MAX(F325,I325,K325)=0,"",TODAY()-MAX(F325,I325,K325))</f>
        <v/>
      </c>
      <c r="U325" s="6"/>
      <c r="V325" s="6"/>
      <c r="W325" s="6" t="str">
        <f aca="false">IF(AND($A325="",$B325=""),"",IF(M325="Ambassador","1 - Ambassador",IF(M325="Member","2 - Member",IF(J325="Completed","3 - Presented",IF(H325&lt;&gt;"","4 - Shared",IF(F325&lt;&gt;"","5 - Contacted","6 - No Activity"))))))</f>
        <v/>
      </c>
      <c r="X325" s="6" t="n">
        <f aca="false">IF(AND($A325="",$B325=""),9999999+(ROW()-4),VALUE(LEFT($W325,1))*10000+(ROW()-4))</f>
        <v>10000320</v>
      </c>
    </row>
    <row r="326" customFormat="false" ht="15" hidden="false" customHeight="true" outlineLevel="0" collapsed="false">
      <c r="A326" s="6"/>
      <c r="B326" s="6"/>
      <c r="C326" s="6"/>
      <c r="D326" s="6"/>
      <c r="E326" s="6"/>
      <c r="F326" s="7"/>
      <c r="G326" s="6"/>
      <c r="H326" s="6"/>
      <c r="I326" s="7"/>
      <c r="J326" s="6"/>
      <c r="K326" s="7"/>
      <c r="L326" s="6"/>
      <c r="M326" s="6"/>
      <c r="N326" s="7"/>
      <c r="O326" s="6"/>
      <c r="P326" s="6"/>
      <c r="Q326" s="7"/>
      <c r="R326" s="6" t="str">
        <f aca="false">IF(AND($A326="",$B326=""),"",IF(Q326="Complete","Onboarded",IF(OR(M326="Member",M326="Ambassador"),"Sponsored",IF(K326&lt;&gt;"","Follow-Up",IF(I326&lt;&gt;"","Presented",IF(F326&lt;&gt;"","Contacted","New Lead"))))))</f>
        <v/>
      </c>
      <c r="S326" s="6"/>
      <c r="T326" s="6" t="str">
        <f aca="true">IF(MAX(F326,I326,K326)=0,"",TODAY()-MAX(F326,I326,K326))</f>
        <v/>
      </c>
      <c r="U326" s="6"/>
      <c r="V326" s="6"/>
      <c r="W326" s="6" t="str">
        <f aca="false">IF(AND($A326="",$B326=""),"",IF(M326="Ambassador","1 - Ambassador",IF(M326="Member","2 - Member",IF(J326="Completed","3 - Presented",IF(H326&lt;&gt;"","4 - Shared",IF(F326&lt;&gt;"","5 - Contacted","6 - No Activity"))))))</f>
        <v/>
      </c>
      <c r="X326" s="6" t="n">
        <f aca="false">IF(AND($A326="",$B326=""),9999999+(ROW()-4),VALUE(LEFT($W326,1))*10000+(ROW()-4))</f>
        <v>10000321</v>
      </c>
    </row>
    <row r="327" customFormat="false" ht="15" hidden="false" customHeight="true" outlineLevel="0" collapsed="false">
      <c r="A327" s="6"/>
      <c r="B327" s="6"/>
      <c r="C327" s="6"/>
      <c r="D327" s="6"/>
      <c r="E327" s="6"/>
      <c r="F327" s="7"/>
      <c r="G327" s="6"/>
      <c r="H327" s="6"/>
      <c r="I327" s="7"/>
      <c r="J327" s="6"/>
      <c r="K327" s="7"/>
      <c r="L327" s="6"/>
      <c r="M327" s="6"/>
      <c r="N327" s="7"/>
      <c r="O327" s="6"/>
      <c r="P327" s="6"/>
      <c r="Q327" s="7"/>
      <c r="R327" s="6" t="str">
        <f aca="false">IF(AND($A327="",$B327=""),"",IF(Q327="Complete","Onboarded",IF(OR(M327="Member",M327="Ambassador"),"Sponsored",IF(K327&lt;&gt;"","Follow-Up",IF(I327&lt;&gt;"","Presented",IF(F327&lt;&gt;"","Contacted","New Lead"))))))</f>
        <v/>
      </c>
      <c r="S327" s="6"/>
      <c r="T327" s="6" t="str">
        <f aca="true">IF(MAX(F327,I327,K327)=0,"",TODAY()-MAX(F327,I327,K327))</f>
        <v/>
      </c>
      <c r="U327" s="6"/>
      <c r="V327" s="6"/>
      <c r="W327" s="6" t="str">
        <f aca="false">IF(AND($A327="",$B327=""),"",IF(M327="Ambassador","1 - Ambassador",IF(M327="Member","2 - Member",IF(J327="Completed","3 - Presented",IF(H327&lt;&gt;"","4 - Shared",IF(F327&lt;&gt;"","5 - Contacted","6 - No Activity"))))))</f>
        <v/>
      </c>
      <c r="X327" s="6" t="n">
        <f aca="false">IF(AND($A327="",$B327=""),9999999+(ROW()-4),VALUE(LEFT($W327,1))*10000+(ROW()-4))</f>
        <v>10000322</v>
      </c>
    </row>
    <row r="328" customFormat="false" ht="15" hidden="false" customHeight="true" outlineLevel="0" collapsed="false">
      <c r="A328" s="6"/>
      <c r="B328" s="6"/>
      <c r="C328" s="6"/>
      <c r="D328" s="6"/>
      <c r="E328" s="6"/>
      <c r="F328" s="7"/>
      <c r="G328" s="6"/>
      <c r="H328" s="6"/>
      <c r="I328" s="7"/>
      <c r="J328" s="6"/>
      <c r="K328" s="7"/>
      <c r="L328" s="6"/>
      <c r="M328" s="6"/>
      <c r="N328" s="7"/>
      <c r="O328" s="6"/>
      <c r="P328" s="6"/>
      <c r="Q328" s="7"/>
      <c r="R328" s="6" t="str">
        <f aca="false">IF(AND($A328="",$B328=""),"",IF(Q328="Complete","Onboarded",IF(OR(M328="Member",M328="Ambassador"),"Sponsored",IF(K328&lt;&gt;"","Follow-Up",IF(I328&lt;&gt;"","Presented",IF(F328&lt;&gt;"","Contacted","New Lead"))))))</f>
        <v/>
      </c>
      <c r="S328" s="6"/>
      <c r="T328" s="6" t="str">
        <f aca="true">IF(MAX(F328,I328,K328)=0,"",TODAY()-MAX(F328,I328,K328))</f>
        <v/>
      </c>
      <c r="U328" s="6"/>
      <c r="V328" s="6"/>
      <c r="W328" s="6" t="str">
        <f aca="false">IF(AND($A328="",$B328=""),"",IF(M328="Ambassador","1 - Ambassador",IF(M328="Member","2 - Member",IF(J328="Completed","3 - Presented",IF(H328&lt;&gt;"","4 - Shared",IF(F328&lt;&gt;"","5 - Contacted","6 - No Activity"))))))</f>
        <v/>
      </c>
      <c r="X328" s="6" t="n">
        <f aca="false">IF(AND($A328="",$B328=""),9999999+(ROW()-4),VALUE(LEFT($W328,1))*10000+(ROW()-4))</f>
        <v>10000323</v>
      </c>
    </row>
    <row r="329" customFormat="false" ht="15" hidden="false" customHeight="true" outlineLevel="0" collapsed="false">
      <c r="A329" s="6"/>
      <c r="B329" s="6"/>
      <c r="C329" s="6"/>
      <c r="D329" s="6"/>
      <c r="E329" s="6"/>
      <c r="F329" s="7"/>
      <c r="G329" s="6"/>
      <c r="H329" s="6"/>
      <c r="I329" s="7"/>
      <c r="J329" s="6"/>
      <c r="K329" s="7"/>
      <c r="L329" s="6"/>
      <c r="M329" s="6"/>
      <c r="N329" s="7"/>
      <c r="O329" s="6"/>
      <c r="P329" s="6"/>
      <c r="Q329" s="7"/>
      <c r="R329" s="6" t="str">
        <f aca="false">IF(AND($A329="",$B329=""),"",IF(Q329="Complete","Onboarded",IF(OR(M329="Member",M329="Ambassador"),"Sponsored",IF(K329&lt;&gt;"","Follow-Up",IF(I329&lt;&gt;"","Presented",IF(F329&lt;&gt;"","Contacted","New Lead"))))))</f>
        <v/>
      </c>
      <c r="S329" s="6"/>
      <c r="T329" s="6" t="str">
        <f aca="true">IF(MAX(F329,I329,K329)=0,"",TODAY()-MAX(F329,I329,K329))</f>
        <v/>
      </c>
      <c r="U329" s="6"/>
      <c r="V329" s="6"/>
      <c r="W329" s="6" t="str">
        <f aca="false">IF(AND($A329="",$B329=""),"",IF(M329="Ambassador","1 - Ambassador",IF(M329="Member","2 - Member",IF(J329="Completed","3 - Presented",IF(H329&lt;&gt;"","4 - Shared",IF(F329&lt;&gt;"","5 - Contacted","6 - No Activity"))))))</f>
        <v/>
      </c>
      <c r="X329" s="6" t="n">
        <f aca="false">IF(AND($A329="",$B329=""),9999999+(ROW()-4),VALUE(LEFT($W329,1))*10000+(ROW()-4))</f>
        <v>10000324</v>
      </c>
    </row>
    <row r="330" customFormat="false" ht="15" hidden="false" customHeight="true" outlineLevel="0" collapsed="false">
      <c r="A330" s="6"/>
      <c r="B330" s="6"/>
      <c r="C330" s="6"/>
      <c r="D330" s="6"/>
      <c r="E330" s="6"/>
      <c r="F330" s="7"/>
      <c r="G330" s="6"/>
      <c r="H330" s="6"/>
      <c r="I330" s="7"/>
      <c r="J330" s="6"/>
      <c r="K330" s="7"/>
      <c r="L330" s="6"/>
      <c r="M330" s="6"/>
      <c r="N330" s="7"/>
      <c r="O330" s="6"/>
      <c r="P330" s="6"/>
      <c r="Q330" s="7"/>
      <c r="R330" s="6" t="str">
        <f aca="false">IF(AND($A330="",$B330=""),"",IF(Q330="Complete","Onboarded",IF(OR(M330="Member",M330="Ambassador"),"Sponsored",IF(K330&lt;&gt;"","Follow-Up",IF(I330&lt;&gt;"","Presented",IF(F330&lt;&gt;"","Contacted","New Lead"))))))</f>
        <v/>
      </c>
      <c r="S330" s="6"/>
      <c r="T330" s="6" t="str">
        <f aca="true">IF(MAX(F330,I330,K330)=0,"",TODAY()-MAX(F330,I330,K330))</f>
        <v/>
      </c>
      <c r="U330" s="6"/>
      <c r="V330" s="6"/>
      <c r="W330" s="6" t="str">
        <f aca="false">IF(AND($A330="",$B330=""),"",IF(M330="Ambassador","1 - Ambassador",IF(M330="Member","2 - Member",IF(J330="Completed","3 - Presented",IF(H330&lt;&gt;"","4 - Shared",IF(F330&lt;&gt;"","5 - Contacted","6 - No Activity"))))))</f>
        <v/>
      </c>
      <c r="X330" s="6" t="n">
        <f aca="false">IF(AND($A330="",$B330=""),9999999+(ROW()-4),VALUE(LEFT($W330,1))*10000+(ROW()-4))</f>
        <v>10000325</v>
      </c>
    </row>
    <row r="331" customFormat="false" ht="15" hidden="false" customHeight="true" outlineLevel="0" collapsed="false">
      <c r="A331" s="6"/>
      <c r="B331" s="6"/>
      <c r="C331" s="6"/>
      <c r="D331" s="6"/>
      <c r="E331" s="6"/>
      <c r="F331" s="7"/>
      <c r="G331" s="6"/>
      <c r="H331" s="6"/>
      <c r="I331" s="7"/>
      <c r="J331" s="6"/>
      <c r="K331" s="7"/>
      <c r="L331" s="6"/>
      <c r="M331" s="6"/>
      <c r="N331" s="7"/>
      <c r="O331" s="6"/>
      <c r="P331" s="6"/>
      <c r="Q331" s="7"/>
      <c r="R331" s="6" t="str">
        <f aca="false">IF(AND($A331="",$B331=""),"",IF(Q331="Complete","Onboarded",IF(OR(M331="Member",M331="Ambassador"),"Sponsored",IF(K331&lt;&gt;"","Follow-Up",IF(I331&lt;&gt;"","Presented",IF(F331&lt;&gt;"","Contacted","New Lead"))))))</f>
        <v/>
      </c>
      <c r="S331" s="6"/>
      <c r="T331" s="6" t="str">
        <f aca="true">IF(MAX(F331,I331,K331)=0,"",TODAY()-MAX(F331,I331,K331))</f>
        <v/>
      </c>
      <c r="U331" s="6"/>
      <c r="V331" s="6"/>
      <c r="W331" s="6" t="str">
        <f aca="false">IF(AND($A331="",$B331=""),"",IF(M331="Ambassador","1 - Ambassador",IF(M331="Member","2 - Member",IF(J331="Completed","3 - Presented",IF(H331&lt;&gt;"","4 - Shared",IF(F331&lt;&gt;"","5 - Contacted","6 - No Activity"))))))</f>
        <v/>
      </c>
      <c r="X331" s="6" t="n">
        <f aca="false">IF(AND($A331="",$B331=""),9999999+(ROW()-4),VALUE(LEFT($W331,1))*10000+(ROW()-4))</f>
        <v>10000326</v>
      </c>
    </row>
    <row r="332" customFormat="false" ht="15" hidden="false" customHeight="true" outlineLevel="0" collapsed="false">
      <c r="A332" s="6"/>
      <c r="B332" s="6"/>
      <c r="C332" s="6"/>
      <c r="D332" s="6"/>
      <c r="E332" s="6"/>
      <c r="F332" s="7"/>
      <c r="G332" s="6"/>
      <c r="H332" s="6"/>
      <c r="I332" s="7"/>
      <c r="J332" s="6"/>
      <c r="K332" s="7"/>
      <c r="L332" s="6"/>
      <c r="M332" s="6"/>
      <c r="N332" s="7"/>
      <c r="O332" s="6"/>
      <c r="P332" s="6"/>
      <c r="Q332" s="7"/>
      <c r="R332" s="6" t="str">
        <f aca="false">IF(AND($A332="",$B332=""),"",IF(Q332="Complete","Onboarded",IF(OR(M332="Member",M332="Ambassador"),"Sponsored",IF(K332&lt;&gt;"","Follow-Up",IF(I332&lt;&gt;"","Presented",IF(F332&lt;&gt;"","Contacted","New Lead"))))))</f>
        <v/>
      </c>
      <c r="S332" s="6"/>
      <c r="T332" s="6" t="str">
        <f aca="true">IF(MAX(F332,I332,K332)=0,"",TODAY()-MAX(F332,I332,K332))</f>
        <v/>
      </c>
      <c r="U332" s="6"/>
      <c r="V332" s="6"/>
      <c r="W332" s="6" t="str">
        <f aca="false">IF(AND($A332="",$B332=""),"",IF(M332="Ambassador","1 - Ambassador",IF(M332="Member","2 - Member",IF(J332="Completed","3 - Presented",IF(H332&lt;&gt;"","4 - Shared",IF(F332&lt;&gt;"","5 - Contacted","6 - No Activity"))))))</f>
        <v/>
      </c>
      <c r="X332" s="6" t="n">
        <f aca="false">IF(AND($A332="",$B332=""),9999999+(ROW()-4),VALUE(LEFT($W332,1))*10000+(ROW()-4))</f>
        <v>10000327</v>
      </c>
    </row>
    <row r="333" customFormat="false" ht="15" hidden="false" customHeight="true" outlineLevel="0" collapsed="false">
      <c r="A333" s="6"/>
      <c r="B333" s="6"/>
      <c r="C333" s="6"/>
      <c r="D333" s="6"/>
      <c r="E333" s="6"/>
      <c r="F333" s="7"/>
      <c r="G333" s="6"/>
      <c r="H333" s="6"/>
      <c r="I333" s="7"/>
      <c r="J333" s="6"/>
      <c r="K333" s="7"/>
      <c r="L333" s="6"/>
      <c r="M333" s="6"/>
      <c r="N333" s="7"/>
      <c r="O333" s="6"/>
      <c r="P333" s="6"/>
      <c r="Q333" s="7"/>
      <c r="R333" s="6" t="str">
        <f aca="false">IF(AND($A333="",$B333=""),"",IF(Q333="Complete","Onboarded",IF(OR(M333="Member",M333="Ambassador"),"Sponsored",IF(K333&lt;&gt;"","Follow-Up",IF(I333&lt;&gt;"","Presented",IF(F333&lt;&gt;"","Contacted","New Lead"))))))</f>
        <v/>
      </c>
      <c r="S333" s="6"/>
      <c r="T333" s="6" t="str">
        <f aca="true">IF(MAX(F333,I333,K333)=0,"",TODAY()-MAX(F333,I333,K333))</f>
        <v/>
      </c>
      <c r="U333" s="6"/>
      <c r="V333" s="6"/>
      <c r="W333" s="6" t="str">
        <f aca="false">IF(AND($A333="",$B333=""),"",IF(M333="Ambassador","1 - Ambassador",IF(M333="Member","2 - Member",IF(J333="Completed","3 - Presented",IF(H333&lt;&gt;"","4 - Shared",IF(F333&lt;&gt;"","5 - Contacted","6 - No Activity"))))))</f>
        <v/>
      </c>
      <c r="X333" s="6" t="n">
        <f aca="false">IF(AND($A333="",$B333=""),9999999+(ROW()-4),VALUE(LEFT($W333,1))*10000+(ROW()-4))</f>
        <v>10000328</v>
      </c>
    </row>
    <row r="334" customFormat="false" ht="15" hidden="false" customHeight="true" outlineLevel="0" collapsed="false">
      <c r="A334" s="6"/>
      <c r="B334" s="6"/>
      <c r="C334" s="6"/>
      <c r="D334" s="6"/>
      <c r="E334" s="6"/>
      <c r="F334" s="7"/>
      <c r="G334" s="6"/>
      <c r="H334" s="6"/>
      <c r="I334" s="7"/>
      <c r="J334" s="6"/>
      <c r="K334" s="7"/>
      <c r="L334" s="6"/>
      <c r="M334" s="6"/>
      <c r="N334" s="7"/>
      <c r="O334" s="6"/>
      <c r="P334" s="6"/>
      <c r="Q334" s="7"/>
      <c r="R334" s="6" t="str">
        <f aca="false">IF(AND($A334="",$B334=""),"",IF(Q334="Complete","Onboarded",IF(OR(M334="Member",M334="Ambassador"),"Sponsored",IF(K334&lt;&gt;"","Follow-Up",IF(I334&lt;&gt;"","Presented",IF(F334&lt;&gt;"","Contacted","New Lead"))))))</f>
        <v/>
      </c>
      <c r="S334" s="6"/>
      <c r="T334" s="6" t="str">
        <f aca="true">IF(MAX(F334,I334,K334)=0,"",TODAY()-MAX(F334,I334,K334))</f>
        <v/>
      </c>
      <c r="U334" s="6"/>
      <c r="V334" s="6"/>
      <c r="W334" s="6" t="str">
        <f aca="false">IF(AND($A334="",$B334=""),"",IF(M334="Ambassador","1 - Ambassador",IF(M334="Member","2 - Member",IF(J334="Completed","3 - Presented",IF(H334&lt;&gt;"","4 - Shared",IF(F334&lt;&gt;"","5 - Contacted","6 - No Activity"))))))</f>
        <v/>
      </c>
      <c r="X334" s="6" t="n">
        <f aca="false">IF(AND($A334="",$B334=""),9999999+(ROW()-4),VALUE(LEFT($W334,1))*10000+(ROW()-4))</f>
        <v>10000329</v>
      </c>
    </row>
    <row r="335" customFormat="false" ht="15" hidden="false" customHeight="true" outlineLevel="0" collapsed="false">
      <c r="A335" s="6"/>
      <c r="B335" s="6"/>
      <c r="C335" s="6"/>
      <c r="D335" s="6"/>
      <c r="E335" s="6"/>
      <c r="F335" s="7"/>
      <c r="G335" s="6"/>
      <c r="H335" s="6"/>
      <c r="I335" s="7"/>
      <c r="J335" s="6"/>
      <c r="K335" s="7"/>
      <c r="L335" s="6"/>
      <c r="M335" s="6"/>
      <c r="N335" s="7"/>
      <c r="O335" s="6"/>
      <c r="P335" s="6"/>
      <c r="Q335" s="7"/>
      <c r="R335" s="6" t="str">
        <f aca="false">IF(AND($A335="",$B335=""),"",IF(Q335="Complete","Onboarded",IF(OR(M335="Member",M335="Ambassador"),"Sponsored",IF(K335&lt;&gt;"","Follow-Up",IF(I335&lt;&gt;"","Presented",IF(F335&lt;&gt;"","Contacted","New Lead"))))))</f>
        <v/>
      </c>
      <c r="S335" s="6"/>
      <c r="T335" s="6" t="str">
        <f aca="true">IF(MAX(F335,I335,K335)=0,"",TODAY()-MAX(F335,I335,K335))</f>
        <v/>
      </c>
      <c r="U335" s="6"/>
      <c r="V335" s="6"/>
      <c r="W335" s="6" t="str">
        <f aca="false">IF(AND($A335="",$B335=""),"",IF(M335="Ambassador","1 - Ambassador",IF(M335="Member","2 - Member",IF(J335="Completed","3 - Presented",IF(H335&lt;&gt;"","4 - Shared",IF(F335&lt;&gt;"","5 - Contacted","6 - No Activity"))))))</f>
        <v/>
      </c>
      <c r="X335" s="6" t="n">
        <f aca="false">IF(AND($A335="",$B335=""),9999999+(ROW()-4),VALUE(LEFT($W335,1))*10000+(ROW()-4))</f>
        <v>10000330</v>
      </c>
    </row>
    <row r="336" customFormat="false" ht="15" hidden="false" customHeight="true" outlineLevel="0" collapsed="false">
      <c r="A336" s="6"/>
      <c r="B336" s="6"/>
      <c r="C336" s="6"/>
      <c r="D336" s="6"/>
      <c r="E336" s="6"/>
      <c r="F336" s="7"/>
      <c r="G336" s="6"/>
      <c r="H336" s="6"/>
      <c r="I336" s="7"/>
      <c r="J336" s="6"/>
      <c r="K336" s="7"/>
      <c r="L336" s="6"/>
      <c r="M336" s="6"/>
      <c r="N336" s="7"/>
      <c r="O336" s="6"/>
      <c r="P336" s="6"/>
      <c r="Q336" s="7"/>
      <c r="R336" s="6" t="str">
        <f aca="false">IF(AND($A336="",$B336=""),"",IF(Q336="Complete","Onboarded",IF(OR(M336="Member",M336="Ambassador"),"Sponsored",IF(K336&lt;&gt;"","Follow-Up",IF(I336&lt;&gt;"","Presented",IF(F336&lt;&gt;"","Contacted","New Lead"))))))</f>
        <v/>
      </c>
      <c r="S336" s="6"/>
      <c r="T336" s="6" t="str">
        <f aca="true">IF(MAX(F336,I336,K336)=0,"",TODAY()-MAX(F336,I336,K336))</f>
        <v/>
      </c>
      <c r="U336" s="6"/>
      <c r="V336" s="6"/>
      <c r="W336" s="6" t="str">
        <f aca="false">IF(AND($A336="",$B336=""),"",IF(M336="Ambassador","1 - Ambassador",IF(M336="Member","2 - Member",IF(J336="Completed","3 - Presented",IF(H336&lt;&gt;"","4 - Shared",IF(F336&lt;&gt;"","5 - Contacted","6 - No Activity"))))))</f>
        <v/>
      </c>
      <c r="X336" s="6" t="n">
        <f aca="false">IF(AND($A336="",$B336=""),9999999+(ROW()-4),VALUE(LEFT($W336,1))*10000+(ROW()-4))</f>
        <v>10000331</v>
      </c>
    </row>
    <row r="337" customFormat="false" ht="15" hidden="false" customHeight="true" outlineLevel="0" collapsed="false">
      <c r="A337" s="6"/>
      <c r="B337" s="6"/>
      <c r="C337" s="6"/>
      <c r="D337" s="6"/>
      <c r="E337" s="6"/>
      <c r="F337" s="7"/>
      <c r="G337" s="6"/>
      <c r="H337" s="6"/>
      <c r="I337" s="7"/>
      <c r="J337" s="6"/>
      <c r="K337" s="7"/>
      <c r="L337" s="6"/>
      <c r="M337" s="6"/>
      <c r="N337" s="7"/>
      <c r="O337" s="6"/>
      <c r="P337" s="6"/>
      <c r="Q337" s="7"/>
      <c r="R337" s="6" t="str">
        <f aca="false">IF(AND($A337="",$B337=""),"",IF(Q337="Complete","Onboarded",IF(OR(M337="Member",M337="Ambassador"),"Sponsored",IF(K337&lt;&gt;"","Follow-Up",IF(I337&lt;&gt;"","Presented",IF(F337&lt;&gt;"","Contacted","New Lead"))))))</f>
        <v/>
      </c>
      <c r="S337" s="6"/>
      <c r="T337" s="6" t="str">
        <f aca="true">IF(MAX(F337,I337,K337)=0,"",TODAY()-MAX(F337,I337,K337))</f>
        <v/>
      </c>
      <c r="U337" s="6"/>
      <c r="V337" s="6"/>
      <c r="W337" s="6" t="str">
        <f aca="false">IF(AND($A337="",$B337=""),"",IF(M337="Ambassador","1 - Ambassador",IF(M337="Member","2 - Member",IF(J337="Completed","3 - Presented",IF(H337&lt;&gt;"","4 - Shared",IF(F337&lt;&gt;"","5 - Contacted","6 - No Activity"))))))</f>
        <v/>
      </c>
      <c r="X337" s="6" t="n">
        <f aca="false">IF(AND($A337="",$B337=""),9999999+(ROW()-4),VALUE(LEFT($W337,1))*10000+(ROW()-4))</f>
        <v>10000332</v>
      </c>
    </row>
    <row r="338" customFormat="false" ht="15" hidden="false" customHeight="true" outlineLevel="0" collapsed="false">
      <c r="A338" s="6"/>
      <c r="B338" s="6"/>
      <c r="C338" s="6"/>
      <c r="D338" s="6"/>
      <c r="E338" s="6"/>
      <c r="F338" s="7"/>
      <c r="G338" s="6"/>
      <c r="H338" s="6"/>
      <c r="I338" s="7"/>
      <c r="J338" s="6"/>
      <c r="K338" s="7"/>
      <c r="L338" s="6"/>
      <c r="M338" s="6"/>
      <c r="N338" s="7"/>
      <c r="O338" s="6"/>
      <c r="P338" s="6"/>
      <c r="Q338" s="7"/>
      <c r="R338" s="6" t="str">
        <f aca="false">IF(AND($A338="",$B338=""),"",IF(Q338="Complete","Onboarded",IF(OR(M338="Member",M338="Ambassador"),"Sponsored",IF(K338&lt;&gt;"","Follow-Up",IF(I338&lt;&gt;"","Presented",IF(F338&lt;&gt;"","Contacted","New Lead"))))))</f>
        <v/>
      </c>
      <c r="S338" s="6"/>
      <c r="T338" s="6" t="str">
        <f aca="true">IF(MAX(F338,I338,K338)=0,"",TODAY()-MAX(F338,I338,K338))</f>
        <v/>
      </c>
      <c r="U338" s="6"/>
      <c r="V338" s="6"/>
      <c r="W338" s="6" t="str">
        <f aca="false">IF(AND($A338="",$B338=""),"",IF(M338="Ambassador","1 - Ambassador",IF(M338="Member","2 - Member",IF(J338="Completed","3 - Presented",IF(H338&lt;&gt;"","4 - Shared",IF(F338&lt;&gt;"","5 - Contacted","6 - No Activity"))))))</f>
        <v/>
      </c>
      <c r="X338" s="6" t="n">
        <f aca="false">IF(AND($A338="",$B338=""),9999999+(ROW()-4),VALUE(LEFT($W338,1))*10000+(ROW()-4))</f>
        <v>10000333</v>
      </c>
    </row>
    <row r="339" customFormat="false" ht="15" hidden="false" customHeight="true" outlineLevel="0" collapsed="false">
      <c r="A339" s="6"/>
      <c r="B339" s="6"/>
      <c r="C339" s="6"/>
      <c r="D339" s="6"/>
      <c r="E339" s="6"/>
      <c r="F339" s="7"/>
      <c r="G339" s="6"/>
      <c r="H339" s="6"/>
      <c r="I339" s="7"/>
      <c r="J339" s="6"/>
      <c r="K339" s="7"/>
      <c r="L339" s="6"/>
      <c r="M339" s="6"/>
      <c r="N339" s="7"/>
      <c r="O339" s="6"/>
      <c r="P339" s="6"/>
      <c r="Q339" s="7"/>
      <c r="R339" s="6" t="str">
        <f aca="false">IF(AND($A339="",$B339=""),"",IF(Q339="Complete","Onboarded",IF(OR(M339="Member",M339="Ambassador"),"Sponsored",IF(K339&lt;&gt;"","Follow-Up",IF(I339&lt;&gt;"","Presented",IF(F339&lt;&gt;"","Contacted","New Lead"))))))</f>
        <v/>
      </c>
      <c r="S339" s="6"/>
      <c r="T339" s="6" t="str">
        <f aca="true">IF(MAX(F339,I339,K339)=0,"",TODAY()-MAX(F339,I339,K339))</f>
        <v/>
      </c>
      <c r="U339" s="6"/>
      <c r="V339" s="6"/>
      <c r="W339" s="6" t="str">
        <f aca="false">IF(AND($A339="",$B339=""),"",IF(M339="Ambassador","1 - Ambassador",IF(M339="Member","2 - Member",IF(J339="Completed","3 - Presented",IF(H339&lt;&gt;"","4 - Shared",IF(F339&lt;&gt;"","5 - Contacted","6 - No Activity"))))))</f>
        <v/>
      </c>
      <c r="X339" s="6" t="n">
        <f aca="false">IF(AND($A339="",$B339=""),9999999+(ROW()-4),VALUE(LEFT($W339,1))*10000+(ROW()-4))</f>
        <v>10000334</v>
      </c>
    </row>
    <row r="340" customFormat="false" ht="15" hidden="false" customHeight="true" outlineLevel="0" collapsed="false">
      <c r="A340" s="6"/>
      <c r="B340" s="6"/>
      <c r="C340" s="6"/>
      <c r="D340" s="6"/>
      <c r="E340" s="6"/>
      <c r="F340" s="7"/>
      <c r="G340" s="6"/>
      <c r="H340" s="6"/>
      <c r="I340" s="7"/>
      <c r="J340" s="6"/>
      <c r="K340" s="7"/>
      <c r="L340" s="6"/>
      <c r="M340" s="6"/>
      <c r="N340" s="7"/>
      <c r="O340" s="6"/>
      <c r="P340" s="6"/>
      <c r="Q340" s="7"/>
      <c r="R340" s="6" t="str">
        <f aca="false">IF(AND($A340="",$B340=""),"",IF(Q340="Complete","Onboarded",IF(OR(M340="Member",M340="Ambassador"),"Sponsored",IF(K340&lt;&gt;"","Follow-Up",IF(I340&lt;&gt;"","Presented",IF(F340&lt;&gt;"","Contacted","New Lead"))))))</f>
        <v/>
      </c>
      <c r="S340" s="6"/>
      <c r="T340" s="6" t="str">
        <f aca="true">IF(MAX(F340,I340,K340)=0,"",TODAY()-MAX(F340,I340,K340))</f>
        <v/>
      </c>
      <c r="U340" s="6"/>
      <c r="V340" s="6"/>
      <c r="W340" s="6" t="str">
        <f aca="false">IF(AND($A340="",$B340=""),"",IF(M340="Ambassador","1 - Ambassador",IF(M340="Member","2 - Member",IF(J340="Completed","3 - Presented",IF(H340&lt;&gt;"","4 - Shared",IF(F340&lt;&gt;"","5 - Contacted","6 - No Activity"))))))</f>
        <v/>
      </c>
      <c r="X340" s="6" t="n">
        <f aca="false">IF(AND($A340="",$B340=""),9999999+(ROW()-4),VALUE(LEFT($W340,1))*10000+(ROW()-4))</f>
        <v>10000335</v>
      </c>
    </row>
    <row r="341" customFormat="false" ht="15" hidden="false" customHeight="true" outlineLevel="0" collapsed="false">
      <c r="A341" s="6"/>
      <c r="B341" s="6"/>
      <c r="C341" s="6"/>
      <c r="D341" s="6"/>
      <c r="E341" s="6"/>
      <c r="F341" s="7"/>
      <c r="G341" s="6"/>
      <c r="H341" s="6"/>
      <c r="I341" s="7"/>
      <c r="J341" s="6"/>
      <c r="K341" s="7"/>
      <c r="L341" s="6"/>
      <c r="M341" s="6"/>
      <c r="N341" s="7"/>
      <c r="O341" s="6"/>
      <c r="P341" s="6"/>
      <c r="Q341" s="7"/>
      <c r="R341" s="6" t="str">
        <f aca="false">IF(AND($A341="",$B341=""),"",IF(Q341="Complete","Onboarded",IF(OR(M341="Member",M341="Ambassador"),"Sponsored",IF(K341&lt;&gt;"","Follow-Up",IF(I341&lt;&gt;"","Presented",IF(F341&lt;&gt;"","Contacted","New Lead"))))))</f>
        <v/>
      </c>
      <c r="S341" s="6"/>
      <c r="T341" s="6" t="str">
        <f aca="true">IF(MAX(F341,I341,K341)=0,"",TODAY()-MAX(F341,I341,K341))</f>
        <v/>
      </c>
      <c r="U341" s="6"/>
      <c r="V341" s="6"/>
      <c r="W341" s="6" t="str">
        <f aca="false">IF(AND($A341="",$B341=""),"",IF(M341="Ambassador","1 - Ambassador",IF(M341="Member","2 - Member",IF(J341="Completed","3 - Presented",IF(H341&lt;&gt;"","4 - Shared",IF(F341&lt;&gt;"","5 - Contacted","6 - No Activity"))))))</f>
        <v/>
      </c>
      <c r="X341" s="6" t="n">
        <f aca="false">IF(AND($A341="",$B341=""),9999999+(ROW()-4),VALUE(LEFT($W341,1))*10000+(ROW()-4))</f>
        <v>10000336</v>
      </c>
    </row>
    <row r="342" customFormat="false" ht="15" hidden="false" customHeight="true" outlineLevel="0" collapsed="false">
      <c r="A342" s="6"/>
      <c r="B342" s="6"/>
      <c r="C342" s="6"/>
      <c r="D342" s="6"/>
      <c r="E342" s="6"/>
      <c r="F342" s="7"/>
      <c r="G342" s="6"/>
      <c r="H342" s="6"/>
      <c r="I342" s="7"/>
      <c r="J342" s="6"/>
      <c r="K342" s="7"/>
      <c r="L342" s="6"/>
      <c r="M342" s="6"/>
      <c r="N342" s="7"/>
      <c r="O342" s="6"/>
      <c r="P342" s="6"/>
      <c r="Q342" s="7"/>
      <c r="R342" s="6" t="str">
        <f aca="false">IF(AND($A342="",$B342=""),"",IF(Q342="Complete","Onboarded",IF(OR(M342="Member",M342="Ambassador"),"Sponsored",IF(K342&lt;&gt;"","Follow-Up",IF(I342&lt;&gt;"","Presented",IF(F342&lt;&gt;"","Contacted","New Lead"))))))</f>
        <v/>
      </c>
      <c r="S342" s="6"/>
      <c r="T342" s="6" t="str">
        <f aca="true">IF(MAX(F342,I342,K342)=0,"",TODAY()-MAX(F342,I342,K342))</f>
        <v/>
      </c>
      <c r="U342" s="6"/>
      <c r="V342" s="6"/>
      <c r="W342" s="6" t="str">
        <f aca="false">IF(AND($A342="",$B342=""),"",IF(M342="Ambassador","1 - Ambassador",IF(M342="Member","2 - Member",IF(J342="Completed","3 - Presented",IF(H342&lt;&gt;"","4 - Shared",IF(F342&lt;&gt;"","5 - Contacted","6 - No Activity"))))))</f>
        <v/>
      </c>
      <c r="X342" s="6" t="n">
        <f aca="false">IF(AND($A342="",$B342=""),9999999+(ROW()-4),VALUE(LEFT($W342,1))*10000+(ROW()-4))</f>
        <v>10000337</v>
      </c>
    </row>
    <row r="343" customFormat="false" ht="15" hidden="false" customHeight="true" outlineLevel="0" collapsed="false">
      <c r="A343" s="6"/>
      <c r="B343" s="6"/>
      <c r="C343" s="6"/>
      <c r="D343" s="6"/>
      <c r="E343" s="6"/>
      <c r="F343" s="7"/>
      <c r="G343" s="6"/>
      <c r="H343" s="6"/>
      <c r="I343" s="7"/>
      <c r="J343" s="6"/>
      <c r="K343" s="7"/>
      <c r="L343" s="6"/>
      <c r="M343" s="6"/>
      <c r="N343" s="7"/>
      <c r="O343" s="6"/>
      <c r="P343" s="6"/>
      <c r="Q343" s="7"/>
      <c r="R343" s="6" t="str">
        <f aca="false">IF(AND($A343="",$B343=""),"",IF(Q343="Complete","Onboarded",IF(OR(M343="Member",M343="Ambassador"),"Sponsored",IF(K343&lt;&gt;"","Follow-Up",IF(I343&lt;&gt;"","Presented",IF(F343&lt;&gt;"","Contacted","New Lead"))))))</f>
        <v/>
      </c>
      <c r="S343" s="6"/>
      <c r="T343" s="6" t="str">
        <f aca="true">IF(MAX(F343,I343,K343)=0,"",TODAY()-MAX(F343,I343,K343))</f>
        <v/>
      </c>
      <c r="U343" s="6"/>
      <c r="V343" s="6"/>
      <c r="W343" s="6" t="str">
        <f aca="false">IF(AND($A343="",$B343=""),"",IF(M343="Ambassador","1 - Ambassador",IF(M343="Member","2 - Member",IF(J343="Completed","3 - Presented",IF(H343&lt;&gt;"","4 - Shared",IF(F343&lt;&gt;"","5 - Contacted","6 - No Activity"))))))</f>
        <v/>
      </c>
      <c r="X343" s="6" t="n">
        <f aca="false">IF(AND($A343="",$B343=""),9999999+(ROW()-4),VALUE(LEFT($W343,1))*10000+(ROW()-4))</f>
        <v>10000338</v>
      </c>
    </row>
    <row r="344" customFormat="false" ht="15" hidden="false" customHeight="true" outlineLevel="0" collapsed="false">
      <c r="A344" s="6"/>
      <c r="B344" s="6"/>
      <c r="C344" s="6"/>
      <c r="D344" s="6"/>
      <c r="E344" s="6"/>
      <c r="F344" s="7"/>
      <c r="G344" s="6"/>
      <c r="H344" s="6"/>
      <c r="I344" s="7"/>
      <c r="J344" s="6"/>
      <c r="K344" s="7"/>
      <c r="L344" s="6"/>
      <c r="M344" s="6"/>
      <c r="N344" s="7"/>
      <c r="O344" s="6"/>
      <c r="P344" s="6"/>
      <c r="Q344" s="7"/>
      <c r="R344" s="6" t="str">
        <f aca="false">IF(AND($A344="",$B344=""),"",IF(Q344="Complete","Onboarded",IF(OR(M344="Member",M344="Ambassador"),"Sponsored",IF(K344&lt;&gt;"","Follow-Up",IF(I344&lt;&gt;"","Presented",IF(F344&lt;&gt;"","Contacted","New Lead"))))))</f>
        <v/>
      </c>
      <c r="S344" s="6"/>
      <c r="T344" s="6" t="str">
        <f aca="true">IF(MAX(F344,I344,K344)=0,"",TODAY()-MAX(F344,I344,K344))</f>
        <v/>
      </c>
      <c r="U344" s="6"/>
      <c r="V344" s="6"/>
      <c r="W344" s="6" t="str">
        <f aca="false">IF(AND($A344="",$B344=""),"",IF(M344="Ambassador","1 - Ambassador",IF(M344="Member","2 - Member",IF(J344="Completed","3 - Presented",IF(H344&lt;&gt;"","4 - Shared",IF(F344&lt;&gt;"","5 - Contacted","6 - No Activity"))))))</f>
        <v/>
      </c>
      <c r="X344" s="6" t="n">
        <f aca="false">IF(AND($A344="",$B344=""),9999999+(ROW()-4),VALUE(LEFT($W344,1))*10000+(ROW()-4))</f>
        <v>10000339</v>
      </c>
    </row>
    <row r="345" customFormat="false" ht="15" hidden="false" customHeight="true" outlineLevel="0" collapsed="false">
      <c r="A345" s="6"/>
      <c r="B345" s="6"/>
      <c r="C345" s="6"/>
      <c r="D345" s="6"/>
      <c r="E345" s="6"/>
      <c r="F345" s="7"/>
      <c r="G345" s="6"/>
      <c r="H345" s="6"/>
      <c r="I345" s="7"/>
      <c r="J345" s="6"/>
      <c r="K345" s="7"/>
      <c r="L345" s="6"/>
      <c r="M345" s="6"/>
      <c r="N345" s="7"/>
      <c r="O345" s="6"/>
      <c r="P345" s="6"/>
      <c r="Q345" s="7"/>
      <c r="R345" s="6" t="str">
        <f aca="false">IF(AND($A345="",$B345=""),"",IF(Q345="Complete","Onboarded",IF(OR(M345="Member",M345="Ambassador"),"Sponsored",IF(K345&lt;&gt;"","Follow-Up",IF(I345&lt;&gt;"","Presented",IF(F345&lt;&gt;"","Contacted","New Lead"))))))</f>
        <v/>
      </c>
      <c r="S345" s="6"/>
      <c r="T345" s="6" t="str">
        <f aca="true">IF(MAX(F345,I345,K345)=0,"",TODAY()-MAX(F345,I345,K345))</f>
        <v/>
      </c>
      <c r="U345" s="6"/>
      <c r="V345" s="6"/>
      <c r="W345" s="6" t="str">
        <f aca="false">IF(AND($A345="",$B345=""),"",IF(M345="Ambassador","1 - Ambassador",IF(M345="Member","2 - Member",IF(J345="Completed","3 - Presented",IF(H345&lt;&gt;"","4 - Shared",IF(F345&lt;&gt;"","5 - Contacted","6 - No Activity"))))))</f>
        <v/>
      </c>
      <c r="X345" s="6" t="n">
        <f aca="false">IF(AND($A345="",$B345=""),9999999+(ROW()-4),VALUE(LEFT($W345,1))*10000+(ROW()-4))</f>
        <v>10000340</v>
      </c>
    </row>
    <row r="346" customFormat="false" ht="15" hidden="false" customHeight="true" outlineLevel="0" collapsed="false">
      <c r="A346" s="6"/>
      <c r="B346" s="6"/>
      <c r="C346" s="6"/>
      <c r="D346" s="6"/>
      <c r="E346" s="6"/>
      <c r="F346" s="7"/>
      <c r="G346" s="6"/>
      <c r="H346" s="6"/>
      <c r="I346" s="7"/>
      <c r="J346" s="6"/>
      <c r="K346" s="7"/>
      <c r="L346" s="6"/>
      <c r="M346" s="6"/>
      <c r="N346" s="7"/>
      <c r="O346" s="6"/>
      <c r="P346" s="6"/>
      <c r="Q346" s="7"/>
      <c r="R346" s="6" t="str">
        <f aca="false">IF(AND($A346="",$B346=""),"",IF(Q346="Complete","Onboarded",IF(OR(M346="Member",M346="Ambassador"),"Sponsored",IF(K346&lt;&gt;"","Follow-Up",IF(I346&lt;&gt;"","Presented",IF(F346&lt;&gt;"","Contacted","New Lead"))))))</f>
        <v/>
      </c>
      <c r="S346" s="6"/>
      <c r="T346" s="6" t="str">
        <f aca="true">IF(MAX(F346,I346,K346)=0,"",TODAY()-MAX(F346,I346,K346))</f>
        <v/>
      </c>
      <c r="U346" s="6"/>
      <c r="V346" s="6"/>
      <c r="W346" s="6" t="str">
        <f aca="false">IF(AND($A346="",$B346=""),"",IF(M346="Ambassador","1 - Ambassador",IF(M346="Member","2 - Member",IF(J346="Completed","3 - Presented",IF(H346&lt;&gt;"","4 - Shared",IF(F346&lt;&gt;"","5 - Contacted","6 - No Activity"))))))</f>
        <v/>
      </c>
      <c r="X346" s="6" t="n">
        <f aca="false">IF(AND($A346="",$B346=""),9999999+(ROW()-4),VALUE(LEFT($W346,1))*10000+(ROW()-4))</f>
        <v>10000341</v>
      </c>
    </row>
    <row r="347" customFormat="false" ht="15" hidden="false" customHeight="true" outlineLevel="0" collapsed="false">
      <c r="A347" s="6"/>
      <c r="B347" s="6"/>
      <c r="C347" s="6"/>
      <c r="D347" s="6"/>
      <c r="E347" s="6"/>
      <c r="F347" s="7"/>
      <c r="G347" s="6"/>
      <c r="H347" s="6"/>
      <c r="I347" s="7"/>
      <c r="J347" s="6"/>
      <c r="K347" s="7"/>
      <c r="L347" s="6"/>
      <c r="M347" s="6"/>
      <c r="N347" s="7"/>
      <c r="O347" s="6"/>
      <c r="P347" s="6"/>
      <c r="Q347" s="7"/>
      <c r="R347" s="6" t="str">
        <f aca="false">IF(AND($A347="",$B347=""),"",IF(Q347="Complete","Onboarded",IF(OR(M347="Member",M347="Ambassador"),"Sponsored",IF(K347&lt;&gt;"","Follow-Up",IF(I347&lt;&gt;"","Presented",IF(F347&lt;&gt;"","Contacted","New Lead"))))))</f>
        <v/>
      </c>
      <c r="S347" s="6"/>
      <c r="T347" s="6" t="str">
        <f aca="true">IF(MAX(F347,I347,K347)=0,"",TODAY()-MAX(F347,I347,K347))</f>
        <v/>
      </c>
      <c r="U347" s="6"/>
      <c r="V347" s="6"/>
      <c r="W347" s="6" t="str">
        <f aca="false">IF(AND($A347="",$B347=""),"",IF(M347="Ambassador","1 - Ambassador",IF(M347="Member","2 - Member",IF(J347="Completed","3 - Presented",IF(H347&lt;&gt;"","4 - Shared",IF(F347&lt;&gt;"","5 - Contacted","6 - No Activity"))))))</f>
        <v/>
      </c>
      <c r="X347" s="6" t="n">
        <f aca="false">IF(AND($A347="",$B347=""),9999999+(ROW()-4),VALUE(LEFT($W347,1))*10000+(ROW()-4))</f>
        <v>10000342</v>
      </c>
    </row>
    <row r="348" customFormat="false" ht="15" hidden="false" customHeight="true" outlineLevel="0" collapsed="false">
      <c r="A348" s="6"/>
      <c r="B348" s="6"/>
      <c r="C348" s="6"/>
      <c r="D348" s="6"/>
      <c r="E348" s="6"/>
      <c r="F348" s="7"/>
      <c r="G348" s="6"/>
      <c r="H348" s="6"/>
      <c r="I348" s="7"/>
      <c r="J348" s="6"/>
      <c r="K348" s="7"/>
      <c r="L348" s="6"/>
      <c r="M348" s="6"/>
      <c r="N348" s="7"/>
      <c r="O348" s="6"/>
      <c r="P348" s="6"/>
      <c r="Q348" s="7"/>
      <c r="R348" s="6" t="str">
        <f aca="false">IF(AND($A348="",$B348=""),"",IF(Q348="Complete","Onboarded",IF(OR(M348="Member",M348="Ambassador"),"Sponsored",IF(K348&lt;&gt;"","Follow-Up",IF(I348&lt;&gt;"","Presented",IF(F348&lt;&gt;"","Contacted","New Lead"))))))</f>
        <v/>
      </c>
      <c r="S348" s="6"/>
      <c r="T348" s="6" t="str">
        <f aca="true">IF(MAX(F348,I348,K348)=0,"",TODAY()-MAX(F348,I348,K348))</f>
        <v/>
      </c>
      <c r="U348" s="6"/>
      <c r="V348" s="6"/>
      <c r="W348" s="6" t="str">
        <f aca="false">IF(AND($A348="",$B348=""),"",IF(M348="Ambassador","1 - Ambassador",IF(M348="Member","2 - Member",IF(J348="Completed","3 - Presented",IF(H348&lt;&gt;"","4 - Shared",IF(F348&lt;&gt;"","5 - Contacted","6 - No Activity"))))))</f>
        <v/>
      </c>
      <c r="X348" s="6" t="n">
        <f aca="false">IF(AND($A348="",$B348=""),9999999+(ROW()-4),VALUE(LEFT($W348,1))*10000+(ROW()-4))</f>
        <v>10000343</v>
      </c>
    </row>
    <row r="349" customFormat="false" ht="15" hidden="false" customHeight="true" outlineLevel="0" collapsed="false">
      <c r="A349" s="6"/>
      <c r="B349" s="6"/>
      <c r="C349" s="6"/>
      <c r="D349" s="6"/>
      <c r="E349" s="6"/>
      <c r="F349" s="7"/>
      <c r="G349" s="6"/>
      <c r="H349" s="6"/>
      <c r="I349" s="7"/>
      <c r="J349" s="6"/>
      <c r="K349" s="7"/>
      <c r="L349" s="6"/>
      <c r="M349" s="6"/>
      <c r="N349" s="7"/>
      <c r="O349" s="6"/>
      <c r="P349" s="6"/>
      <c r="Q349" s="7"/>
      <c r="R349" s="6" t="str">
        <f aca="false">IF(AND($A349="",$B349=""),"",IF(Q349="Complete","Onboarded",IF(OR(M349="Member",M349="Ambassador"),"Sponsored",IF(K349&lt;&gt;"","Follow-Up",IF(I349&lt;&gt;"","Presented",IF(F349&lt;&gt;"","Contacted","New Lead"))))))</f>
        <v/>
      </c>
      <c r="S349" s="6"/>
      <c r="T349" s="6" t="str">
        <f aca="true">IF(MAX(F349,I349,K349)=0,"",TODAY()-MAX(F349,I349,K349))</f>
        <v/>
      </c>
      <c r="U349" s="6"/>
      <c r="V349" s="6"/>
      <c r="W349" s="6" t="str">
        <f aca="false">IF(AND($A349="",$B349=""),"",IF(M349="Ambassador","1 - Ambassador",IF(M349="Member","2 - Member",IF(J349="Completed","3 - Presented",IF(H349&lt;&gt;"","4 - Shared",IF(F349&lt;&gt;"","5 - Contacted","6 - No Activity"))))))</f>
        <v/>
      </c>
      <c r="X349" s="6" t="n">
        <f aca="false">IF(AND($A349="",$B349=""),9999999+(ROW()-4),VALUE(LEFT($W349,1))*10000+(ROW()-4))</f>
        <v>10000344</v>
      </c>
    </row>
    <row r="350" customFormat="false" ht="15" hidden="false" customHeight="true" outlineLevel="0" collapsed="false">
      <c r="A350" s="6"/>
      <c r="B350" s="6"/>
      <c r="C350" s="6"/>
      <c r="D350" s="6"/>
      <c r="E350" s="6"/>
      <c r="F350" s="7"/>
      <c r="G350" s="6"/>
      <c r="H350" s="6"/>
      <c r="I350" s="7"/>
      <c r="J350" s="6"/>
      <c r="K350" s="7"/>
      <c r="L350" s="6"/>
      <c r="M350" s="6"/>
      <c r="N350" s="7"/>
      <c r="O350" s="6"/>
      <c r="P350" s="6"/>
      <c r="Q350" s="7"/>
      <c r="R350" s="6" t="str">
        <f aca="false">IF(AND($A350="",$B350=""),"",IF(Q350="Complete","Onboarded",IF(OR(M350="Member",M350="Ambassador"),"Sponsored",IF(K350&lt;&gt;"","Follow-Up",IF(I350&lt;&gt;"","Presented",IF(F350&lt;&gt;"","Contacted","New Lead"))))))</f>
        <v/>
      </c>
      <c r="S350" s="6"/>
      <c r="T350" s="6" t="str">
        <f aca="true">IF(MAX(F350,I350,K350)=0,"",TODAY()-MAX(F350,I350,K350))</f>
        <v/>
      </c>
      <c r="U350" s="6"/>
      <c r="V350" s="6"/>
      <c r="W350" s="6" t="str">
        <f aca="false">IF(AND($A350="",$B350=""),"",IF(M350="Ambassador","1 - Ambassador",IF(M350="Member","2 - Member",IF(J350="Completed","3 - Presented",IF(H350&lt;&gt;"","4 - Shared",IF(F350&lt;&gt;"","5 - Contacted","6 - No Activity"))))))</f>
        <v/>
      </c>
      <c r="X350" s="6" t="n">
        <f aca="false">IF(AND($A350="",$B350=""),9999999+(ROW()-4),VALUE(LEFT($W350,1))*10000+(ROW()-4))</f>
        <v>10000345</v>
      </c>
    </row>
    <row r="351" customFormat="false" ht="15" hidden="false" customHeight="true" outlineLevel="0" collapsed="false">
      <c r="A351" s="6"/>
      <c r="B351" s="6"/>
      <c r="C351" s="6"/>
      <c r="D351" s="6"/>
      <c r="E351" s="6"/>
      <c r="F351" s="7"/>
      <c r="G351" s="6"/>
      <c r="H351" s="6"/>
      <c r="I351" s="7"/>
      <c r="J351" s="6"/>
      <c r="K351" s="7"/>
      <c r="L351" s="6"/>
      <c r="M351" s="6"/>
      <c r="N351" s="7"/>
      <c r="O351" s="6"/>
      <c r="P351" s="6"/>
      <c r="Q351" s="7"/>
      <c r="R351" s="6" t="str">
        <f aca="false">IF(AND($A351="",$B351=""),"",IF(Q351="Complete","Onboarded",IF(OR(M351="Member",M351="Ambassador"),"Sponsored",IF(K351&lt;&gt;"","Follow-Up",IF(I351&lt;&gt;"","Presented",IF(F351&lt;&gt;"","Contacted","New Lead"))))))</f>
        <v/>
      </c>
      <c r="S351" s="6"/>
      <c r="T351" s="6" t="str">
        <f aca="true">IF(MAX(F351,I351,K351)=0,"",TODAY()-MAX(F351,I351,K351))</f>
        <v/>
      </c>
      <c r="U351" s="6"/>
      <c r="V351" s="6"/>
      <c r="W351" s="6" t="str">
        <f aca="false">IF(AND($A351="",$B351=""),"",IF(M351="Ambassador","1 - Ambassador",IF(M351="Member","2 - Member",IF(J351="Completed","3 - Presented",IF(H351&lt;&gt;"","4 - Shared",IF(F351&lt;&gt;"","5 - Contacted","6 - No Activity"))))))</f>
        <v/>
      </c>
      <c r="X351" s="6" t="n">
        <f aca="false">IF(AND($A351="",$B351=""),9999999+(ROW()-4),VALUE(LEFT($W351,1))*10000+(ROW()-4))</f>
        <v>10000346</v>
      </c>
    </row>
    <row r="352" customFormat="false" ht="15" hidden="false" customHeight="true" outlineLevel="0" collapsed="false">
      <c r="A352" s="6"/>
      <c r="B352" s="6"/>
      <c r="C352" s="6"/>
      <c r="D352" s="6"/>
      <c r="E352" s="6"/>
      <c r="F352" s="7"/>
      <c r="G352" s="6"/>
      <c r="H352" s="6"/>
      <c r="I352" s="7"/>
      <c r="J352" s="6"/>
      <c r="K352" s="7"/>
      <c r="L352" s="6"/>
      <c r="M352" s="6"/>
      <c r="N352" s="7"/>
      <c r="O352" s="6"/>
      <c r="P352" s="6"/>
      <c r="Q352" s="7"/>
      <c r="R352" s="6" t="str">
        <f aca="false">IF(AND($A352="",$B352=""),"",IF(Q352="Complete","Onboarded",IF(OR(M352="Member",M352="Ambassador"),"Sponsored",IF(K352&lt;&gt;"","Follow-Up",IF(I352&lt;&gt;"","Presented",IF(F352&lt;&gt;"","Contacted","New Lead"))))))</f>
        <v/>
      </c>
      <c r="S352" s="6"/>
      <c r="T352" s="6" t="str">
        <f aca="true">IF(MAX(F352,I352,K352)=0,"",TODAY()-MAX(F352,I352,K352))</f>
        <v/>
      </c>
      <c r="U352" s="6"/>
      <c r="V352" s="6"/>
      <c r="W352" s="6" t="str">
        <f aca="false">IF(AND($A352="",$B352=""),"",IF(M352="Ambassador","1 - Ambassador",IF(M352="Member","2 - Member",IF(J352="Completed","3 - Presented",IF(H352&lt;&gt;"","4 - Shared",IF(F352&lt;&gt;"","5 - Contacted","6 - No Activity"))))))</f>
        <v/>
      </c>
      <c r="X352" s="6" t="n">
        <f aca="false">IF(AND($A352="",$B352=""),9999999+(ROW()-4),VALUE(LEFT($W352,1))*10000+(ROW()-4))</f>
        <v>10000347</v>
      </c>
    </row>
    <row r="353" customFormat="false" ht="15" hidden="false" customHeight="true" outlineLevel="0" collapsed="false">
      <c r="A353" s="6"/>
      <c r="B353" s="6"/>
      <c r="C353" s="6"/>
      <c r="D353" s="6"/>
      <c r="E353" s="6"/>
      <c r="F353" s="7"/>
      <c r="G353" s="6"/>
      <c r="H353" s="6"/>
      <c r="I353" s="7"/>
      <c r="J353" s="6"/>
      <c r="K353" s="7"/>
      <c r="L353" s="6"/>
      <c r="M353" s="6"/>
      <c r="N353" s="7"/>
      <c r="O353" s="6"/>
      <c r="P353" s="6"/>
      <c r="Q353" s="7"/>
      <c r="R353" s="6" t="str">
        <f aca="false">IF(AND($A353="",$B353=""),"",IF(Q353="Complete","Onboarded",IF(OR(M353="Member",M353="Ambassador"),"Sponsored",IF(K353&lt;&gt;"","Follow-Up",IF(I353&lt;&gt;"","Presented",IF(F353&lt;&gt;"","Contacted","New Lead"))))))</f>
        <v/>
      </c>
      <c r="S353" s="6"/>
      <c r="T353" s="6" t="str">
        <f aca="true">IF(MAX(F353,I353,K353)=0,"",TODAY()-MAX(F353,I353,K353))</f>
        <v/>
      </c>
      <c r="U353" s="6"/>
      <c r="V353" s="6"/>
      <c r="W353" s="6" t="str">
        <f aca="false">IF(AND($A353="",$B353=""),"",IF(M353="Ambassador","1 - Ambassador",IF(M353="Member","2 - Member",IF(J353="Completed","3 - Presented",IF(H353&lt;&gt;"","4 - Shared",IF(F353&lt;&gt;"","5 - Contacted","6 - No Activity"))))))</f>
        <v/>
      </c>
      <c r="X353" s="6" t="n">
        <f aca="false">IF(AND($A353="",$B353=""),9999999+(ROW()-4),VALUE(LEFT($W353,1))*10000+(ROW()-4))</f>
        <v>10000348</v>
      </c>
    </row>
    <row r="354" customFormat="false" ht="15" hidden="false" customHeight="true" outlineLevel="0" collapsed="false">
      <c r="A354" s="6"/>
      <c r="B354" s="6"/>
      <c r="C354" s="6"/>
      <c r="D354" s="6"/>
      <c r="E354" s="6"/>
      <c r="F354" s="7"/>
      <c r="G354" s="6"/>
      <c r="H354" s="6"/>
      <c r="I354" s="7"/>
      <c r="J354" s="6"/>
      <c r="K354" s="7"/>
      <c r="L354" s="6"/>
      <c r="M354" s="6"/>
      <c r="N354" s="7"/>
      <c r="O354" s="6"/>
      <c r="P354" s="6"/>
      <c r="Q354" s="7"/>
      <c r="R354" s="6" t="str">
        <f aca="false">IF(AND($A354="",$B354=""),"",IF(Q354="Complete","Onboarded",IF(OR(M354="Member",M354="Ambassador"),"Sponsored",IF(K354&lt;&gt;"","Follow-Up",IF(I354&lt;&gt;"","Presented",IF(F354&lt;&gt;"","Contacted","New Lead"))))))</f>
        <v/>
      </c>
      <c r="S354" s="6"/>
      <c r="T354" s="6" t="str">
        <f aca="true">IF(MAX(F354,I354,K354)=0,"",TODAY()-MAX(F354,I354,K354))</f>
        <v/>
      </c>
      <c r="U354" s="6"/>
      <c r="V354" s="6"/>
      <c r="W354" s="6" t="str">
        <f aca="false">IF(AND($A354="",$B354=""),"",IF(M354="Ambassador","1 - Ambassador",IF(M354="Member","2 - Member",IF(J354="Completed","3 - Presented",IF(H354&lt;&gt;"","4 - Shared",IF(F354&lt;&gt;"","5 - Contacted","6 - No Activity"))))))</f>
        <v/>
      </c>
      <c r="X354" s="6" t="n">
        <f aca="false">IF(AND($A354="",$B354=""),9999999+(ROW()-4),VALUE(LEFT($W354,1))*10000+(ROW()-4))</f>
        <v>10000349</v>
      </c>
    </row>
    <row r="355" customFormat="false" ht="15" hidden="false" customHeight="true" outlineLevel="0" collapsed="false">
      <c r="A355" s="6"/>
      <c r="B355" s="6"/>
      <c r="C355" s="6"/>
      <c r="D355" s="6"/>
      <c r="E355" s="6"/>
      <c r="F355" s="7"/>
      <c r="G355" s="6"/>
      <c r="H355" s="6"/>
      <c r="I355" s="7"/>
      <c r="J355" s="6"/>
      <c r="K355" s="7"/>
      <c r="L355" s="6"/>
      <c r="M355" s="6"/>
      <c r="N355" s="7"/>
      <c r="O355" s="6"/>
      <c r="P355" s="6"/>
      <c r="Q355" s="7"/>
      <c r="R355" s="6" t="str">
        <f aca="false">IF(AND($A355="",$B355=""),"",IF(Q355="Complete","Onboarded",IF(OR(M355="Member",M355="Ambassador"),"Sponsored",IF(K355&lt;&gt;"","Follow-Up",IF(I355&lt;&gt;"","Presented",IF(F355&lt;&gt;"","Contacted","New Lead"))))))</f>
        <v/>
      </c>
      <c r="S355" s="6"/>
      <c r="T355" s="6" t="str">
        <f aca="true">IF(MAX(F355,I355,K355)=0,"",TODAY()-MAX(F355,I355,K355))</f>
        <v/>
      </c>
      <c r="U355" s="6"/>
      <c r="V355" s="6"/>
      <c r="W355" s="6" t="str">
        <f aca="false">IF(AND($A355="",$B355=""),"",IF(M355="Ambassador","1 - Ambassador",IF(M355="Member","2 - Member",IF(J355="Completed","3 - Presented",IF(H355&lt;&gt;"","4 - Shared",IF(F355&lt;&gt;"","5 - Contacted","6 - No Activity"))))))</f>
        <v/>
      </c>
      <c r="X355" s="6" t="n">
        <f aca="false">IF(AND($A355="",$B355=""),9999999+(ROW()-4),VALUE(LEFT($W355,1))*10000+(ROW()-4))</f>
        <v>10000350</v>
      </c>
    </row>
    <row r="356" customFormat="false" ht="15" hidden="false" customHeight="true" outlineLevel="0" collapsed="false">
      <c r="A356" s="6"/>
      <c r="B356" s="6"/>
      <c r="C356" s="6"/>
      <c r="D356" s="6"/>
      <c r="E356" s="6"/>
      <c r="F356" s="7"/>
      <c r="G356" s="6"/>
      <c r="H356" s="6"/>
      <c r="I356" s="7"/>
      <c r="J356" s="6"/>
      <c r="K356" s="7"/>
      <c r="L356" s="6"/>
      <c r="M356" s="6"/>
      <c r="N356" s="7"/>
      <c r="O356" s="6"/>
      <c r="P356" s="6"/>
      <c r="Q356" s="7"/>
      <c r="R356" s="6" t="str">
        <f aca="false">IF(AND($A356="",$B356=""),"",IF(Q356="Complete","Onboarded",IF(OR(M356="Member",M356="Ambassador"),"Sponsored",IF(K356&lt;&gt;"","Follow-Up",IF(I356&lt;&gt;"","Presented",IF(F356&lt;&gt;"","Contacted","New Lead"))))))</f>
        <v/>
      </c>
      <c r="S356" s="6"/>
      <c r="T356" s="6" t="str">
        <f aca="true">IF(MAX(F356,I356,K356)=0,"",TODAY()-MAX(F356,I356,K356))</f>
        <v/>
      </c>
      <c r="U356" s="6"/>
      <c r="V356" s="6"/>
      <c r="W356" s="6" t="str">
        <f aca="false">IF(AND($A356="",$B356=""),"",IF(M356="Ambassador","1 - Ambassador",IF(M356="Member","2 - Member",IF(J356="Completed","3 - Presented",IF(H356&lt;&gt;"","4 - Shared",IF(F356&lt;&gt;"","5 - Contacted","6 - No Activity"))))))</f>
        <v/>
      </c>
      <c r="X356" s="6" t="n">
        <f aca="false">IF(AND($A356="",$B356=""),9999999+(ROW()-4),VALUE(LEFT($W356,1))*10000+(ROW()-4))</f>
        <v>10000351</v>
      </c>
    </row>
    <row r="357" customFormat="false" ht="15" hidden="false" customHeight="true" outlineLevel="0" collapsed="false">
      <c r="A357" s="6"/>
      <c r="B357" s="6"/>
      <c r="C357" s="6"/>
      <c r="D357" s="6"/>
      <c r="E357" s="6"/>
      <c r="F357" s="7"/>
      <c r="G357" s="6"/>
      <c r="H357" s="6"/>
      <c r="I357" s="7"/>
      <c r="J357" s="6"/>
      <c r="K357" s="7"/>
      <c r="L357" s="6"/>
      <c r="M357" s="6"/>
      <c r="N357" s="7"/>
      <c r="O357" s="6"/>
      <c r="P357" s="6"/>
      <c r="Q357" s="7"/>
      <c r="R357" s="6" t="str">
        <f aca="false">IF(AND($A357="",$B357=""),"",IF(Q357="Complete","Onboarded",IF(OR(M357="Member",M357="Ambassador"),"Sponsored",IF(K357&lt;&gt;"","Follow-Up",IF(I357&lt;&gt;"","Presented",IF(F357&lt;&gt;"","Contacted","New Lead"))))))</f>
        <v/>
      </c>
      <c r="S357" s="6"/>
      <c r="T357" s="6" t="str">
        <f aca="true">IF(MAX(F357,I357,K357)=0,"",TODAY()-MAX(F357,I357,K357))</f>
        <v/>
      </c>
      <c r="U357" s="6"/>
      <c r="V357" s="6"/>
      <c r="W357" s="6" t="str">
        <f aca="false">IF(AND($A357="",$B357=""),"",IF(M357="Ambassador","1 - Ambassador",IF(M357="Member","2 - Member",IF(J357="Completed","3 - Presented",IF(H357&lt;&gt;"","4 - Shared",IF(F357&lt;&gt;"","5 - Contacted","6 - No Activity"))))))</f>
        <v/>
      </c>
      <c r="X357" s="6" t="n">
        <f aca="false">IF(AND($A357="",$B357=""),9999999+(ROW()-4),VALUE(LEFT($W357,1))*10000+(ROW()-4))</f>
        <v>10000352</v>
      </c>
    </row>
    <row r="358" customFormat="false" ht="15" hidden="false" customHeight="true" outlineLevel="0" collapsed="false">
      <c r="A358" s="6"/>
      <c r="B358" s="6"/>
      <c r="C358" s="6"/>
      <c r="D358" s="6"/>
      <c r="E358" s="6"/>
      <c r="F358" s="7"/>
      <c r="G358" s="6"/>
      <c r="H358" s="6"/>
      <c r="I358" s="7"/>
      <c r="J358" s="6"/>
      <c r="K358" s="7"/>
      <c r="L358" s="6"/>
      <c r="M358" s="6"/>
      <c r="N358" s="7"/>
      <c r="O358" s="6"/>
      <c r="P358" s="6"/>
      <c r="Q358" s="7"/>
      <c r="R358" s="6" t="str">
        <f aca="false">IF(AND($A358="",$B358=""),"",IF(Q358="Complete","Onboarded",IF(OR(M358="Member",M358="Ambassador"),"Sponsored",IF(K358&lt;&gt;"","Follow-Up",IF(I358&lt;&gt;"","Presented",IF(F358&lt;&gt;"","Contacted","New Lead"))))))</f>
        <v/>
      </c>
      <c r="S358" s="6"/>
      <c r="T358" s="6" t="str">
        <f aca="true">IF(MAX(F358,I358,K358)=0,"",TODAY()-MAX(F358,I358,K358))</f>
        <v/>
      </c>
      <c r="U358" s="6"/>
      <c r="V358" s="6"/>
      <c r="W358" s="6" t="str">
        <f aca="false">IF(AND($A358="",$B358=""),"",IF(M358="Ambassador","1 - Ambassador",IF(M358="Member","2 - Member",IF(J358="Completed","3 - Presented",IF(H358&lt;&gt;"","4 - Shared",IF(F358&lt;&gt;"","5 - Contacted","6 - No Activity"))))))</f>
        <v/>
      </c>
      <c r="X358" s="6" t="n">
        <f aca="false">IF(AND($A358="",$B358=""),9999999+(ROW()-4),VALUE(LEFT($W358,1))*10000+(ROW()-4))</f>
        <v>10000353</v>
      </c>
    </row>
    <row r="359" customFormat="false" ht="15" hidden="false" customHeight="true" outlineLevel="0" collapsed="false">
      <c r="A359" s="6"/>
      <c r="B359" s="6"/>
      <c r="C359" s="6"/>
      <c r="D359" s="6"/>
      <c r="E359" s="6"/>
      <c r="F359" s="7"/>
      <c r="G359" s="6"/>
      <c r="H359" s="6"/>
      <c r="I359" s="7"/>
      <c r="J359" s="6"/>
      <c r="K359" s="7"/>
      <c r="L359" s="6"/>
      <c r="M359" s="6"/>
      <c r="N359" s="7"/>
      <c r="O359" s="6"/>
      <c r="P359" s="6"/>
      <c r="Q359" s="7"/>
      <c r="R359" s="6" t="str">
        <f aca="false">IF(AND($A359="",$B359=""),"",IF(Q359="Complete","Onboarded",IF(OR(M359="Member",M359="Ambassador"),"Sponsored",IF(K359&lt;&gt;"","Follow-Up",IF(I359&lt;&gt;"","Presented",IF(F359&lt;&gt;"","Contacted","New Lead"))))))</f>
        <v/>
      </c>
      <c r="S359" s="6"/>
      <c r="T359" s="6" t="str">
        <f aca="true">IF(MAX(F359,I359,K359)=0,"",TODAY()-MAX(F359,I359,K359))</f>
        <v/>
      </c>
      <c r="U359" s="6"/>
      <c r="V359" s="6"/>
      <c r="W359" s="6" t="str">
        <f aca="false">IF(AND($A359="",$B359=""),"",IF(M359="Ambassador","1 - Ambassador",IF(M359="Member","2 - Member",IF(J359="Completed","3 - Presented",IF(H359&lt;&gt;"","4 - Shared",IF(F359&lt;&gt;"","5 - Contacted","6 - No Activity"))))))</f>
        <v/>
      </c>
      <c r="X359" s="6" t="n">
        <f aca="false">IF(AND($A359="",$B359=""),9999999+(ROW()-4),VALUE(LEFT($W359,1))*10000+(ROW()-4))</f>
        <v>10000354</v>
      </c>
    </row>
    <row r="360" customFormat="false" ht="15" hidden="false" customHeight="true" outlineLevel="0" collapsed="false">
      <c r="A360" s="6"/>
      <c r="B360" s="6"/>
      <c r="C360" s="6"/>
      <c r="D360" s="6"/>
      <c r="E360" s="6"/>
      <c r="F360" s="7"/>
      <c r="G360" s="6"/>
      <c r="H360" s="6"/>
      <c r="I360" s="7"/>
      <c r="J360" s="6"/>
      <c r="K360" s="7"/>
      <c r="L360" s="6"/>
      <c r="M360" s="6"/>
      <c r="N360" s="7"/>
      <c r="O360" s="6"/>
      <c r="P360" s="6"/>
      <c r="Q360" s="7"/>
      <c r="R360" s="6" t="str">
        <f aca="false">IF(AND($A360="",$B360=""),"",IF(Q360="Complete","Onboarded",IF(OR(M360="Member",M360="Ambassador"),"Sponsored",IF(K360&lt;&gt;"","Follow-Up",IF(I360&lt;&gt;"","Presented",IF(F360&lt;&gt;"","Contacted","New Lead"))))))</f>
        <v/>
      </c>
      <c r="S360" s="6"/>
      <c r="T360" s="6" t="str">
        <f aca="true">IF(MAX(F360,I360,K360)=0,"",TODAY()-MAX(F360,I360,K360))</f>
        <v/>
      </c>
      <c r="U360" s="6"/>
      <c r="V360" s="6"/>
      <c r="W360" s="6" t="str">
        <f aca="false">IF(AND($A360="",$B360=""),"",IF(M360="Ambassador","1 - Ambassador",IF(M360="Member","2 - Member",IF(J360="Completed","3 - Presented",IF(H360&lt;&gt;"","4 - Shared",IF(F360&lt;&gt;"","5 - Contacted","6 - No Activity"))))))</f>
        <v/>
      </c>
      <c r="X360" s="6" t="n">
        <f aca="false">IF(AND($A360="",$B360=""),9999999+(ROW()-4),VALUE(LEFT($W360,1))*10000+(ROW()-4))</f>
        <v>10000355</v>
      </c>
    </row>
    <row r="361" customFormat="false" ht="15" hidden="false" customHeight="true" outlineLevel="0" collapsed="false">
      <c r="A361" s="6"/>
      <c r="B361" s="6"/>
      <c r="C361" s="6"/>
      <c r="D361" s="6"/>
      <c r="E361" s="6"/>
      <c r="F361" s="7"/>
      <c r="G361" s="6"/>
      <c r="H361" s="6"/>
      <c r="I361" s="7"/>
      <c r="J361" s="6"/>
      <c r="K361" s="7"/>
      <c r="L361" s="6"/>
      <c r="M361" s="6"/>
      <c r="N361" s="7"/>
      <c r="O361" s="6"/>
      <c r="P361" s="6"/>
      <c r="Q361" s="7"/>
      <c r="R361" s="6" t="str">
        <f aca="false">IF(AND($A361="",$B361=""),"",IF(Q361="Complete","Onboarded",IF(OR(M361="Member",M361="Ambassador"),"Sponsored",IF(K361&lt;&gt;"","Follow-Up",IF(I361&lt;&gt;"","Presented",IF(F361&lt;&gt;"","Contacted","New Lead"))))))</f>
        <v/>
      </c>
      <c r="S361" s="6"/>
      <c r="T361" s="6" t="str">
        <f aca="true">IF(MAX(F361,I361,K361)=0,"",TODAY()-MAX(F361,I361,K361))</f>
        <v/>
      </c>
      <c r="U361" s="6"/>
      <c r="V361" s="6"/>
      <c r="W361" s="6" t="str">
        <f aca="false">IF(AND($A361="",$B361=""),"",IF(M361="Ambassador","1 - Ambassador",IF(M361="Member","2 - Member",IF(J361="Completed","3 - Presented",IF(H361&lt;&gt;"","4 - Shared",IF(F361&lt;&gt;"","5 - Contacted","6 - No Activity"))))))</f>
        <v/>
      </c>
      <c r="X361" s="6" t="n">
        <f aca="false">IF(AND($A361="",$B361=""),9999999+(ROW()-4),VALUE(LEFT($W361,1))*10000+(ROW()-4))</f>
        <v>10000356</v>
      </c>
    </row>
    <row r="362" customFormat="false" ht="15" hidden="false" customHeight="true" outlineLevel="0" collapsed="false">
      <c r="A362" s="6"/>
      <c r="B362" s="6"/>
      <c r="C362" s="6"/>
      <c r="D362" s="6"/>
      <c r="E362" s="6"/>
      <c r="F362" s="7"/>
      <c r="G362" s="6"/>
      <c r="H362" s="6"/>
      <c r="I362" s="7"/>
      <c r="J362" s="6"/>
      <c r="K362" s="7"/>
      <c r="L362" s="6"/>
      <c r="M362" s="6"/>
      <c r="N362" s="7"/>
      <c r="O362" s="6"/>
      <c r="P362" s="6"/>
      <c r="Q362" s="7"/>
      <c r="R362" s="6" t="str">
        <f aca="false">IF(AND($A362="",$B362=""),"",IF(Q362="Complete","Onboarded",IF(OR(M362="Member",M362="Ambassador"),"Sponsored",IF(K362&lt;&gt;"","Follow-Up",IF(I362&lt;&gt;"","Presented",IF(F362&lt;&gt;"","Contacted","New Lead"))))))</f>
        <v/>
      </c>
      <c r="S362" s="6"/>
      <c r="T362" s="6" t="str">
        <f aca="true">IF(MAX(F362,I362,K362)=0,"",TODAY()-MAX(F362,I362,K362))</f>
        <v/>
      </c>
      <c r="U362" s="6"/>
      <c r="V362" s="6"/>
      <c r="W362" s="6" t="str">
        <f aca="false">IF(AND($A362="",$B362=""),"",IF(M362="Ambassador","1 - Ambassador",IF(M362="Member","2 - Member",IF(J362="Completed","3 - Presented",IF(H362&lt;&gt;"","4 - Shared",IF(F362&lt;&gt;"","5 - Contacted","6 - No Activity"))))))</f>
        <v/>
      </c>
      <c r="X362" s="6" t="n">
        <f aca="false">IF(AND($A362="",$B362=""),9999999+(ROW()-4),VALUE(LEFT($W362,1))*10000+(ROW()-4))</f>
        <v>10000357</v>
      </c>
    </row>
    <row r="363" customFormat="false" ht="15" hidden="false" customHeight="true" outlineLevel="0" collapsed="false">
      <c r="A363" s="6"/>
      <c r="B363" s="6"/>
      <c r="C363" s="6"/>
      <c r="D363" s="6"/>
      <c r="E363" s="6"/>
      <c r="F363" s="7"/>
      <c r="G363" s="6"/>
      <c r="H363" s="6"/>
      <c r="I363" s="7"/>
      <c r="J363" s="6"/>
      <c r="K363" s="7"/>
      <c r="L363" s="6"/>
      <c r="M363" s="6"/>
      <c r="N363" s="7"/>
      <c r="O363" s="6"/>
      <c r="P363" s="6"/>
      <c r="Q363" s="7"/>
      <c r="R363" s="6" t="str">
        <f aca="false">IF(AND($A363="",$B363=""),"",IF(Q363="Complete","Onboarded",IF(OR(M363="Member",M363="Ambassador"),"Sponsored",IF(K363&lt;&gt;"","Follow-Up",IF(I363&lt;&gt;"","Presented",IF(F363&lt;&gt;"","Contacted","New Lead"))))))</f>
        <v/>
      </c>
      <c r="S363" s="6"/>
      <c r="T363" s="6" t="str">
        <f aca="true">IF(MAX(F363,I363,K363)=0,"",TODAY()-MAX(F363,I363,K363))</f>
        <v/>
      </c>
      <c r="U363" s="6"/>
      <c r="V363" s="6"/>
      <c r="W363" s="6" t="str">
        <f aca="false">IF(AND($A363="",$B363=""),"",IF(M363="Ambassador","1 - Ambassador",IF(M363="Member","2 - Member",IF(J363="Completed","3 - Presented",IF(H363&lt;&gt;"","4 - Shared",IF(F363&lt;&gt;"","5 - Contacted","6 - No Activity"))))))</f>
        <v/>
      </c>
      <c r="X363" s="6" t="n">
        <f aca="false">IF(AND($A363="",$B363=""),9999999+(ROW()-4),VALUE(LEFT($W363,1))*10000+(ROW()-4))</f>
        <v>10000358</v>
      </c>
    </row>
    <row r="364" customFormat="false" ht="15" hidden="false" customHeight="true" outlineLevel="0" collapsed="false">
      <c r="A364" s="6"/>
      <c r="B364" s="6"/>
      <c r="C364" s="6"/>
      <c r="D364" s="6"/>
      <c r="E364" s="6"/>
      <c r="F364" s="7"/>
      <c r="G364" s="6"/>
      <c r="H364" s="6"/>
      <c r="I364" s="7"/>
      <c r="J364" s="6"/>
      <c r="K364" s="7"/>
      <c r="L364" s="6"/>
      <c r="M364" s="6"/>
      <c r="N364" s="7"/>
      <c r="O364" s="6"/>
      <c r="P364" s="6"/>
      <c r="Q364" s="7"/>
      <c r="R364" s="6" t="str">
        <f aca="false">IF(AND($A364="",$B364=""),"",IF(Q364="Complete","Onboarded",IF(OR(M364="Member",M364="Ambassador"),"Sponsored",IF(K364&lt;&gt;"","Follow-Up",IF(I364&lt;&gt;"","Presented",IF(F364&lt;&gt;"","Contacted","New Lead"))))))</f>
        <v/>
      </c>
      <c r="S364" s="6"/>
      <c r="T364" s="6" t="str">
        <f aca="true">IF(MAX(F364,I364,K364)=0,"",TODAY()-MAX(F364,I364,K364))</f>
        <v/>
      </c>
      <c r="U364" s="6"/>
      <c r="V364" s="6"/>
      <c r="W364" s="6" t="str">
        <f aca="false">IF(AND($A364="",$B364=""),"",IF(M364="Ambassador","1 - Ambassador",IF(M364="Member","2 - Member",IF(J364="Completed","3 - Presented",IF(H364&lt;&gt;"","4 - Shared",IF(F364&lt;&gt;"","5 - Contacted","6 - No Activity"))))))</f>
        <v/>
      </c>
      <c r="X364" s="6" t="n">
        <f aca="false">IF(AND($A364="",$B364=""),9999999+(ROW()-4),VALUE(LEFT($W364,1))*10000+(ROW()-4))</f>
        <v>10000359</v>
      </c>
    </row>
    <row r="365" customFormat="false" ht="15" hidden="false" customHeight="true" outlineLevel="0" collapsed="false">
      <c r="A365" s="6"/>
      <c r="B365" s="6"/>
      <c r="C365" s="6"/>
      <c r="D365" s="6"/>
      <c r="E365" s="6"/>
      <c r="F365" s="7"/>
      <c r="G365" s="6"/>
      <c r="H365" s="6"/>
      <c r="I365" s="7"/>
      <c r="J365" s="6"/>
      <c r="K365" s="7"/>
      <c r="L365" s="6"/>
      <c r="M365" s="6"/>
      <c r="N365" s="7"/>
      <c r="O365" s="6"/>
      <c r="P365" s="6"/>
      <c r="Q365" s="7"/>
      <c r="R365" s="6" t="str">
        <f aca="false">IF(AND($A365="",$B365=""),"",IF(Q365="Complete","Onboarded",IF(OR(M365="Member",M365="Ambassador"),"Sponsored",IF(K365&lt;&gt;"","Follow-Up",IF(I365&lt;&gt;"","Presented",IF(F365&lt;&gt;"","Contacted","New Lead"))))))</f>
        <v/>
      </c>
      <c r="S365" s="6"/>
      <c r="T365" s="6" t="str">
        <f aca="true">IF(MAX(F365,I365,K365)=0,"",TODAY()-MAX(F365,I365,K365))</f>
        <v/>
      </c>
      <c r="U365" s="6"/>
      <c r="V365" s="6"/>
      <c r="W365" s="6" t="str">
        <f aca="false">IF(AND($A365="",$B365=""),"",IF(M365="Ambassador","1 - Ambassador",IF(M365="Member","2 - Member",IF(J365="Completed","3 - Presented",IF(H365&lt;&gt;"","4 - Shared",IF(F365&lt;&gt;"","5 - Contacted","6 - No Activity"))))))</f>
        <v/>
      </c>
      <c r="X365" s="6" t="n">
        <f aca="false">IF(AND($A365="",$B365=""),9999999+(ROW()-4),VALUE(LEFT($W365,1))*10000+(ROW()-4))</f>
        <v>10000360</v>
      </c>
    </row>
    <row r="366" customFormat="false" ht="15" hidden="false" customHeight="true" outlineLevel="0" collapsed="false">
      <c r="A366" s="6"/>
      <c r="B366" s="6"/>
      <c r="C366" s="6"/>
      <c r="D366" s="6"/>
      <c r="E366" s="6"/>
      <c r="F366" s="7"/>
      <c r="G366" s="6"/>
      <c r="H366" s="6"/>
      <c r="I366" s="7"/>
      <c r="J366" s="6"/>
      <c r="K366" s="7"/>
      <c r="L366" s="6"/>
      <c r="M366" s="6"/>
      <c r="N366" s="7"/>
      <c r="O366" s="6"/>
      <c r="P366" s="6"/>
      <c r="Q366" s="7"/>
      <c r="R366" s="6" t="str">
        <f aca="false">IF(AND($A366="",$B366=""),"",IF(Q366="Complete","Onboarded",IF(OR(M366="Member",M366="Ambassador"),"Sponsored",IF(K366&lt;&gt;"","Follow-Up",IF(I366&lt;&gt;"","Presented",IF(F366&lt;&gt;"","Contacted","New Lead"))))))</f>
        <v/>
      </c>
      <c r="S366" s="6"/>
      <c r="T366" s="6" t="str">
        <f aca="true">IF(MAX(F366,I366,K366)=0,"",TODAY()-MAX(F366,I366,K366))</f>
        <v/>
      </c>
      <c r="U366" s="6"/>
      <c r="V366" s="6"/>
      <c r="W366" s="6" t="str">
        <f aca="false">IF(AND($A366="",$B366=""),"",IF(M366="Ambassador","1 - Ambassador",IF(M366="Member","2 - Member",IF(J366="Completed","3 - Presented",IF(H366&lt;&gt;"","4 - Shared",IF(F366&lt;&gt;"","5 - Contacted","6 - No Activity"))))))</f>
        <v/>
      </c>
      <c r="X366" s="6" t="n">
        <f aca="false">IF(AND($A366="",$B366=""),9999999+(ROW()-4),VALUE(LEFT($W366,1))*10000+(ROW()-4))</f>
        <v>10000361</v>
      </c>
    </row>
    <row r="367" customFormat="false" ht="15" hidden="false" customHeight="true" outlineLevel="0" collapsed="false">
      <c r="A367" s="6"/>
      <c r="B367" s="6"/>
      <c r="C367" s="6"/>
      <c r="D367" s="6"/>
      <c r="E367" s="6"/>
      <c r="F367" s="7"/>
      <c r="G367" s="6"/>
      <c r="H367" s="6"/>
      <c r="I367" s="7"/>
      <c r="J367" s="6"/>
      <c r="K367" s="7"/>
      <c r="L367" s="6"/>
      <c r="M367" s="6"/>
      <c r="N367" s="7"/>
      <c r="O367" s="6"/>
      <c r="P367" s="6"/>
      <c r="Q367" s="7"/>
      <c r="R367" s="6" t="str">
        <f aca="false">IF(AND($A367="",$B367=""),"",IF(Q367="Complete","Onboarded",IF(OR(M367="Member",M367="Ambassador"),"Sponsored",IF(K367&lt;&gt;"","Follow-Up",IF(I367&lt;&gt;"","Presented",IF(F367&lt;&gt;"","Contacted","New Lead"))))))</f>
        <v/>
      </c>
      <c r="S367" s="6"/>
      <c r="T367" s="6" t="str">
        <f aca="true">IF(MAX(F367,I367,K367)=0,"",TODAY()-MAX(F367,I367,K367))</f>
        <v/>
      </c>
      <c r="U367" s="6"/>
      <c r="V367" s="6"/>
      <c r="W367" s="6" t="str">
        <f aca="false">IF(AND($A367="",$B367=""),"",IF(M367="Ambassador","1 - Ambassador",IF(M367="Member","2 - Member",IF(J367="Completed","3 - Presented",IF(H367&lt;&gt;"","4 - Shared",IF(F367&lt;&gt;"","5 - Contacted","6 - No Activity"))))))</f>
        <v/>
      </c>
      <c r="X367" s="6" t="n">
        <f aca="false">IF(AND($A367="",$B367=""),9999999+(ROW()-4),VALUE(LEFT($W367,1))*10000+(ROW()-4))</f>
        <v>10000362</v>
      </c>
    </row>
    <row r="368" customFormat="false" ht="15" hidden="false" customHeight="true" outlineLevel="0" collapsed="false">
      <c r="A368" s="6"/>
      <c r="B368" s="6"/>
      <c r="C368" s="6"/>
      <c r="D368" s="6"/>
      <c r="E368" s="6"/>
      <c r="F368" s="7"/>
      <c r="G368" s="6"/>
      <c r="H368" s="6"/>
      <c r="I368" s="7"/>
      <c r="J368" s="6"/>
      <c r="K368" s="7"/>
      <c r="L368" s="6"/>
      <c r="M368" s="6"/>
      <c r="N368" s="7"/>
      <c r="O368" s="6"/>
      <c r="P368" s="6"/>
      <c r="Q368" s="7"/>
      <c r="R368" s="6" t="str">
        <f aca="false">IF(AND($A368="",$B368=""),"",IF(Q368="Complete","Onboarded",IF(OR(M368="Member",M368="Ambassador"),"Sponsored",IF(K368&lt;&gt;"","Follow-Up",IF(I368&lt;&gt;"","Presented",IF(F368&lt;&gt;"","Contacted","New Lead"))))))</f>
        <v/>
      </c>
      <c r="S368" s="6"/>
      <c r="T368" s="6" t="str">
        <f aca="true">IF(MAX(F368,I368,K368)=0,"",TODAY()-MAX(F368,I368,K368))</f>
        <v/>
      </c>
      <c r="U368" s="6"/>
      <c r="V368" s="6"/>
      <c r="W368" s="6" t="str">
        <f aca="false">IF(AND($A368="",$B368=""),"",IF(M368="Ambassador","1 - Ambassador",IF(M368="Member","2 - Member",IF(J368="Completed","3 - Presented",IF(H368&lt;&gt;"","4 - Shared",IF(F368&lt;&gt;"","5 - Contacted","6 - No Activity"))))))</f>
        <v/>
      </c>
      <c r="X368" s="6" t="n">
        <f aca="false">IF(AND($A368="",$B368=""),9999999+(ROW()-4),VALUE(LEFT($W368,1))*10000+(ROW()-4))</f>
        <v>10000363</v>
      </c>
    </row>
    <row r="369" customFormat="false" ht="15" hidden="false" customHeight="true" outlineLevel="0" collapsed="false">
      <c r="A369" s="6"/>
      <c r="B369" s="6"/>
      <c r="C369" s="6"/>
      <c r="D369" s="6"/>
      <c r="E369" s="6"/>
      <c r="F369" s="7"/>
      <c r="G369" s="6"/>
      <c r="H369" s="6"/>
      <c r="I369" s="7"/>
      <c r="J369" s="6"/>
      <c r="K369" s="7"/>
      <c r="L369" s="6"/>
      <c r="M369" s="6"/>
      <c r="N369" s="7"/>
      <c r="O369" s="6"/>
      <c r="P369" s="6"/>
      <c r="Q369" s="7"/>
      <c r="R369" s="6" t="str">
        <f aca="false">IF(AND($A369="",$B369=""),"",IF(Q369="Complete","Onboarded",IF(OR(M369="Member",M369="Ambassador"),"Sponsored",IF(K369&lt;&gt;"","Follow-Up",IF(I369&lt;&gt;"","Presented",IF(F369&lt;&gt;"","Contacted","New Lead"))))))</f>
        <v/>
      </c>
      <c r="S369" s="6"/>
      <c r="T369" s="6" t="str">
        <f aca="true">IF(MAX(F369,I369,K369)=0,"",TODAY()-MAX(F369,I369,K369))</f>
        <v/>
      </c>
      <c r="U369" s="6"/>
      <c r="V369" s="6"/>
      <c r="W369" s="6" t="str">
        <f aca="false">IF(AND($A369="",$B369=""),"",IF(M369="Ambassador","1 - Ambassador",IF(M369="Member","2 - Member",IF(J369="Completed","3 - Presented",IF(H369&lt;&gt;"","4 - Shared",IF(F369&lt;&gt;"","5 - Contacted","6 - No Activity"))))))</f>
        <v/>
      </c>
      <c r="X369" s="6" t="n">
        <f aca="false">IF(AND($A369="",$B369=""),9999999+(ROW()-4),VALUE(LEFT($W369,1))*10000+(ROW()-4))</f>
        <v>10000364</v>
      </c>
    </row>
    <row r="370" customFormat="false" ht="15" hidden="false" customHeight="true" outlineLevel="0" collapsed="false">
      <c r="A370" s="6"/>
      <c r="B370" s="6"/>
      <c r="C370" s="6"/>
      <c r="D370" s="6"/>
      <c r="E370" s="6"/>
      <c r="F370" s="7"/>
      <c r="G370" s="6"/>
      <c r="H370" s="6"/>
      <c r="I370" s="7"/>
      <c r="J370" s="6"/>
      <c r="K370" s="7"/>
      <c r="L370" s="6"/>
      <c r="M370" s="6"/>
      <c r="N370" s="7"/>
      <c r="O370" s="6"/>
      <c r="P370" s="6"/>
      <c r="Q370" s="7"/>
      <c r="R370" s="6" t="str">
        <f aca="false">IF(AND($A370="",$B370=""),"",IF(Q370="Complete","Onboarded",IF(OR(M370="Member",M370="Ambassador"),"Sponsored",IF(K370&lt;&gt;"","Follow-Up",IF(I370&lt;&gt;"","Presented",IF(F370&lt;&gt;"","Contacted","New Lead"))))))</f>
        <v/>
      </c>
      <c r="S370" s="6"/>
      <c r="T370" s="6" t="str">
        <f aca="true">IF(MAX(F370,I370,K370)=0,"",TODAY()-MAX(F370,I370,K370))</f>
        <v/>
      </c>
      <c r="U370" s="6"/>
      <c r="V370" s="6"/>
      <c r="W370" s="6" t="str">
        <f aca="false">IF(AND($A370="",$B370=""),"",IF(M370="Ambassador","1 - Ambassador",IF(M370="Member","2 - Member",IF(J370="Completed","3 - Presented",IF(H370&lt;&gt;"","4 - Shared",IF(F370&lt;&gt;"","5 - Contacted","6 - No Activity"))))))</f>
        <v/>
      </c>
      <c r="X370" s="6" t="n">
        <f aca="false">IF(AND($A370="",$B370=""),9999999+(ROW()-4),VALUE(LEFT($W370,1))*10000+(ROW()-4))</f>
        <v>10000365</v>
      </c>
    </row>
    <row r="371" customFormat="false" ht="15" hidden="false" customHeight="true" outlineLevel="0" collapsed="false">
      <c r="A371" s="6"/>
      <c r="B371" s="6"/>
      <c r="C371" s="6"/>
      <c r="D371" s="6"/>
      <c r="E371" s="6"/>
      <c r="F371" s="7"/>
      <c r="G371" s="6"/>
      <c r="H371" s="6"/>
      <c r="I371" s="7"/>
      <c r="J371" s="6"/>
      <c r="K371" s="7"/>
      <c r="L371" s="6"/>
      <c r="M371" s="6"/>
      <c r="N371" s="7"/>
      <c r="O371" s="6"/>
      <c r="P371" s="6"/>
      <c r="Q371" s="7"/>
      <c r="R371" s="6" t="str">
        <f aca="false">IF(AND($A371="",$B371=""),"",IF(Q371="Complete","Onboarded",IF(OR(M371="Member",M371="Ambassador"),"Sponsored",IF(K371&lt;&gt;"","Follow-Up",IF(I371&lt;&gt;"","Presented",IF(F371&lt;&gt;"","Contacted","New Lead"))))))</f>
        <v/>
      </c>
      <c r="S371" s="6"/>
      <c r="T371" s="6" t="str">
        <f aca="true">IF(MAX(F371,I371,K371)=0,"",TODAY()-MAX(F371,I371,K371))</f>
        <v/>
      </c>
      <c r="U371" s="6"/>
      <c r="V371" s="6"/>
      <c r="W371" s="6" t="str">
        <f aca="false">IF(AND($A371="",$B371=""),"",IF(M371="Ambassador","1 - Ambassador",IF(M371="Member","2 - Member",IF(J371="Completed","3 - Presented",IF(H371&lt;&gt;"","4 - Shared",IF(F371&lt;&gt;"","5 - Contacted","6 - No Activity"))))))</f>
        <v/>
      </c>
      <c r="X371" s="6" t="n">
        <f aca="false">IF(AND($A371="",$B371=""),9999999+(ROW()-4),VALUE(LEFT($W371,1))*10000+(ROW()-4))</f>
        <v>10000366</v>
      </c>
    </row>
    <row r="372" customFormat="false" ht="15" hidden="false" customHeight="true" outlineLevel="0" collapsed="false">
      <c r="A372" s="6"/>
      <c r="B372" s="6"/>
      <c r="C372" s="6"/>
      <c r="D372" s="6"/>
      <c r="E372" s="6"/>
      <c r="F372" s="7"/>
      <c r="G372" s="6"/>
      <c r="H372" s="6"/>
      <c r="I372" s="7"/>
      <c r="J372" s="6"/>
      <c r="K372" s="7"/>
      <c r="L372" s="6"/>
      <c r="M372" s="6"/>
      <c r="N372" s="7"/>
      <c r="O372" s="6"/>
      <c r="P372" s="6"/>
      <c r="Q372" s="7"/>
      <c r="R372" s="6" t="str">
        <f aca="false">IF(AND($A372="",$B372=""),"",IF(Q372="Complete","Onboarded",IF(OR(M372="Member",M372="Ambassador"),"Sponsored",IF(K372&lt;&gt;"","Follow-Up",IF(I372&lt;&gt;"","Presented",IF(F372&lt;&gt;"","Contacted","New Lead"))))))</f>
        <v/>
      </c>
      <c r="S372" s="6"/>
      <c r="T372" s="6" t="str">
        <f aca="true">IF(MAX(F372,I372,K372)=0,"",TODAY()-MAX(F372,I372,K372))</f>
        <v/>
      </c>
      <c r="U372" s="6"/>
      <c r="V372" s="6"/>
      <c r="W372" s="6" t="str">
        <f aca="false">IF(AND($A372="",$B372=""),"",IF(M372="Ambassador","1 - Ambassador",IF(M372="Member","2 - Member",IF(J372="Completed","3 - Presented",IF(H372&lt;&gt;"","4 - Shared",IF(F372&lt;&gt;"","5 - Contacted","6 - No Activity"))))))</f>
        <v/>
      </c>
      <c r="X372" s="6" t="n">
        <f aca="false">IF(AND($A372="",$B372=""),9999999+(ROW()-4),VALUE(LEFT($W372,1))*10000+(ROW()-4))</f>
        <v>10000367</v>
      </c>
    </row>
    <row r="373" customFormat="false" ht="15" hidden="false" customHeight="true" outlineLevel="0" collapsed="false">
      <c r="A373" s="6"/>
      <c r="B373" s="6"/>
      <c r="C373" s="6"/>
      <c r="D373" s="6"/>
      <c r="E373" s="6"/>
      <c r="F373" s="7"/>
      <c r="G373" s="6"/>
      <c r="H373" s="6"/>
      <c r="I373" s="7"/>
      <c r="J373" s="6"/>
      <c r="K373" s="7"/>
      <c r="L373" s="6"/>
      <c r="M373" s="6"/>
      <c r="N373" s="7"/>
      <c r="O373" s="6"/>
      <c r="P373" s="6"/>
      <c r="Q373" s="7"/>
      <c r="R373" s="6" t="str">
        <f aca="false">IF(AND($A373="",$B373=""),"",IF(Q373="Complete","Onboarded",IF(OR(M373="Member",M373="Ambassador"),"Sponsored",IF(K373&lt;&gt;"","Follow-Up",IF(I373&lt;&gt;"","Presented",IF(F373&lt;&gt;"","Contacted","New Lead"))))))</f>
        <v/>
      </c>
      <c r="S373" s="6"/>
      <c r="T373" s="6" t="str">
        <f aca="true">IF(MAX(F373,I373,K373)=0,"",TODAY()-MAX(F373,I373,K373))</f>
        <v/>
      </c>
      <c r="U373" s="6"/>
      <c r="V373" s="6"/>
      <c r="W373" s="6" t="str">
        <f aca="false">IF(AND($A373="",$B373=""),"",IF(M373="Ambassador","1 - Ambassador",IF(M373="Member","2 - Member",IF(J373="Completed","3 - Presented",IF(H373&lt;&gt;"","4 - Shared",IF(F373&lt;&gt;"","5 - Contacted","6 - No Activity"))))))</f>
        <v/>
      </c>
      <c r="X373" s="6" t="n">
        <f aca="false">IF(AND($A373="",$B373=""),9999999+(ROW()-4),VALUE(LEFT($W373,1))*10000+(ROW()-4))</f>
        <v>10000368</v>
      </c>
    </row>
    <row r="374" customFormat="false" ht="15" hidden="false" customHeight="true" outlineLevel="0" collapsed="false">
      <c r="A374" s="6"/>
      <c r="B374" s="6"/>
      <c r="C374" s="6"/>
      <c r="D374" s="6"/>
      <c r="E374" s="6"/>
      <c r="F374" s="7"/>
      <c r="G374" s="6"/>
      <c r="H374" s="6"/>
      <c r="I374" s="7"/>
      <c r="J374" s="6"/>
      <c r="K374" s="7"/>
      <c r="L374" s="6"/>
      <c r="M374" s="6"/>
      <c r="N374" s="7"/>
      <c r="O374" s="6"/>
      <c r="P374" s="6"/>
      <c r="Q374" s="7"/>
      <c r="R374" s="6" t="str">
        <f aca="false">IF(AND($A374="",$B374=""),"",IF(Q374="Complete","Onboarded",IF(OR(M374="Member",M374="Ambassador"),"Sponsored",IF(K374&lt;&gt;"","Follow-Up",IF(I374&lt;&gt;"","Presented",IF(F374&lt;&gt;"","Contacted","New Lead"))))))</f>
        <v/>
      </c>
      <c r="S374" s="6"/>
      <c r="T374" s="6" t="str">
        <f aca="true">IF(MAX(F374,I374,K374)=0,"",TODAY()-MAX(F374,I374,K374))</f>
        <v/>
      </c>
      <c r="U374" s="6"/>
      <c r="V374" s="6"/>
      <c r="W374" s="6" t="str">
        <f aca="false">IF(AND($A374="",$B374=""),"",IF(M374="Ambassador","1 - Ambassador",IF(M374="Member","2 - Member",IF(J374="Completed","3 - Presented",IF(H374&lt;&gt;"","4 - Shared",IF(F374&lt;&gt;"","5 - Contacted","6 - No Activity"))))))</f>
        <v/>
      </c>
      <c r="X374" s="6" t="n">
        <f aca="false">IF(AND($A374="",$B374=""),9999999+(ROW()-4),VALUE(LEFT($W374,1))*10000+(ROW()-4))</f>
        <v>10000369</v>
      </c>
    </row>
    <row r="375" customFormat="false" ht="15" hidden="false" customHeight="true" outlineLevel="0" collapsed="false">
      <c r="A375" s="6"/>
      <c r="B375" s="6"/>
      <c r="C375" s="6"/>
      <c r="D375" s="6"/>
      <c r="E375" s="6"/>
      <c r="F375" s="7"/>
      <c r="G375" s="6"/>
      <c r="H375" s="6"/>
      <c r="I375" s="7"/>
      <c r="J375" s="6"/>
      <c r="K375" s="7"/>
      <c r="L375" s="6"/>
      <c r="M375" s="6"/>
      <c r="N375" s="7"/>
      <c r="O375" s="6"/>
      <c r="P375" s="6"/>
      <c r="Q375" s="7"/>
      <c r="R375" s="6" t="str">
        <f aca="false">IF(AND($A375="",$B375=""),"",IF(Q375="Complete","Onboarded",IF(OR(M375="Member",M375="Ambassador"),"Sponsored",IF(K375&lt;&gt;"","Follow-Up",IF(I375&lt;&gt;"","Presented",IF(F375&lt;&gt;"","Contacted","New Lead"))))))</f>
        <v/>
      </c>
      <c r="S375" s="6"/>
      <c r="T375" s="6" t="str">
        <f aca="true">IF(MAX(F375,I375,K375)=0,"",TODAY()-MAX(F375,I375,K375))</f>
        <v/>
      </c>
      <c r="U375" s="6"/>
      <c r="V375" s="6"/>
      <c r="W375" s="6" t="str">
        <f aca="false">IF(AND($A375="",$B375=""),"",IF(M375="Ambassador","1 - Ambassador",IF(M375="Member","2 - Member",IF(J375="Completed","3 - Presented",IF(H375&lt;&gt;"","4 - Shared",IF(F375&lt;&gt;"","5 - Contacted","6 - No Activity"))))))</f>
        <v/>
      </c>
      <c r="X375" s="6" t="n">
        <f aca="false">IF(AND($A375="",$B375=""),9999999+(ROW()-4),VALUE(LEFT($W375,1))*10000+(ROW()-4))</f>
        <v>10000370</v>
      </c>
    </row>
    <row r="376" customFormat="false" ht="15" hidden="false" customHeight="true" outlineLevel="0" collapsed="false">
      <c r="A376" s="6"/>
      <c r="B376" s="6"/>
      <c r="C376" s="6"/>
      <c r="D376" s="6"/>
      <c r="E376" s="6"/>
      <c r="F376" s="7"/>
      <c r="G376" s="6"/>
      <c r="H376" s="6"/>
      <c r="I376" s="7"/>
      <c r="J376" s="6"/>
      <c r="K376" s="7"/>
      <c r="L376" s="6"/>
      <c r="M376" s="6"/>
      <c r="N376" s="7"/>
      <c r="O376" s="6"/>
      <c r="P376" s="6"/>
      <c r="Q376" s="7"/>
      <c r="R376" s="6" t="str">
        <f aca="false">IF(AND($A376="",$B376=""),"",IF(Q376="Complete","Onboarded",IF(OR(M376="Member",M376="Ambassador"),"Sponsored",IF(K376&lt;&gt;"","Follow-Up",IF(I376&lt;&gt;"","Presented",IF(F376&lt;&gt;"","Contacted","New Lead"))))))</f>
        <v/>
      </c>
      <c r="S376" s="6"/>
      <c r="T376" s="6" t="str">
        <f aca="true">IF(MAX(F376,I376,K376)=0,"",TODAY()-MAX(F376,I376,K376))</f>
        <v/>
      </c>
      <c r="U376" s="6"/>
      <c r="V376" s="6"/>
      <c r="W376" s="6" t="str">
        <f aca="false">IF(AND($A376="",$B376=""),"",IF(M376="Ambassador","1 - Ambassador",IF(M376="Member","2 - Member",IF(J376="Completed","3 - Presented",IF(H376&lt;&gt;"","4 - Shared",IF(F376&lt;&gt;"","5 - Contacted","6 - No Activity"))))))</f>
        <v/>
      </c>
      <c r="X376" s="6" t="n">
        <f aca="false">IF(AND($A376="",$B376=""),9999999+(ROW()-4),VALUE(LEFT($W376,1))*10000+(ROW()-4))</f>
        <v>10000371</v>
      </c>
    </row>
    <row r="377" customFormat="false" ht="15" hidden="false" customHeight="true" outlineLevel="0" collapsed="false">
      <c r="A377" s="6"/>
      <c r="B377" s="6"/>
      <c r="C377" s="6"/>
      <c r="D377" s="6"/>
      <c r="E377" s="6"/>
      <c r="F377" s="7"/>
      <c r="G377" s="6"/>
      <c r="H377" s="6"/>
      <c r="I377" s="7"/>
      <c r="J377" s="6"/>
      <c r="K377" s="7"/>
      <c r="L377" s="6"/>
      <c r="M377" s="6"/>
      <c r="N377" s="7"/>
      <c r="O377" s="6"/>
      <c r="P377" s="6"/>
      <c r="Q377" s="7"/>
      <c r="R377" s="6" t="str">
        <f aca="false">IF(AND($A377="",$B377=""),"",IF(Q377="Complete","Onboarded",IF(OR(M377="Member",M377="Ambassador"),"Sponsored",IF(K377&lt;&gt;"","Follow-Up",IF(I377&lt;&gt;"","Presented",IF(F377&lt;&gt;"","Contacted","New Lead"))))))</f>
        <v/>
      </c>
      <c r="S377" s="6"/>
      <c r="T377" s="6" t="str">
        <f aca="true">IF(MAX(F377,I377,K377)=0,"",TODAY()-MAX(F377,I377,K377))</f>
        <v/>
      </c>
      <c r="U377" s="6"/>
      <c r="V377" s="6"/>
      <c r="W377" s="6" t="str">
        <f aca="false">IF(AND($A377="",$B377=""),"",IF(M377="Ambassador","1 - Ambassador",IF(M377="Member","2 - Member",IF(J377="Completed","3 - Presented",IF(H377&lt;&gt;"","4 - Shared",IF(F377&lt;&gt;"","5 - Contacted","6 - No Activity"))))))</f>
        <v/>
      </c>
      <c r="X377" s="6" t="n">
        <f aca="false">IF(AND($A377="",$B377=""),9999999+(ROW()-4),VALUE(LEFT($W377,1))*10000+(ROW()-4))</f>
        <v>10000372</v>
      </c>
    </row>
    <row r="378" customFormat="false" ht="15" hidden="false" customHeight="true" outlineLevel="0" collapsed="false">
      <c r="A378" s="6"/>
      <c r="B378" s="6"/>
      <c r="C378" s="6"/>
      <c r="D378" s="6"/>
      <c r="E378" s="6"/>
      <c r="F378" s="7"/>
      <c r="G378" s="6"/>
      <c r="H378" s="6"/>
      <c r="I378" s="7"/>
      <c r="J378" s="6"/>
      <c r="K378" s="7"/>
      <c r="L378" s="6"/>
      <c r="M378" s="6"/>
      <c r="N378" s="7"/>
      <c r="O378" s="6"/>
      <c r="P378" s="6"/>
      <c r="Q378" s="7"/>
      <c r="R378" s="6" t="str">
        <f aca="false">IF(AND($A378="",$B378=""),"",IF(Q378="Complete","Onboarded",IF(OR(M378="Member",M378="Ambassador"),"Sponsored",IF(K378&lt;&gt;"","Follow-Up",IF(I378&lt;&gt;"","Presented",IF(F378&lt;&gt;"","Contacted","New Lead"))))))</f>
        <v/>
      </c>
      <c r="S378" s="6"/>
      <c r="T378" s="6" t="str">
        <f aca="true">IF(MAX(F378,I378,K378)=0,"",TODAY()-MAX(F378,I378,K378))</f>
        <v/>
      </c>
      <c r="U378" s="6"/>
      <c r="V378" s="6"/>
      <c r="W378" s="6" t="str">
        <f aca="false">IF(AND($A378="",$B378=""),"",IF(M378="Ambassador","1 - Ambassador",IF(M378="Member","2 - Member",IF(J378="Completed","3 - Presented",IF(H378&lt;&gt;"","4 - Shared",IF(F378&lt;&gt;"","5 - Contacted","6 - No Activity"))))))</f>
        <v/>
      </c>
      <c r="X378" s="6" t="n">
        <f aca="false">IF(AND($A378="",$B378=""),9999999+(ROW()-4),VALUE(LEFT($W378,1))*10000+(ROW()-4))</f>
        <v>10000373</v>
      </c>
    </row>
    <row r="379" customFormat="false" ht="15" hidden="false" customHeight="true" outlineLevel="0" collapsed="false">
      <c r="A379" s="6"/>
      <c r="B379" s="6"/>
      <c r="C379" s="6"/>
      <c r="D379" s="6"/>
      <c r="E379" s="6"/>
      <c r="F379" s="7"/>
      <c r="G379" s="6"/>
      <c r="H379" s="6"/>
      <c r="I379" s="7"/>
      <c r="J379" s="6"/>
      <c r="K379" s="7"/>
      <c r="L379" s="6"/>
      <c r="M379" s="6"/>
      <c r="N379" s="7"/>
      <c r="O379" s="6"/>
      <c r="P379" s="6"/>
      <c r="Q379" s="7"/>
      <c r="R379" s="6" t="str">
        <f aca="false">IF(AND($A379="",$B379=""),"",IF(Q379="Complete","Onboarded",IF(OR(M379="Member",M379="Ambassador"),"Sponsored",IF(K379&lt;&gt;"","Follow-Up",IF(I379&lt;&gt;"","Presented",IF(F379&lt;&gt;"","Contacted","New Lead"))))))</f>
        <v/>
      </c>
      <c r="S379" s="6"/>
      <c r="T379" s="6" t="str">
        <f aca="true">IF(MAX(F379,I379,K379)=0,"",TODAY()-MAX(F379,I379,K379))</f>
        <v/>
      </c>
      <c r="U379" s="6"/>
      <c r="V379" s="6"/>
      <c r="W379" s="6" t="str">
        <f aca="false">IF(AND($A379="",$B379=""),"",IF(M379="Ambassador","1 - Ambassador",IF(M379="Member","2 - Member",IF(J379="Completed","3 - Presented",IF(H379&lt;&gt;"","4 - Shared",IF(F379&lt;&gt;"","5 - Contacted","6 - No Activity"))))))</f>
        <v/>
      </c>
      <c r="X379" s="6" t="n">
        <f aca="false">IF(AND($A379="",$B379=""),9999999+(ROW()-4),VALUE(LEFT($W379,1))*10000+(ROW()-4))</f>
        <v>10000374</v>
      </c>
    </row>
    <row r="380" customFormat="false" ht="15" hidden="false" customHeight="true" outlineLevel="0" collapsed="false">
      <c r="A380" s="6"/>
      <c r="B380" s="6"/>
      <c r="C380" s="6"/>
      <c r="D380" s="6"/>
      <c r="E380" s="6"/>
      <c r="F380" s="7"/>
      <c r="G380" s="6"/>
      <c r="H380" s="6"/>
      <c r="I380" s="7"/>
      <c r="J380" s="6"/>
      <c r="K380" s="7"/>
      <c r="L380" s="6"/>
      <c r="M380" s="6"/>
      <c r="N380" s="7"/>
      <c r="O380" s="6"/>
      <c r="P380" s="6"/>
      <c r="Q380" s="7"/>
      <c r="R380" s="6" t="str">
        <f aca="false">IF(AND($A380="",$B380=""),"",IF(Q380="Complete","Onboarded",IF(OR(M380="Member",M380="Ambassador"),"Sponsored",IF(K380&lt;&gt;"","Follow-Up",IF(I380&lt;&gt;"","Presented",IF(F380&lt;&gt;"","Contacted","New Lead"))))))</f>
        <v/>
      </c>
      <c r="S380" s="6"/>
      <c r="T380" s="6" t="str">
        <f aca="true">IF(MAX(F380,I380,K380)=0,"",TODAY()-MAX(F380,I380,K380))</f>
        <v/>
      </c>
      <c r="U380" s="6"/>
      <c r="V380" s="6"/>
      <c r="W380" s="6" t="str">
        <f aca="false">IF(AND($A380="",$B380=""),"",IF(M380="Ambassador","1 - Ambassador",IF(M380="Member","2 - Member",IF(J380="Completed","3 - Presented",IF(H380&lt;&gt;"","4 - Shared",IF(F380&lt;&gt;"","5 - Contacted","6 - No Activity"))))))</f>
        <v/>
      </c>
      <c r="X380" s="6" t="n">
        <f aca="false">IF(AND($A380="",$B380=""),9999999+(ROW()-4),VALUE(LEFT($W380,1))*10000+(ROW()-4))</f>
        <v>10000375</v>
      </c>
    </row>
    <row r="381" customFormat="false" ht="15" hidden="false" customHeight="true" outlineLevel="0" collapsed="false">
      <c r="A381" s="6"/>
      <c r="B381" s="6"/>
      <c r="C381" s="6"/>
      <c r="D381" s="6"/>
      <c r="E381" s="6"/>
      <c r="F381" s="7"/>
      <c r="G381" s="6"/>
      <c r="H381" s="6"/>
      <c r="I381" s="7"/>
      <c r="J381" s="6"/>
      <c r="K381" s="7"/>
      <c r="L381" s="6"/>
      <c r="M381" s="6"/>
      <c r="N381" s="7"/>
      <c r="O381" s="6"/>
      <c r="P381" s="6"/>
      <c r="Q381" s="7"/>
      <c r="R381" s="6" t="str">
        <f aca="false">IF(AND($A381="",$B381=""),"",IF(Q381="Complete","Onboarded",IF(OR(M381="Member",M381="Ambassador"),"Sponsored",IF(K381&lt;&gt;"","Follow-Up",IF(I381&lt;&gt;"","Presented",IF(F381&lt;&gt;"","Contacted","New Lead"))))))</f>
        <v/>
      </c>
      <c r="S381" s="6"/>
      <c r="T381" s="6" t="str">
        <f aca="true">IF(MAX(F381,I381,K381)=0,"",TODAY()-MAX(F381,I381,K381))</f>
        <v/>
      </c>
      <c r="U381" s="6"/>
      <c r="V381" s="6"/>
      <c r="W381" s="6" t="str">
        <f aca="false">IF(AND($A381="",$B381=""),"",IF(M381="Ambassador","1 - Ambassador",IF(M381="Member","2 - Member",IF(J381="Completed","3 - Presented",IF(H381&lt;&gt;"","4 - Shared",IF(F381&lt;&gt;"","5 - Contacted","6 - No Activity"))))))</f>
        <v/>
      </c>
      <c r="X381" s="6" t="n">
        <f aca="false">IF(AND($A381="",$B381=""),9999999+(ROW()-4),VALUE(LEFT($W381,1))*10000+(ROW()-4))</f>
        <v>10000376</v>
      </c>
    </row>
    <row r="382" customFormat="false" ht="15" hidden="false" customHeight="true" outlineLevel="0" collapsed="false">
      <c r="A382" s="6"/>
      <c r="B382" s="6"/>
      <c r="C382" s="6"/>
      <c r="D382" s="6"/>
      <c r="E382" s="6"/>
      <c r="F382" s="7"/>
      <c r="G382" s="6"/>
      <c r="H382" s="6"/>
      <c r="I382" s="7"/>
      <c r="J382" s="6"/>
      <c r="K382" s="7"/>
      <c r="L382" s="6"/>
      <c r="M382" s="6"/>
      <c r="N382" s="7"/>
      <c r="O382" s="6"/>
      <c r="P382" s="6"/>
      <c r="Q382" s="7"/>
      <c r="R382" s="6" t="str">
        <f aca="false">IF(AND($A382="",$B382=""),"",IF(Q382="Complete","Onboarded",IF(OR(M382="Member",M382="Ambassador"),"Sponsored",IF(K382&lt;&gt;"","Follow-Up",IF(I382&lt;&gt;"","Presented",IF(F382&lt;&gt;"","Contacted","New Lead"))))))</f>
        <v/>
      </c>
      <c r="S382" s="6"/>
      <c r="T382" s="6" t="str">
        <f aca="true">IF(MAX(F382,I382,K382)=0,"",TODAY()-MAX(F382,I382,K382))</f>
        <v/>
      </c>
      <c r="U382" s="6"/>
      <c r="V382" s="6"/>
      <c r="W382" s="6" t="str">
        <f aca="false">IF(AND($A382="",$B382=""),"",IF(M382="Ambassador","1 - Ambassador",IF(M382="Member","2 - Member",IF(J382="Completed","3 - Presented",IF(H382&lt;&gt;"","4 - Shared",IF(F382&lt;&gt;"","5 - Contacted","6 - No Activity"))))))</f>
        <v/>
      </c>
      <c r="X382" s="6" t="n">
        <f aca="false">IF(AND($A382="",$B382=""),9999999+(ROW()-4),VALUE(LEFT($W382,1))*10000+(ROW()-4))</f>
        <v>10000377</v>
      </c>
    </row>
    <row r="383" customFormat="false" ht="15" hidden="false" customHeight="true" outlineLevel="0" collapsed="false">
      <c r="A383" s="6"/>
      <c r="B383" s="6"/>
      <c r="C383" s="6"/>
      <c r="D383" s="6"/>
      <c r="E383" s="6"/>
      <c r="F383" s="7"/>
      <c r="G383" s="6"/>
      <c r="H383" s="6"/>
      <c r="I383" s="7"/>
      <c r="J383" s="6"/>
      <c r="K383" s="7"/>
      <c r="L383" s="6"/>
      <c r="M383" s="6"/>
      <c r="N383" s="7"/>
      <c r="O383" s="6"/>
      <c r="P383" s="6"/>
      <c r="Q383" s="7"/>
      <c r="R383" s="6" t="str">
        <f aca="false">IF(AND($A383="",$B383=""),"",IF(Q383="Complete","Onboarded",IF(OR(M383="Member",M383="Ambassador"),"Sponsored",IF(K383&lt;&gt;"","Follow-Up",IF(I383&lt;&gt;"","Presented",IF(F383&lt;&gt;"","Contacted","New Lead"))))))</f>
        <v/>
      </c>
      <c r="S383" s="6"/>
      <c r="T383" s="6" t="str">
        <f aca="true">IF(MAX(F383,I383,K383)=0,"",TODAY()-MAX(F383,I383,K383))</f>
        <v/>
      </c>
      <c r="U383" s="6"/>
      <c r="V383" s="6"/>
      <c r="W383" s="6" t="str">
        <f aca="false">IF(AND($A383="",$B383=""),"",IF(M383="Ambassador","1 - Ambassador",IF(M383="Member","2 - Member",IF(J383="Completed","3 - Presented",IF(H383&lt;&gt;"","4 - Shared",IF(F383&lt;&gt;"","5 - Contacted","6 - No Activity"))))))</f>
        <v/>
      </c>
      <c r="X383" s="6" t="n">
        <f aca="false">IF(AND($A383="",$B383=""),9999999+(ROW()-4),VALUE(LEFT($W383,1))*10000+(ROW()-4))</f>
        <v>10000378</v>
      </c>
    </row>
    <row r="384" customFormat="false" ht="15" hidden="false" customHeight="true" outlineLevel="0" collapsed="false">
      <c r="A384" s="6"/>
      <c r="B384" s="6"/>
      <c r="C384" s="6"/>
      <c r="D384" s="6"/>
      <c r="E384" s="6"/>
      <c r="F384" s="7"/>
      <c r="G384" s="6"/>
      <c r="H384" s="6"/>
      <c r="I384" s="7"/>
      <c r="J384" s="6"/>
      <c r="K384" s="7"/>
      <c r="L384" s="6"/>
      <c r="M384" s="6"/>
      <c r="N384" s="7"/>
      <c r="O384" s="6"/>
      <c r="P384" s="6"/>
      <c r="Q384" s="7"/>
      <c r="R384" s="6" t="str">
        <f aca="false">IF(AND($A384="",$B384=""),"",IF(Q384="Complete","Onboarded",IF(OR(M384="Member",M384="Ambassador"),"Sponsored",IF(K384&lt;&gt;"","Follow-Up",IF(I384&lt;&gt;"","Presented",IF(F384&lt;&gt;"","Contacted","New Lead"))))))</f>
        <v/>
      </c>
      <c r="S384" s="6"/>
      <c r="T384" s="6" t="str">
        <f aca="true">IF(MAX(F384,I384,K384)=0,"",TODAY()-MAX(F384,I384,K384))</f>
        <v/>
      </c>
      <c r="U384" s="6"/>
      <c r="V384" s="6"/>
      <c r="W384" s="6" t="str">
        <f aca="false">IF(AND($A384="",$B384=""),"",IF(M384="Ambassador","1 - Ambassador",IF(M384="Member","2 - Member",IF(J384="Completed","3 - Presented",IF(H384&lt;&gt;"","4 - Shared",IF(F384&lt;&gt;"","5 - Contacted","6 - No Activity"))))))</f>
        <v/>
      </c>
      <c r="X384" s="6" t="n">
        <f aca="false">IF(AND($A384="",$B384=""),9999999+(ROW()-4),VALUE(LEFT($W384,1))*10000+(ROW()-4))</f>
        <v>10000379</v>
      </c>
    </row>
    <row r="385" customFormat="false" ht="15" hidden="false" customHeight="true" outlineLevel="0" collapsed="false">
      <c r="A385" s="6"/>
      <c r="B385" s="6"/>
      <c r="C385" s="6"/>
      <c r="D385" s="6"/>
      <c r="E385" s="6"/>
      <c r="F385" s="7"/>
      <c r="G385" s="6"/>
      <c r="H385" s="6"/>
      <c r="I385" s="7"/>
      <c r="J385" s="6"/>
      <c r="K385" s="7"/>
      <c r="L385" s="6"/>
      <c r="M385" s="6"/>
      <c r="N385" s="7"/>
      <c r="O385" s="6"/>
      <c r="P385" s="6"/>
      <c r="Q385" s="7"/>
      <c r="R385" s="6" t="str">
        <f aca="false">IF(AND($A385="",$B385=""),"",IF(Q385="Complete","Onboarded",IF(OR(M385="Member",M385="Ambassador"),"Sponsored",IF(K385&lt;&gt;"","Follow-Up",IF(I385&lt;&gt;"","Presented",IF(F385&lt;&gt;"","Contacted","New Lead"))))))</f>
        <v/>
      </c>
      <c r="S385" s="6"/>
      <c r="T385" s="6" t="str">
        <f aca="true">IF(MAX(F385,I385,K385)=0,"",TODAY()-MAX(F385,I385,K385))</f>
        <v/>
      </c>
      <c r="U385" s="6"/>
      <c r="V385" s="6"/>
      <c r="W385" s="6" t="str">
        <f aca="false">IF(AND($A385="",$B385=""),"",IF(M385="Ambassador","1 - Ambassador",IF(M385="Member","2 - Member",IF(J385="Completed","3 - Presented",IF(H385&lt;&gt;"","4 - Shared",IF(F385&lt;&gt;"","5 - Contacted","6 - No Activity"))))))</f>
        <v/>
      </c>
      <c r="X385" s="6" t="n">
        <f aca="false">IF(AND($A385="",$B385=""),9999999+(ROW()-4),VALUE(LEFT($W385,1))*10000+(ROW()-4))</f>
        <v>10000380</v>
      </c>
    </row>
    <row r="386" customFormat="false" ht="15" hidden="false" customHeight="true" outlineLevel="0" collapsed="false">
      <c r="A386" s="6"/>
      <c r="B386" s="6"/>
      <c r="C386" s="6"/>
      <c r="D386" s="6"/>
      <c r="E386" s="6"/>
      <c r="F386" s="7"/>
      <c r="G386" s="6"/>
      <c r="H386" s="6"/>
      <c r="I386" s="7"/>
      <c r="J386" s="6"/>
      <c r="K386" s="7"/>
      <c r="L386" s="6"/>
      <c r="M386" s="6"/>
      <c r="N386" s="7"/>
      <c r="O386" s="6"/>
      <c r="P386" s="6"/>
      <c r="Q386" s="7"/>
      <c r="R386" s="6" t="str">
        <f aca="false">IF(AND($A386="",$B386=""),"",IF(Q386="Complete","Onboarded",IF(OR(M386="Member",M386="Ambassador"),"Sponsored",IF(K386&lt;&gt;"","Follow-Up",IF(I386&lt;&gt;"","Presented",IF(F386&lt;&gt;"","Contacted","New Lead"))))))</f>
        <v/>
      </c>
      <c r="S386" s="6"/>
      <c r="T386" s="6" t="str">
        <f aca="true">IF(MAX(F386,I386,K386)=0,"",TODAY()-MAX(F386,I386,K386))</f>
        <v/>
      </c>
      <c r="U386" s="6"/>
      <c r="V386" s="6"/>
      <c r="W386" s="6" t="str">
        <f aca="false">IF(AND($A386="",$B386=""),"",IF(M386="Ambassador","1 - Ambassador",IF(M386="Member","2 - Member",IF(J386="Completed","3 - Presented",IF(H386&lt;&gt;"","4 - Shared",IF(F386&lt;&gt;"","5 - Contacted","6 - No Activity"))))))</f>
        <v/>
      </c>
      <c r="X386" s="6" t="n">
        <f aca="false">IF(AND($A386="",$B386=""),9999999+(ROW()-4),VALUE(LEFT($W386,1))*10000+(ROW()-4))</f>
        <v>10000381</v>
      </c>
    </row>
    <row r="387" customFormat="false" ht="15" hidden="false" customHeight="true" outlineLevel="0" collapsed="false">
      <c r="A387" s="6"/>
      <c r="B387" s="6"/>
      <c r="C387" s="6"/>
      <c r="D387" s="6"/>
      <c r="E387" s="6"/>
      <c r="F387" s="7"/>
      <c r="G387" s="6"/>
      <c r="H387" s="6"/>
      <c r="I387" s="7"/>
      <c r="J387" s="6"/>
      <c r="K387" s="7"/>
      <c r="L387" s="6"/>
      <c r="M387" s="6"/>
      <c r="N387" s="7"/>
      <c r="O387" s="6"/>
      <c r="P387" s="6"/>
      <c r="Q387" s="7"/>
      <c r="R387" s="6" t="str">
        <f aca="false">IF(AND($A387="",$B387=""),"",IF(Q387="Complete","Onboarded",IF(OR(M387="Member",M387="Ambassador"),"Sponsored",IF(K387&lt;&gt;"","Follow-Up",IF(I387&lt;&gt;"","Presented",IF(F387&lt;&gt;"","Contacted","New Lead"))))))</f>
        <v/>
      </c>
      <c r="S387" s="6"/>
      <c r="T387" s="6" t="str">
        <f aca="true">IF(MAX(F387,I387,K387)=0,"",TODAY()-MAX(F387,I387,K387))</f>
        <v/>
      </c>
      <c r="U387" s="6"/>
      <c r="V387" s="6"/>
      <c r="W387" s="6" t="str">
        <f aca="false">IF(AND($A387="",$B387=""),"",IF(M387="Ambassador","1 - Ambassador",IF(M387="Member","2 - Member",IF(J387="Completed","3 - Presented",IF(H387&lt;&gt;"","4 - Shared",IF(F387&lt;&gt;"","5 - Contacted","6 - No Activity"))))))</f>
        <v/>
      </c>
      <c r="X387" s="6" t="n">
        <f aca="false">IF(AND($A387="",$B387=""),9999999+(ROW()-4),VALUE(LEFT($W387,1))*10000+(ROW()-4))</f>
        <v>10000382</v>
      </c>
    </row>
    <row r="388" customFormat="false" ht="15" hidden="false" customHeight="true" outlineLevel="0" collapsed="false">
      <c r="A388" s="6"/>
      <c r="B388" s="6"/>
      <c r="C388" s="6"/>
      <c r="D388" s="6"/>
      <c r="E388" s="6"/>
      <c r="F388" s="7"/>
      <c r="G388" s="6"/>
      <c r="H388" s="6"/>
      <c r="I388" s="7"/>
      <c r="J388" s="6"/>
      <c r="K388" s="7"/>
      <c r="L388" s="6"/>
      <c r="M388" s="6"/>
      <c r="N388" s="7"/>
      <c r="O388" s="6"/>
      <c r="P388" s="6"/>
      <c r="Q388" s="7"/>
      <c r="R388" s="6" t="str">
        <f aca="false">IF(AND($A388="",$B388=""),"",IF(Q388="Complete","Onboarded",IF(OR(M388="Member",M388="Ambassador"),"Sponsored",IF(K388&lt;&gt;"","Follow-Up",IF(I388&lt;&gt;"","Presented",IF(F388&lt;&gt;"","Contacted","New Lead"))))))</f>
        <v/>
      </c>
      <c r="S388" s="6"/>
      <c r="T388" s="6" t="str">
        <f aca="true">IF(MAX(F388,I388,K388)=0,"",TODAY()-MAX(F388,I388,K388))</f>
        <v/>
      </c>
      <c r="U388" s="6"/>
      <c r="V388" s="6"/>
      <c r="W388" s="6" t="str">
        <f aca="false">IF(AND($A388="",$B388=""),"",IF(M388="Ambassador","1 - Ambassador",IF(M388="Member","2 - Member",IF(J388="Completed","3 - Presented",IF(H388&lt;&gt;"","4 - Shared",IF(F388&lt;&gt;"","5 - Contacted","6 - No Activity"))))))</f>
        <v/>
      </c>
      <c r="X388" s="6" t="n">
        <f aca="false">IF(AND($A388="",$B388=""),9999999+(ROW()-4),VALUE(LEFT($W388,1))*10000+(ROW()-4))</f>
        <v>10000383</v>
      </c>
    </row>
    <row r="389" customFormat="false" ht="15" hidden="false" customHeight="true" outlineLevel="0" collapsed="false">
      <c r="A389" s="6"/>
      <c r="B389" s="6"/>
      <c r="C389" s="6"/>
      <c r="D389" s="6"/>
      <c r="E389" s="6"/>
      <c r="F389" s="7"/>
      <c r="G389" s="6"/>
      <c r="H389" s="6"/>
      <c r="I389" s="7"/>
      <c r="J389" s="6"/>
      <c r="K389" s="7"/>
      <c r="L389" s="6"/>
      <c r="M389" s="6"/>
      <c r="N389" s="7"/>
      <c r="O389" s="6"/>
      <c r="P389" s="6"/>
      <c r="Q389" s="7"/>
      <c r="R389" s="6" t="str">
        <f aca="false">IF(AND($A389="",$B389=""),"",IF(Q389="Complete","Onboarded",IF(OR(M389="Member",M389="Ambassador"),"Sponsored",IF(K389&lt;&gt;"","Follow-Up",IF(I389&lt;&gt;"","Presented",IF(F389&lt;&gt;"","Contacted","New Lead"))))))</f>
        <v/>
      </c>
      <c r="S389" s="6"/>
      <c r="T389" s="6" t="str">
        <f aca="true">IF(MAX(F389,I389,K389)=0,"",TODAY()-MAX(F389,I389,K389))</f>
        <v/>
      </c>
      <c r="U389" s="6"/>
      <c r="V389" s="6"/>
      <c r="W389" s="6" t="str">
        <f aca="false">IF(AND($A389="",$B389=""),"",IF(M389="Ambassador","1 - Ambassador",IF(M389="Member","2 - Member",IF(J389="Completed","3 - Presented",IF(H389&lt;&gt;"","4 - Shared",IF(F389&lt;&gt;"","5 - Contacted","6 - No Activity"))))))</f>
        <v/>
      </c>
      <c r="X389" s="6" t="n">
        <f aca="false">IF(AND($A389="",$B389=""),9999999+(ROW()-4),VALUE(LEFT($W389,1))*10000+(ROW()-4))</f>
        <v>10000384</v>
      </c>
    </row>
    <row r="390" customFormat="false" ht="15" hidden="false" customHeight="true" outlineLevel="0" collapsed="false">
      <c r="A390" s="6"/>
      <c r="B390" s="6"/>
      <c r="C390" s="6"/>
      <c r="D390" s="6"/>
      <c r="E390" s="6"/>
      <c r="F390" s="7"/>
      <c r="G390" s="6"/>
      <c r="H390" s="6"/>
      <c r="I390" s="7"/>
      <c r="J390" s="6"/>
      <c r="K390" s="7"/>
      <c r="L390" s="6"/>
      <c r="M390" s="6"/>
      <c r="N390" s="7"/>
      <c r="O390" s="6"/>
      <c r="P390" s="6"/>
      <c r="Q390" s="7"/>
      <c r="R390" s="6" t="str">
        <f aca="false">IF(AND($A390="",$B390=""),"",IF(Q390="Complete","Onboarded",IF(OR(M390="Member",M390="Ambassador"),"Sponsored",IF(K390&lt;&gt;"","Follow-Up",IF(I390&lt;&gt;"","Presented",IF(F390&lt;&gt;"","Contacted","New Lead"))))))</f>
        <v/>
      </c>
      <c r="S390" s="6"/>
      <c r="T390" s="6" t="str">
        <f aca="true">IF(MAX(F390,I390,K390)=0,"",TODAY()-MAX(F390,I390,K390))</f>
        <v/>
      </c>
      <c r="U390" s="6"/>
      <c r="V390" s="6"/>
      <c r="W390" s="6" t="str">
        <f aca="false">IF(AND($A390="",$B390=""),"",IF(M390="Ambassador","1 - Ambassador",IF(M390="Member","2 - Member",IF(J390="Completed","3 - Presented",IF(H390&lt;&gt;"","4 - Shared",IF(F390&lt;&gt;"","5 - Contacted","6 - No Activity"))))))</f>
        <v/>
      </c>
      <c r="X390" s="6" t="n">
        <f aca="false">IF(AND($A390="",$B390=""),9999999+(ROW()-4),VALUE(LEFT($W390,1))*10000+(ROW()-4))</f>
        <v>10000385</v>
      </c>
    </row>
    <row r="391" customFormat="false" ht="15" hidden="false" customHeight="true" outlineLevel="0" collapsed="false">
      <c r="A391" s="6"/>
      <c r="B391" s="6"/>
      <c r="C391" s="6"/>
      <c r="D391" s="6"/>
      <c r="E391" s="6"/>
      <c r="F391" s="7"/>
      <c r="G391" s="6"/>
      <c r="H391" s="6"/>
      <c r="I391" s="7"/>
      <c r="J391" s="6"/>
      <c r="K391" s="7"/>
      <c r="L391" s="6"/>
      <c r="M391" s="6"/>
      <c r="N391" s="7"/>
      <c r="O391" s="6"/>
      <c r="P391" s="6"/>
      <c r="Q391" s="7"/>
      <c r="R391" s="6" t="str">
        <f aca="false">IF(AND($A391="",$B391=""),"",IF(Q391="Complete","Onboarded",IF(OR(M391="Member",M391="Ambassador"),"Sponsored",IF(K391&lt;&gt;"","Follow-Up",IF(I391&lt;&gt;"","Presented",IF(F391&lt;&gt;"","Contacted","New Lead"))))))</f>
        <v/>
      </c>
      <c r="S391" s="6"/>
      <c r="T391" s="6" t="str">
        <f aca="true">IF(MAX(F391,I391,K391)=0,"",TODAY()-MAX(F391,I391,K391))</f>
        <v/>
      </c>
      <c r="U391" s="6"/>
      <c r="V391" s="6"/>
      <c r="W391" s="6" t="str">
        <f aca="false">IF(AND($A391="",$B391=""),"",IF(M391="Ambassador","1 - Ambassador",IF(M391="Member","2 - Member",IF(J391="Completed","3 - Presented",IF(H391&lt;&gt;"","4 - Shared",IF(F391&lt;&gt;"","5 - Contacted","6 - No Activity"))))))</f>
        <v/>
      </c>
      <c r="X391" s="6" t="n">
        <f aca="false">IF(AND($A391="",$B391=""),9999999+(ROW()-4),VALUE(LEFT($W391,1))*10000+(ROW()-4))</f>
        <v>10000386</v>
      </c>
    </row>
    <row r="392" customFormat="false" ht="15" hidden="false" customHeight="true" outlineLevel="0" collapsed="false">
      <c r="A392" s="6"/>
      <c r="B392" s="6"/>
      <c r="C392" s="6"/>
      <c r="D392" s="6"/>
      <c r="E392" s="6"/>
      <c r="F392" s="7"/>
      <c r="G392" s="6"/>
      <c r="H392" s="6"/>
      <c r="I392" s="7"/>
      <c r="J392" s="6"/>
      <c r="K392" s="7"/>
      <c r="L392" s="6"/>
      <c r="M392" s="6"/>
      <c r="N392" s="7"/>
      <c r="O392" s="6"/>
      <c r="P392" s="6"/>
      <c r="Q392" s="7"/>
      <c r="R392" s="6" t="str">
        <f aca="false">IF(AND($A392="",$B392=""),"",IF(Q392="Complete","Onboarded",IF(OR(M392="Member",M392="Ambassador"),"Sponsored",IF(K392&lt;&gt;"","Follow-Up",IF(I392&lt;&gt;"","Presented",IF(F392&lt;&gt;"","Contacted","New Lead"))))))</f>
        <v/>
      </c>
      <c r="S392" s="6"/>
      <c r="T392" s="6" t="str">
        <f aca="true">IF(MAX(F392,I392,K392)=0,"",TODAY()-MAX(F392,I392,K392))</f>
        <v/>
      </c>
      <c r="U392" s="6"/>
      <c r="V392" s="6"/>
      <c r="W392" s="6" t="str">
        <f aca="false">IF(AND($A392="",$B392=""),"",IF(M392="Ambassador","1 - Ambassador",IF(M392="Member","2 - Member",IF(J392="Completed","3 - Presented",IF(H392&lt;&gt;"","4 - Shared",IF(F392&lt;&gt;"","5 - Contacted","6 - No Activity"))))))</f>
        <v/>
      </c>
      <c r="X392" s="6" t="n">
        <f aca="false">IF(AND($A392="",$B392=""),9999999+(ROW()-4),VALUE(LEFT($W392,1))*10000+(ROW()-4))</f>
        <v>10000387</v>
      </c>
    </row>
    <row r="393" customFormat="false" ht="15" hidden="false" customHeight="true" outlineLevel="0" collapsed="false">
      <c r="A393" s="6"/>
      <c r="B393" s="6"/>
      <c r="C393" s="6"/>
      <c r="D393" s="6"/>
      <c r="E393" s="6"/>
      <c r="F393" s="7"/>
      <c r="G393" s="6"/>
      <c r="H393" s="6"/>
      <c r="I393" s="7"/>
      <c r="J393" s="6"/>
      <c r="K393" s="7"/>
      <c r="L393" s="6"/>
      <c r="M393" s="6"/>
      <c r="N393" s="7"/>
      <c r="O393" s="6"/>
      <c r="P393" s="6"/>
      <c r="Q393" s="7"/>
      <c r="R393" s="6" t="str">
        <f aca="false">IF(AND($A393="",$B393=""),"",IF(Q393="Complete","Onboarded",IF(OR(M393="Member",M393="Ambassador"),"Sponsored",IF(K393&lt;&gt;"","Follow-Up",IF(I393&lt;&gt;"","Presented",IF(F393&lt;&gt;"","Contacted","New Lead"))))))</f>
        <v/>
      </c>
      <c r="S393" s="6"/>
      <c r="T393" s="6" t="str">
        <f aca="true">IF(MAX(F393,I393,K393)=0,"",TODAY()-MAX(F393,I393,K393))</f>
        <v/>
      </c>
      <c r="U393" s="6"/>
      <c r="V393" s="6"/>
      <c r="W393" s="6" t="str">
        <f aca="false">IF(AND($A393="",$B393=""),"",IF(M393="Ambassador","1 - Ambassador",IF(M393="Member","2 - Member",IF(J393="Completed","3 - Presented",IF(H393&lt;&gt;"","4 - Shared",IF(F393&lt;&gt;"","5 - Contacted","6 - No Activity"))))))</f>
        <v/>
      </c>
      <c r="X393" s="6" t="n">
        <f aca="false">IF(AND($A393="",$B393=""),9999999+(ROW()-4),VALUE(LEFT($W393,1))*10000+(ROW()-4))</f>
        <v>10000388</v>
      </c>
    </row>
    <row r="394" customFormat="false" ht="15" hidden="false" customHeight="true" outlineLevel="0" collapsed="false">
      <c r="A394" s="6"/>
      <c r="B394" s="6"/>
      <c r="C394" s="6"/>
      <c r="D394" s="6"/>
      <c r="E394" s="6"/>
      <c r="F394" s="7"/>
      <c r="G394" s="6"/>
      <c r="H394" s="6"/>
      <c r="I394" s="7"/>
      <c r="J394" s="6"/>
      <c r="K394" s="7"/>
      <c r="L394" s="6"/>
      <c r="M394" s="6"/>
      <c r="N394" s="7"/>
      <c r="O394" s="6"/>
      <c r="P394" s="6"/>
      <c r="Q394" s="7"/>
      <c r="R394" s="6" t="str">
        <f aca="false">IF(AND($A394="",$B394=""),"",IF(Q394="Complete","Onboarded",IF(OR(M394="Member",M394="Ambassador"),"Sponsored",IF(K394&lt;&gt;"","Follow-Up",IF(I394&lt;&gt;"","Presented",IF(F394&lt;&gt;"","Contacted","New Lead"))))))</f>
        <v/>
      </c>
      <c r="S394" s="6"/>
      <c r="T394" s="6" t="str">
        <f aca="true">IF(MAX(F394,I394,K394)=0,"",TODAY()-MAX(F394,I394,K394))</f>
        <v/>
      </c>
      <c r="U394" s="6"/>
      <c r="V394" s="6"/>
      <c r="W394" s="6" t="str">
        <f aca="false">IF(AND($A394="",$B394=""),"",IF(M394="Ambassador","1 - Ambassador",IF(M394="Member","2 - Member",IF(J394="Completed","3 - Presented",IF(H394&lt;&gt;"","4 - Shared",IF(F394&lt;&gt;"","5 - Contacted","6 - No Activity"))))))</f>
        <v/>
      </c>
      <c r="X394" s="6" t="n">
        <f aca="false">IF(AND($A394="",$B394=""),9999999+(ROW()-4),VALUE(LEFT($W394,1))*10000+(ROW()-4))</f>
        <v>10000389</v>
      </c>
    </row>
    <row r="395" customFormat="false" ht="15" hidden="false" customHeight="true" outlineLevel="0" collapsed="false">
      <c r="A395" s="6"/>
      <c r="B395" s="6"/>
      <c r="C395" s="6"/>
      <c r="D395" s="6"/>
      <c r="E395" s="6"/>
      <c r="F395" s="7"/>
      <c r="G395" s="6"/>
      <c r="H395" s="6"/>
      <c r="I395" s="7"/>
      <c r="J395" s="6"/>
      <c r="K395" s="7"/>
      <c r="L395" s="6"/>
      <c r="M395" s="6"/>
      <c r="N395" s="7"/>
      <c r="O395" s="6"/>
      <c r="P395" s="6"/>
      <c r="Q395" s="7"/>
      <c r="R395" s="6" t="str">
        <f aca="false">IF(AND($A395="",$B395=""),"",IF(Q395="Complete","Onboarded",IF(OR(M395="Member",M395="Ambassador"),"Sponsored",IF(K395&lt;&gt;"","Follow-Up",IF(I395&lt;&gt;"","Presented",IF(F395&lt;&gt;"","Contacted","New Lead"))))))</f>
        <v/>
      </c>
      <c r="S395" s="6"/>
      <c r="T395" s="6" t="str">
        <f aca="true">IF(MAX(F395,I395,K395)=0,"",TODAY()-MAX(F395,I395,K395))</f>
        <v/>
      </c>
      <c r="U395" s="6"/>
      <c r="V395" s="6"/>
      <c r="W395" s="6" t="str">
        <f aca="false">IF(AND($A395="",$B395=""),"",IF(M395="Ambassador","1 - Ambassador",IF(M395="Member","2 - Member",IF(J395="Completed","3 - Presented",IF(H395&lt;&gt;"","4 - Shared",IF(F395&lt;&gt;"","5 - Contacted","6 - No Activity"))))))</f>
        <v/>
      </c>
      <c r="X395" s="6" t="n">
        <f aca="false">IF(AND($A395="",$B395=""),9999999+(ROW()-4),VALUE(LEFT($W395,1))*10000+(ROW()-4))</f>
        <v>10000390</v>
      </c>
    </row>
    <row r="396" customFormat="false" ht="15" hidden="false" customHeight="true" outlineLevel="0" collapsed="false">
      <c r="A396" s="6"/>
      <c r="B396" s="6"/>
      <c r="C396" s="6"/>
      <c r="D396" s="6"/>
      <c r="E396" s="6"/>
      <c r="F396" s="7"/>
      <c r="G396" s="6"/>
      <c r="H396" s="6"/>
      <c r="I396" s="7"/>
      <c r="J396" s="6"/>
      <c r="K396" s="7"/>
      <c r="L396" s="6"/>
      <c r="M396" s="6"/>
      <c r="N396" s="7"/>
      <c r="O396" s="6"/>
      <c r="P396" s="6"/>
      <c r="Q396" s="7"/>
      <c r="R396" s="6" t="str">
        <f aca="false">IF(AND($A396="",$B396=""),"",IF(Q396="Complete","Onboarded",IF(OR(M396="Member",M396="Ambassador"),"Sponsored",IF(K396&lt;&gt;"","Follow-Up",IF(I396&lt;&gt;"","Presented",IF(F396&lt;&gt;"","Contacted","New Lead"))))))</f>
        <v/>
      </c>
      <c r="S396" s="6"/>
      <c r="T396" s="6" t="str">
        <f aca="true">IF(MAX(F396,I396,K396)=0,"",TODAY()-MAX(F396,I396,K396))</f>
        <v/>
      </c>
      <c r="U396" s="6"/>
      <c r="V396" s="6"/>
      <c r="W396" s="6" t="str">
        <f aca="false">IF(AND($A396="",$B396=""),"",IF(M396="Ambassador","1 - Ambassador",IF(M396="Member","2 - Member",IF(J396="Completed","3 - Presented",IF(H396&lt;&gt;"","4 - Shared",IF(F396&lt;&gt;"","5 - Contacted","6 - No Activity"))))))</f>
        <v/>
      </c>
      <c r="X396" s="6" t="n">
        <f aca="false">IF(AND($A396="",$B396=""),9999999+(ROW()-4),VALUE(LEFT($W396,1))*10000+(ROW()-4))</f>
        <v>10000391</v>
      </c>
    </row>
    <row r="397" customFormat="false" ht="15" hidden="false" customHeight="true" outlineLevel="0" collapsed="false">
      <c r="A397" s="6"/>
      <c r="B397" s="6"/>
      <c r="C397" s="6"/>
      <c r="D397" s="6"/>
      <c r="E397" s="6"/>
      <c r="F397" s="7"/>
      <c r="G397" s="6"/>
      <c r="H397" s="6"/>
      <c r="I397" s="7"/>
      <c r="J397" s="6"/>
      <c r="K397" s="7"/>
      <c r="L397" s="6"/>
      <c r="M397" s="6"/>
      <c r="N397" s="7"/>
      <c r="O397" s="6"/>
      <c r="P397" s="6"/>
      <c r="Q397" s="7"/>
      <c r="R397" s="6" t="str">
        <f aca="false">IF(AND($A397="",$B397=""),"",IF(Q397="Complete","Onboarded",IF(OR(M397="Member",M397="Ambassador"),"Sponsored",IF(K397&lt;&gt;"","Follow-Up",IF(I397&lt;&gt;"","Presented",IF(F397&lt;&gt;"","Contacted","New Lead"))))))</f>
        <v/>
      </c>
      <c r="S397" s="6"/>
      <c r="T397" s="6" t="str">
        <f aca="true">IF(MAX(F397,I397,K397)=0,"",TODAY()-MAX(F397,I397,K397))</f>
        <v/>
      </c>
      <c r="U397" s="6"/>
      <c r="V397" s="6"/>
      <c r="W397" s="6" t="str">
        <f aca="false">IF(AND($A397="",$B397=""),"",IF(M397="Ambassador","1 - Ambassador",IF(M397="Member","2 - Member",IF(J397="Completed","3 - Presented",IF(H397&lt;&gt;"","4 - Shared",IF(F397&lt;&gt;"","5 - Contacted","6 - No Activity"))))))</f>
        <v/>
      </c>
      <c r="X397" s="6" t="n">
        <f aca="false">IF(AND($A397="",$B397=""),9999999+(ROW()-4),VALUE(LEFT($W397,1))*10000+(ROW()-4))</f>
        <v>10000392</v>
      </c>
    </row>
    <row r="398" customFormat="false" ht="15" hidden="false" customHeight="true" outlineLevel="0" collapsed="false">
      <c r="A398" s="6"/>
      <c r="B398" s="6"/>
      <c r="C398" s="6"/>
      <c r="D398" s="6"/>
      <c r="E398" s="6"/>
      <c r="F398" s="7"/>
      <c r="G398" s="6"/>
      <c r="H398" s="6"/>
      <c r="I398" s="7"/>
      <c r="J398" s="6"/>
      <c r="K398" s="7"/>
      <c r="L398" s="6"/>
      <c r="M398" s="6"/>
      <c r="N398" s="7"/>
      <c r="O398" s="6"/>
      <c r="P398" s="6"/>
      <c r="Q398" s="7"/>
      <c r="R398" s="6" t="str">
        <f aca="false">IF(AND($A398="",$B398=""),"",IF(Q398="Complete","Onboarded",IF(OR(M398="Member",M398="Ambassador"),"Sponsored",IF(K398&lt;&gt;"","Follow-Up",IF(I398&lt;&gt;"","Presented",IF(F398&lt;&gt;"","Contacted","New Lead"))))))</f>
        <v/>
      </c>
      <c r="S398" s="6"/>
      <c r="T398" s="6" t="str">
        <f aca="true">IF(MAX(F398,I398,K398)=0,"",TODAY()-MAX(F398,I398,K398))</f>
        <v/>
      </c>
      <c r="U398" s="6"/>
      <c r="V398" s="6"/>
      <c r="W398" s="6" t="str">
        <f aca="false">IF(AND($A398="",$B398=""),"",IF(M398="Ambassador","1 - Ambassador",IF(M398="Member","2 - Member",IF(J398="Completed","3 - Presented",IF(H398&lt;&gt;"","4 - Shared",IF(F398&lt;&gt;"","5 - Contacted","6 - No Activity"))))))</f>
        <v/>
      </c>
      <c r="X398" s="6" t="n">
        <f aca="false">IF(AND($A398="",$B398=""),9999999+(ROW()-4),VALUE(LEFT($W398,1))*10000+(ROW()-4))</f>
        <v>10000393</v>
      </c>
    </row>
    <row r="399" customFormat="false" ht="15" hidden="false" customHeight="true" outlineLevel="0" collapsed="false">
      <c r="A399" s="6"/>
      <c r="B399" s="6"/>
      <c r="C399" s="6"/>
      <c r="D399" s="6"/>
      <c r="E399" s="6"/>
      <c r="F399" s="7"/>
      <c r="G399" s="6"/>
      <c r="H399" s="6"/>
      <c r="I399" s="7"/>
      <c r="J399" s="6"/>
      <c r="K399" s="7"/>
      <c r="L399" s="6"/>
      <c r="M399" s="6"/>
      <c r="N399" s="7"/>
      <c r="O399" s="6"/>
      <c r="P399" s="6"/>
      <c r="Q399" s="7"/>
      <c r="R399" s="6" t="str">
        <f aca="false">IF(AND($A399="",$B399=""),"",IF(Q399="Complete","Onboarded",IF(OR(M399="Member",M399="Ambassador"),"Sponsored",IF(K399&lt;&gt;"","Follow-Up",IF(I399&lt;&gt;"","Presented",IF(F399&lt;&gt;"","Contacted","New Lead"))))))</f>
        <v/>
      </c>
      <c r="S399" s="6"/>
      <c r="T399" s="6" t="str">
        <f aca="true">IF(MAX(F399,I399,K399)=0,"",TODAY()-MAX(F399,I399,K399))</f>
        <v/>
      </c>
      <c r="U399" s="6"/>
      <c r="V399" s="6"/>
      <c r="W399" s="6" t="str">
        <f aca="false">IF(AND($A399="",$B399=""),"",IF(M399="Ambassador","1 - Ambassador",IF(M399="Member","2 - Member",IF(J399="Completed","3 - Presented",IF(H399&lt;&gt;"","4 - Shared",IF(F399&lt;&gt;"","5 - Contacted","6 - No Activity"))))))</f>
        <v/>
      </c>
      <c r="X399" s="6" t="n">
        <f aca="false">IF(AND($A399="",$B399=""),9999999+(ROW()-4),VALUE(LEFT($W399,1))*10000+(ROW()-4))</f>
        <v>10000394</v>
      </c>
    </row>
    <row r="400" customFormat="false" ht="15" hidden="false" customHeight="true" outlineLevel="0" collapsed="false">
      <c r="A400" s="6"/>
      <c r="B400" s="6"/>
      <c r="C400" s="6"/>
      <c r="D400" s="6"/>
      <c r="E400" s="6"/>
      <c r="F400" s="7"/>
      <c r="G400" s="6"/>
      <c r="H400" s="6"/>
      <c r="I400" s="7"/>
      <c r="J400" s="6"/>
      <c r="K400" s="7"/>
      <c r="L400" s="6"/>
      <c r="M400" s="6"/>
      <c r="N400" s="7"/>
      <c r="O400" s="6"/>
      <c r="P400" s="6"/>
      <c r="Q400" s="7"/>
      <c r="R400" s="6" t="str">
        <f aca="false">IF(AND($A400="",$B400=""),"",IF(Q400="Complete","Onboarded",IF(OR(M400="Member",M400="Ambassador"),"Sponsored",IF(K400&lt;&gt;"","Follow-Up",IF(I400&lt;&gt;"","Presented",IF(F400&lt;&gt;"","Contacted","New Lead"))))))</f>
        <v/>
      </c>
      <c r="S400" s="6"/>
      <c r="T400" s="6" t="str">
        <f aca="true">IF(MAX(F400,I400,K400)=0,"",TODAY()-MAX(F400,I400,K400))</f>
        <v/>
      </c>
      <c r="U400" s="6"/>
      <c r="V400" s="6"/>
      <c r="W400" s="6" t="str">
        <f aca="false">IF(AND($A400="",$B400=""),"",IF(M400="Ambassador","1 - Ambassador",IF(M400="Member","2 - Member",IF(J400="Completed","3 - Presented",IF(H400&lt;&gt;"","4 - Shared",IF(F400&lt;&gt;"","5 - Contacted","6 - No Activity"))))))</f>
        <v/>
      </c>
      <c r="X400" s="6" t="n">
        <f aca="false">IF(AND($A400="",$B400=""),9999999+(ROW()-4),VALUE(LEFT($W400,1))*10000+(ROW()-4))</f>
        <v>10000395</v>
      </c>
    </row>
    <row r="401" customFormat="false" ht="15" hidden="false" customHeight="true" outlineLevel="0" collapsed="false">
      <c r="A401" s="6"/>
      <c r="B401" s="6"/>
      <c r="C401" s="6"/>
      <c r="D401" s="6"/>
      <c r="E401" s="6"/>
      <c r="F401" s="7"/>
      <c r="G401" s="6"/>
      <c r="H401" s="6"/>
      <c r="I401" s="7"/>
      <c r="J401" s="6"/>
      <c r="K401" s="7"/>
      <c r="L401" s="6"/>
      <c r="M401" s="6"/>
      <c r="N401" s="7"/>
      <c r="O401" s="6"/>
      <c r="P401" s="6"/>
      <c r="Q401" s="7"/>
      <c r="R401" s="6" t="str">
        <f aca="false">IF(AND($A401="",$B401=""),"",IF(Q401="Complete","Onboarded",IF(OR(M401="Member",M401="Ambassador"),"Sponsored",IF(K401&lt;&gt;"","Follow-Up",IF(I401&lt;&gt;"","Presented",IF(F401&lt;&gt;"","Contacted","New Lead"))))))</f>
        <v/>
      </c>
      <c r="S401" s="6"/>
      <c r="T401" s="6" t="str">
        <f aca="true">IF(MAX(F401,I401,K401)=0,"",TODAY()-MAX(F401,I401,K401))</f>
        <v/>
      </c>
      <c r="U401" s="6"/>
      <c r="V401" s="6"/>
      <c r="W401" s="6" t="str">
        <f aca="false">IF(AND($A401="",$B401=""),"",IF(M401="Ambassador","1 - Ambassador",IF(M401="Member","2 - Member",IF(J401="Completed","3 - Presented",IF(H401&lt;&gt;"","4 - Shared",IF(F401&lt;&gt;"","5 - Contacted","6 - No Activity"))))))</f>
        <v/>
      </c>
      <c r="X401" s="6" t="n">
        <f aca="false">IF(AND($A401="",$B401=""),9999999+(ROW()-4),VALUE(LEFT($W401,1))*10000+(ROW()-4))</f>
        <v>10000396</v>
      </c>
    </row>
    <row r="402" customFormat="false" ht="15" hidden="false" customHeight="true" outlineLevel="0" collapsed="false">
      <c r="A402" s="6"/>
      <c r="B402" s="6"/>
      <c r="C402" s="6"/>
      <c r="D402" s="6"/>
      <c r="E402" s="6"/>
      <c r="F402" s="7"/>
      <c r="G402" s="6"/>
      <c r="H402" s="6"/>
      <c r="I402" s="7"/>
      <c r="J402" s="6"/>
      <c r="K402" s="7"/>
      <c r="L402" s="6"/>
      <c r="M402" s="6"/>
      <c r="N402" s="7"/>
      <c r="O402" s="6"/>
      <c r="P402" s="6"/>
      <c r="Q402" s="7"/>
      <c r="R402" s="6" t="str">
        <f aca="false">IF(AND($A402="",$B402=""),"",IF(Q402="Complete","Onboarded",IF(OR(M402="Member",M402="Ambassador"),"Sponsored",IF(K402&lt;&gt;"","Follow-Up",IF(I402&lt;&gt;"","Presented",IF(F402&lt;&gt;"","Contacted","New Lead"))))))</f>
        <v/>
      </c>
      <c r="S402" s="6"/>
      <c r="T402" s="6" t="str">
        <f aca="true">IF(MAX(F402,I402,K402)=0,"",TODAY()-MAX(F402,I402,K402))</f>
        <v/>
      </c>
      <c r="U402" s="6"/>
      <c r="V402" s="6"/>
      <c r="W402" s="6" t="str">
        <f aca="false">IF(AND($A402="",$B402=""),"",IF(M402="Ambassador","1 - Ambassador",IF(M402="Member","2 - Member",IF(J402="Completed","3 - Presented",IF(H402&lt;&gt;"","4 - Shared",IF(F402&lt;&gt;"","5 - Contacted","6 - No Activity"))))))</f>
        <v/>
      </c>
      <c r="X402" s="6" t="n">
        <f aca="false">IF(AND($A402="",$B402=""),9999999+(ROW()-4),VALUE(LEFT($W402,1))*10000+(ROW()-4))</f>
        <v>10000397</v>
      </c>
    </row>
    <row r="403" customFormat="false" ht="15" hidden="false" customHeight="true" outlineLevel="0" collapsed="false">
      <c r="A403" s="6"/>
      <c r="B403" s="6"/>
      <c r="C403" s="6"/>
      <c r="D403" s="6"/>
      <c r="E403" s="6"/>
      <c r="F403" s="7"/>
      <c r="G403" s="6"/>
      <c r="H403" s="6"/>
      <c r="I403" s="7"/>
      <c r="J403" s="6"/>
      <c r="K403" s="7"/>
      <c r="L403" s="6"/>
      <c r="M403" s="6"/>
      <c r="N403" s="7"/>
      <c r="O403" s="6"/>
      <c r="P403" s="6"/>
      <c r="Q403" s="7"/>
      <c r="R403" s="6" t="str">
        <f aca="false">IF(AND($A403="",$B403=""),"",IF(Q403="Complete","Onboarded",IF(OR(M403="Member",M403="Ambassador"),"Sponsored",IF(K403&lt;&gt;"","Follow-Up",IF(I403&lt;&gt;"","Presented",IF(F403&lt;&gt;"","Contacted","New Lead"))))))</f>
        <v/>
      </c>
      <c r="S403" s="6"/>
      <c r="T403" s="6" t="str">
        <f aca="true">IF(MAX(F403,I403,K403)=0,"",TODAY()-MAX(F403,I403,K403))</f>
        <v/>
      </c>
      <c r="U403" s="6"/>
      <c r="V403" s="6"/>
      <c r="W403" s="6" t="str">
        <f aca="false">IF(AND($A403="",$B403=""),"",IF(M403="Ambassador","1 - Ambassador",IF(M403="Member","2 - Member",IF(J403="Completed","3 - Presented",IF(H403&lt;&gt;"","4 - Shared",IF(F403&lt;&gt;"","5 - Contacted","6 - No Activity"))))))</f>
        <v/>
      </c>
      <c r="X403" s="6" t="n">
        <f aca="false">IF(AND($A403="",$B403=""),9999999+(ROW()-4),VALUE(LEFT($W403,1))*10000+(ROW()-4))</f>
        <v>10000398</v>
      </c>
    </row>
    <row r="404" customFormat="false" ht="15" hidden="false" customHeight="true" outlineLevel="0" collapsed="false">
      <c r="A404" s="6"/>
      <c r="B404" s="6"/>
      <c r="C404" s="6"/>
      <c r="D404" s="6"/>
      <c r="E404" s="6"/>
      <c r="F404" s="7"/>
      <c r="G404" s="6"/>
      <c r="H404" s="6"/>
      <c r="I404" s="7"/>
      <c r="J404" s="6"/>
      <c r="K404" s="7"/>
      <c r="L404" s="6"/>
      <c r="M404" s="6"/>
      <c r="N404" s="7"/>
      <c r="O404" s="6"/>
      <c r="P404" s="6"/>
      <c r="Q404" s="7"/>
      <c r="R404" s="6" t="str">
        <f aca="false">IF(AND($A404="",$B404=""),"",IF(Q404="Complete","Onboarded",IF(OR(M404="Member",M404="Ambassador"),"Sponsored",IF(K404&lt;&gt;"","Follow-Up",IF(I404&lt;&gt;"","Presented",IF(F404&lt;&gt;"","Contacted","New Lead"))))))</f>
        <v/>
      </c>
      <c r="S404" s="6"/>
      <c r="T404" s="6" t="str">
        <f aca="true">IF(MAX(F404,I404,K404)=0,"",TODAY()-MAX(F404,I404,K404))</f>
        <v/>
      </c>
      <c r="U404" s="6"/>
      <c r="V404" s="6"/>
      <c r="W404" s="6" t="str">
        <f aca="false">IF(AND($A404="",$B404=""),"",IF(M404="Ambassador","1 - Ambassador",IF(M404="Member","2 - Member",IF(J404="Completed","3 - Presented",IF(H404&lt;&gt;"","4 - Shared",IF(F404&lt;&gt;"","5 - Contacted","6 - No Activity"))))))</f>
        <v/>
      </c>
      <c r="X404" s="6" t="n">
        <f aca="false">IF(AND($A404="",$B404=""),9999999+(ROW()-4),VALUE(LEFT($W404,1))*10000+(ROW()-4))</f>
        <v>10000399</v>
      </c>
    </row>
    <row r="405" customFormat="false" ht="15" hidden="false" customHeight="true" outlineLevel="0" collapsed="false">
      <c r="A405" s="6"/>
      <c r="B405" s="6"/>
      <c r="C405" s="6"/>
      <c r="D405" s="6"/>
      <c r="E405" s="6"/>
      <c r="F405" s="7"/>
      <c r="G405" s="6"/>
      <c r="H405" s="6"/>
      <c r="I405" s="7"/>
      <c r="J405" s="6"/>
      <c r="K405" s="7"/>
      <c r="L405" s="6"/>
      <c r="M405" s="6"/>
      <c r="N405" s="7"/>
      <c r="O405" s="6"/>
      <c r="P405" s="6"/>
      <c r="Q405" s="7"/>
      <c r="R405" s="6" t="str">
        <f aca="false">IF(AND($A405="",$B405=""),"",IF(Q405="Complete","Onboarded",IF(OR(M405="Member",M405="Ambassador"),"Sponsored",IF(K405&lt;&gt;"","Follow-Up",IF(I405&lt;&gt;"","Presented",IF(F405&lt;&gt;"","Contacted","New Lead"))))))</f>
        <v/>
      </c>
      <c r="S405" s="6"/>
      <c r="T405" s="6" t="str">
        <f aca="true">IF(MAX(F405,I405,K405)=0,"",TODAY()-MAX(F405,I405,K405))</f>
        <v/>
      </c>
      <c r="U405" s="6"/>
      <c r="V405" s="6"/>
      <c r="W405" s="6" t="str">
        <f aca="false">IF(AND($A405="",$B405=""),"",IF(M405="Ambassador","1 - Ambassador",IF(M405="Member","2 - Member",IF(J405="Completed","3 - Presented",IF(H405&lt;&gt;"","4 - Shared",IF(F405&lt;&gt;"","5 - Contacted","6 - No Activity"))))))</f>
        <v/>
      </c>
      <c r="X405" s="6" t="n">
        <f aca="false">IF(AND($A405="",$B405=""),9999999+(ROW()-4),VALUE(LEFT($W405,1))*10000+(ROW()-4))</f>
        <v>10000400</v>
      </c>
    </row>
    <row r="406" customFormat="false" ht="15" hidden="false" customHeight="true" outlineLevel="0" collapsed="false">
      <c r="A406" s="6"/>
      <c r="B406" s="6"/>
      <c r="C406" s="6"/>
      <c r="D406" s="6"/>
      <c r="E406" s="6"/>
      <c r="F406" s="7"/>
      <c r="G406" s="6"/>
      <c r="H406" s="6"/>
      <c r="I406" s="7"/>
      <c r="J406" s="6"/>
      <c r="K406" s="7"/>
      <c r="L406" s="6"/>
      <c r="M406" s="6"/>
      <c r="N406" s="7"/>
      <c r="O406" s="6"/>
      <c r="P406" s="6"/>
      <c r="Q406" s="7"/>
      <c r="R406" s="6" t="str">
        <f aca="false">IF(AND($A406="",$B406=""),"",IF(Q406="Complete","Onboarded",IF(OR(M406="Member",M406="Ambassador"),"Sponsored",IF(K406&lt;&gt;"","Follow-Up",IF(I406&lt;&gt;"","Presented",IF(F406&lt;&gt;"","Contacted","New Lead"))))))</f>
        <v/>
      </c>
      <c r="S406" s="6"/>
      <c r="T406" s="6" t="str">
        <f aca="true">IF(MAX(F406,I406,K406)=0,"",TODAY()-MAX(F406,I406,K406))</f>
        <v/>
      </c>
      <c r="U406" s="6"/>
      <c r="V406" s="6"/>
      <c r="W406" s="6" t="str">
        <f aca="false">IF(AND($A406="",$B406=""),"",IF(M406="Ambassador","1 - Ambassador",IF(M406="Member","2 - Member",IF(J406="Completed","3 - Presented",IF(H406&lt;&gt;"","4 - Shared",IF(F406&lt;&gt;"","5 - Contacted","6 - No Activity"))))))</f>
        <v/>
      </c>
      <c r="X406" s="6" t="n">
        <f aca="false">IF(AND($A406="",$B406=""),9999999+(ROW()-4),VALUE(LEFT($W406,1))*10000+(ROW()-4))</f>
        <v>10000401</v>
      </c>
    </row>
    <row r="407" customFormat="false" ht="15" hidden="false" customHeight="true" outlineLevel="0" collapsed="false">
      <c r="A407" s="6"/>
      <c r="B407" s="6"/>
      <c r="C407" s="6"/>
      <c r="D407" s="6"/>
      <c r="E407" s="6"/>
      <c r="F407" s="7"/>
      <c r="G407" s="6"/>
      <c r="H407" s="6"/>
      <c r="I407" s="7"/>
      <c r="J407" s="6"/>
      <c r="K407" s="7"/>
      <c r="L407" s="6"/>
      <c r="M407" s="6"/>
      <c r="N407" s="7"/>
      <c r="O407" s="6"/>
      <c r="P407" s="6"/>
      <c r="Q407" s="7"/>
      <c r="R407" s="6" t="str">
        <f aca="false">IF(AND($A407="",$B407=""),"",IF(Q407="Complete","Onboarded",IF(OR(M407="Member",M407="Ambassador"),"Sponsored",IF(K407&lt;&gt;"","Follow-Up",IF(I407&lt;&gt;"","Presented",IF(F407&lt;&gt;"","Contacted","New Lead"))))))</f>
        <v/>
      </c>
      <c r="S407" s="6"/>
      <c r="T407" s="6" t="str">
        <f aca="true">IF(MAX(F407,I407,K407)=0,"",TODAY()-MAX(F407,I407,K407))</f>
        <v/>
      </c>
      <c r="U407" s="6"/>
      <c r="V407" s="6"/>
      <c r="W407" s="6" t="str">
        <f aca="false">IF(AND($A407="",$B407=""),"",IF(M407="Ambassador","1 - Ambassador",IF(M407="Member","2 - Member",IF(J407="Completed","3 - Presented",IF(H407&lt;&gt;"","4 - Shared",IF(F407&lt;&gt;"","5 - Contacted","6 - No Activity"))))))</f>
        <v/>
      </c>
      <c r="X407" s="6" t="n">
        <f aca="false">IF(AND($A407="",$B407=""),9999999+(ROW()-4),VALUE(LEFT($W407,1))*10000+(ROW()-4))</f>
        <v>10000402</v>
      </c>
    </row>
    <row r="408" customFormat="false" ht="15" hidden="false" customHeight="true" outlineLevel="0" collapsed="false">
      <c r="A408" s="6"/>
      <c r="B408" s="6"/>
      <c r="C408" s="6"/>
      <c r="D408" s="6"/>
      <c r="E408" s="6"/>
      <c r="F408" s="7"/>
      <c r="G408" s="6"/>
      <c r="H408" s="6"/>
      <c r="I408" s="7"/>
      <c r="J408" s="6"/>
      <c r="K408" s="7"/>
      <c r="L408" s="6"/>
      <c r="M408" s="6"/>
      <c r="N408" s="7"/>
      <c r="O408" s="6"/>
      <c r="P408" s="6"/>
      <c r="Q408" s="7"/>
      <c r="R408" s="6" t="str">
        <f aca="false">IF(AND($A408="",$B408=""),"",IF(Q408="Complete","Onboarded",IF(OR(M408="Member",M408="Ambassador"),"Sponsored",IF(K408&lt;&gt;"","Follow-Up",IF(I408&lt;&gt;"","Presented",IF(F408&lt;&gt;"","Contacted","New Lead"))))))</f>
        <v/>
      </c>
      <c r="S408" s="6"/>
      <c r="T408" s="6" t="str">
        <f aca="true">IF(MAX(F408,I408,K408)=0,"",TODAY()-MAX(F408,I408,K408))</f>
        <v/>
      </c>
      <c r="U408" s="6"/>
      <c r="V408" s="6"/>
      <c r="W408" s="6" t="str">
        <f aca="false">IF(AND($A408="",$B408=""),"",IF(M408="Ambassador","1 - Ambassador",IF(M408="Member","2 - Member",IF(J408="Completed","3 - Presented",IF(H408&lt;&gt;"","4 - Shared",IF(F408&lt;&gt;"","5 - Contacted","6 - No Activity"))))))</f>
        <v/>
      </c>
      <c r="X408" s="6" t="n">
        <f aca="false">IF(AND($A408="",$B408=""),9999999+(ROW()-4),VALUE(LEFT($W408,1))*10000+(ROW()-4))</f>
        <v>10000403</v>
      </c>
    </row>
    <row r="409" customFormat="false" ht="15" hidden="false" customHeight="true" outlineLevel="0" collapsed="false">
      <c r="A409" s="6"/>
      <c r="B409" s="6"/>
      <c r="C409" s="6"/>
      <c r="D409" s="6"/>
      <c r="E409" s="6"/>
      <c r="F409" s="7"/>
      <c r="G409" s="6"/>
      <c r="H409" s="6"/>
      <c r="I409" s="7"/>
      <c r="J409" s="6"/>
      <c r="K409" s="7"/>
      <c r="L409" s="6"/>
      <c r="M409" s="6"/>
      <c r="N409" s="7"/>
      <c r="O409" s="6"/>
      <c r="P409" s="6"/>
      <c r="Q409" s="7"/>
      <c r="R409" s="6" t="str">
        <f aca="false">IF(AND($A409="",$B409=""),"",IF(Q409="Complete","Onboarded",IF(OR(M409="Member",M409="Ambassador"),"Sponsored",IF(K409&lt;&gt;"","Follow-Up",IF(I409&lt;&gt;"","Presented",IF(F409&lt;&gt;"","Contacted","New Lead"))))))</f>
        <v/>
      </c>
      <c r="S409" s="6"/>
      <c r="T409" s="6" t="str">
        <f aca="true">IF(MAX(F409,I409,K409)=0,"",TODAY()-MAX(F409,I409,K409))</f>
        <v/>
      </c>
      <c r="U409" s="6"/>
      <c r="V409" s="6"/>
      <c r="W409" s="6" t="str">
        <f aca="false">IF(AND($A409="",$B409=""),"",IF(M409="Ambassador","1 - Ambassador",IF(M409="Member","2 - Member",IF(J409="Completed","3 - Presented",IF(H409&lt;&gt;"","4 - Shared",IF(F409&lt;&gt;"","5 - Contacted","6 - No Activity"))))))</f>
        <v/>
      </c>
      <c r="X409" s="6" t="n">
        <f aca="false">IF(AND($A409="",$B409=""),9999999+(ROW()-4),VALUE(LEFT($W409,1))*10000+(ROW()-4))</f>
        <v>10000404</v>
      </c>
    </row>
    <row r="410" customFormat="false" ht="15" hidden="false" customHeight="true" outlineLevel="0" collapsed="false">
      <c r="A410" s="6"/>
      <c r="B410" s="6"/>
      <c r="C410" s="6"/>
      <c r="D410" s="6"/>
      <c r="E410" s="6"/>
      <c r="F410" s="7"/>
      <c r="G410" s="6"/>
      <c r="H410" s="6"/>
      <c r="I410" s="7"/>
      <c r="J410" s="6"/>
      <c r="K410" s="7"/>
      <c r="L410" s="6"/>
      <c r="M410" s="6"/>
      <c r="N410" s="7"/>
      <c r="O410" s="6"/>
      <c r="P410" s="6"/>
      <c r="Q410" s="7"/>
      <c r="R410" s="6" t="str">
        <f aca="false">IF(AND($A410="",$B410=""),"",IF(Q410="Complete","Onboarded",IF(OR(M410="Member",M410="Ambassador"),"Sponsored",IF(K410&lt;&gt;"","Follow-Up",IF(I410&lt;&gt;"","Presented",IF(F410&lt;&gt;"","Contacted","New Lead"))))))</f>
        <v/>
      </c>
      <c r="S410" s="6"/>
      <c r="T410" s="6" t="str">
        <f aca="true">IF(MAX(F410,I410,K410)=0,"",TODAY()-MAX(F410,I410,K410))</f>
        <v/>
      </c>
      <c r="U410" s="6"/>
      <c r="V410" s="6"/>
      <c r="W410" s="6" t="str">
        <f aca="false">IF(AND($A410="",$B410=""),"",IF(M410="Ambassador","1 - Ambassador",IF(M410="Member","2 - Member",IF(J410="Completed","3 - Presented",IF(H410&lt;&gt;"","4 - Shared",IF(F410&lt;&gt;"","5 - Contacted","6 - No Activity"))))))</f>
        <v/>
      </c>
      <c r="X410" s="6" t="n">
        <f aca="false">IF(AND($A410="",$B410=""),9999999+(ROW()-4),VALUE(LEFT($W410,1))*10000+(ROW()-4))</f>
        <v>10000405</v>
      </c>
    </row>
    <row r="411" customFormat="false" ht="15" hidden="false" customHeight="true" outlineLevel="0" collapsed="false">
      <c r="A411" s="6"/>
      <c r="B411" s="6"/>
      <c r="C411" s="6"/>
      <c r="D411" s="6"/>
      <c r="E411" s="6"/>
      <c r="F411" s="7"/>
      <c r="G411" s="6"/>
      <c r="H411" s="6"/>
      <c r="I411" s="7"/>
      <c r="J411" s="6"/>
      <c r="K411" s="7"/>
      <c r="L411" s="6"/>
      <c r="M411" s="6"/>
      <c r="N411" s="7"/>
      <c r="O411" s="6"/>
      <c r="P411" s="6"/>
      <c r="Q411" s="7"/>
      <c r="R411" s="6" t="str">
        <f aca="false">IF(AND($A411="",$B411=""),"",IF(Q411="Complete","Onboarded",IF(OR(M411="Member",M411="Ambassador"),"Sponsored",IF(K411&lt;&gt;"","Follow-Up",IF(I411&lt;&gt;"","Presented",IF(F411&lt;&gt;"","Contacted","New Lead"))))))</f>
        <v/>
      </c>
      <c r="S411" s="6"/>
      <c r="T411" s="6" t="str">
        <f aca="true">IF(MAX(F411,I411,K411)=0,"",TODAY()-MAX(F411,I411,K411))</f>
        <v/>
      </c>
      <c r="U411" s="6"/>
      <c r="V411" s="6"/>
      <c r="W411" s="6" t="str">
        <f aca="false">IF(AND($A411="",$B411=""),"",IF(M411="Ambassador","1 - Ambassador",IF(M411="Member","2 - Member",IF(J411="Completed","3 - Presented",IF(H411&lt;&gt;"","4 - Shared",IF(F411&lt;&gt;"","5 - Contacted","6 - No Activity"))))))</f>
        <v/>
      </c>
      <c r="X411" s="6" t="n">
        <f aca="false">IF(AND($A411="",$B411=""),9999999+(ROW()-4),VALUE(LEFT($W411,1))*10000+(ROW()-4))</f>
        <v>10000406</v>
      </c>
    </row>
    <row r="412" customFormat="false" ht="15" hidden="false" customHeight="true" outlineLevel="0" collapsed="false">
      <c r="A412" s="6"/>
      <c r="B412" s="6"/>
      <c r="C412" s="6"/>
      <c r="D412" s="6"/>
      <c r="E412" s="6"/>
      <c r="F412" s="7"/>
      <c r="G412" s="6"/>
      <c r="H412" s="6"/>
      <c r="I412" s="7"/>
      <c r="J412" s="6"/>
      <c r="K412" s="7"/>
      <c r="L412" s="6"/>
      <c r="M412" s="6"/>
      <c r="N412" s="7"/>
      <c r="O412" s="6"/>
      <c r="P412" s="6"/>
      <c r="Q412" s="7"/>
      <c r="R412" s="6" t="str">
        <f aca="false">IF(AND($A412="",$B412=""),"",IF(Q412="Complete","Onboarded",IF(OR(M412="Member",M412="Ambassador"),"Sponsored",IF(K412&lt;&gt;"","Follow-Up",IF(I412&lt;&gt;"","Presented",IF(F412&lt;&gt;"","Contacted","New Lead"))))))</f>
        <v/>
      </c>
      <c r="S412" s="6"/>
      <c r="T412" s="6" t="str">
        <f aca="true">IF(MAX(F412,I412,K412)=0,"",TODAY()-MAX(F412,I412,K412))</f>
        <v/>
      </c>
      <c r="U412" s="6"/>
      <c r="V412" s="6"/>
      <c r="W412" s="6" t="str">
        <f aca="false">IF(AND($A412="",$B412=""),"",IF(M412="Ambassador","1 - Ambassador",IF(M412="Member","2 - Member",IF(J412="Completed","3 - Presented",IF(H412&lt;&gt;"","4 - Shared",IF(F412&lt;&gt;"","5 - Contacted","6 - No Activity"))))))</f>
        <v/>
      </c>
      <c r="X412" s="6" t="n">
        <f aca="false">IF(AND($A412="",$B412=""),9999999+(ROW()-4),VALUE(LEFT($W412,1))*10000+(ROW()-4))</f>
        <v>10000407</v>
      </c>
    </row>
    <row r="413" customFormat="false" ht="15" hidden="false" customHeight="true" outlineLevel="0" collapsed="false">
      <c r="A413" s="6"/>
      <c r="B413" s="6"/>
      <c r="C413" s="6"/>
      <c r="D413" s="6"/>
      <c r="E413" s="6"/>
      <c r="F413" s="7"/>
      <c r="G413" s="6"/>
      <c r="H413" s="6"/>
      <c r="I413" s="7"/>
      <c r="J413" s="6"/>
      <c r="K413" s="7"/>
      <c r="L413" s="6"/>
      <c r="M413" s="6"/>
      <c r="N413" s="7"/>
      <c r="O413" s="6"/>
      <c r="P413" s="6"/>
      <c r="Q413" s="7"/>
      <c r="R413" s="6" t="str">
        <f aca="false">IF(AND($A413="",$B413=""),"",IF(Q413="Complete","Onboarded",IF(OR(M413="Member",M413="Ambassador"),"Sponsored",IF(K413&lt;&gt;"","Follow-Up",IF(I413&lt;&gt;"","Presented",IF(F413&lt;&gt;"","Contacted","New Lead"))))))</f>
        <v/>
      </c>
      <c r="S413" s="6"/>
      <c r="T413" s="6" t="str">
        <f aca="true">IF(MAX(F413,I413,K413)=0,"",TODAY()-MAX(F413,I413,K413))</f>
        <v/>
      </c>
      <c r="U413" s="6"/>
      <c r="V413" s="6"/>
      <c r="W413" s="6" t="str">
        <f aca="false">IF(AND($A413="",$B413=""),"",IF(M413="Ambassador","1 - Ambassador",IF(M413="Member","2 - Member",IF(J413="Completed","3 - Presented",IF(H413&lt;&gt;"","4 - Shared",IF(F413&lt;&gt;"","5 - Contacted","6 - No Activity"))))))</f>
        <v/>
      </c>
      <c r="X413" s="6" t="n">
        <f aca="false">IF(AND($A413="",$B413=""),9999999+(ROW()-4),VALUE(LEFT($W413,1))*10000+(ROW()-4))</f>
        <v>10000408</v>
      </c>
    </row>
    <row r="414" customFormat="false" ht="15" hidden="false" customHeight="true" outlineLevel="0" collapsed="false">
      <c r="A414" s="6"/>
      <c r="B414" s="6"/>
      <c r="C414" s="6"/>
      <c r="D414" s="6"/>
      <c r="E414" s="6"/>
      <c r="F414" s="7"/>
      <c r="G414" s="6"/>
      <c r="H414" s="6"/>
      <c r="I414" s="7"/>
      <c r="J414" s="6"/>
      <c r="K414" s="7"/>
      <c r="L414" s="6"/>
      <c r="M414" s="6"/>
      <c r="N414" s="7"/>
      <c r="O414" s="6"/>
      <c r="P414" s="6"/>
      <c r="Q414" s="7"/>
      <c r="R414" s="6" t="str">
        <f aca="false">IF(AND($A414="",$B414=""),"",IF(Q414="Complete","Onboarded",IF(OR(M414="Member",M414="Ambassador"),"Sponsored",IF(K414&lt;&gt;"","Follow-Up",IF(I414&lt;&gt;"","Presented",IF(F414&lt;&gt;"","Contacted","New Lead"))))))</f>
        <v/>
      </c>
      <c r="S414" s="6"/>
      <c r="T414" s="6" t="str">
        <f aca="true">IF(MAX(F414,I414,K414)=0,"",TODAY()-MAX(F414,I414,K414))</f>
        <v/>
      </c>
      <c r="U414" s="6"/>
      <c r="V414" s="6"/>
      <c r="W414" s="6" t="str">
        <f aca="false">IF(AND($A414="",$B414=""),"",IF(M414="Ambassador","1 - Ambassador",IF(M414="Member","2 - Member",IF(J414="Completed","3 - Presented",IF(H414&lt;&gt;"","4 - Shared",IF(F414&lt;&gt;"","5 - Contacted","6 - No Activity"))))))</f>
        <v/>
      </c>
      <c r="X414" s="6" t="n">
        <f aca="false">IF(AND($A414="",$B414=""),9999999+(ROW()-4),VALUE(LEFT($W414,1))*10000+(ROW()-4))</f>
        <v>10000409</v>
      </c>
    </row>
    <row r="415" customFormat="false" ht="15" hidden="false" customHeight="true" outlineLevel="0" collapsed="false">
      <c r="A415" s="6"/>
      <c r="B415" s="6"/>
      <c r="C415" s="6"/>
      <c r="D415" s="6"/>
      <c r="E415" s="6"/>
      <c r="F415" s="7"/>
      <c r="G415" s="6"/>
      <c r="H415" s="6"/>
      <c r="I415" s="7"/>
      <c r="J415" s="6"/>
      <c r="K415" s="7"/>
      <c r="L415" s="6"/>
      <c r="M415" s="6"/>
      <c r="N415" s="7"/>
      <c r="O415" s="6"/>
      <c r="P415" s="6"/>
      <c r="Q415" s="7"/>
      <c r="R415" s="6" t="str">
        <f aca="false">IF(AND($A415="",$B415=""),"",IF(Q415="Complete","Onboarded",IF(OR(M415="Member",M415="Ambassador"),"Sponsored",IF(K415&lt;&gt;"","Follow-Up",IF(I415&lt;&gt;"","Presented",IF(F415&lt;&gt;"","Contacted","New Lead"))))))</f>
        <v/>
      </c>
      <c r="S415" s="6"/>
      <c r="T415" s="6" t="str">
        <f aca="true">IF(MAX(F415,I415,K415)=0,"",TODAY()-MAX(F415,I415,K415))</f>
        <v/>
      </c>
      <c r="U415" s="6"/>
      <c r="V415" s="6"/>
      <c r="W415" s="6" t="str">
        <f aca="false">IF(AND($A415="",$B415=""),"",IF(M415="Ambassador","1 - Ambassador",IF(M415="Member","2 - Member",IF(J415="Completed","3 - Presented",IF(H415&lt;&gt;"","4 - Shared",IF(F415&lt;&gt;"","5 - Contacted","6 - No Activity"))))))</f>
        <v/>
      </c>
      <c r="X415" s="6" t="n">
        <f aca="false">IF(AND($A415="",$B415=""),9999999+(ROW()-4),VALUE(LEFT($W415,1))*10000+(ROW()-4))</f>
        <v>10000410</v>
      </c>
    </row>
    <row r="416" customFormat="false" ht="15" hidden="false" customHeight="true" outlineLevel="0" collapsed="false">
      <c r="A416" s="6"/>
      <c r="B416" s="6"/>
      <c r="C416" s="6"/>
      <c r="D416" s="6"/>
      <c r="E416" s="6"/>
      <c r="F416" s="7"/>
      <c r="G416" s="6"/>
      <c r="H416" s="6"/>
      <c r="I416" s="7"/>
      <c r="J416" s="6"/>
      <c r="K416" s="7"/>
      <c r="L416" s="6"/>
      <c r="M416" s="6"/>
      <c r="N416" s="7"/>
      <c r="O416" s="6"/>
      <c r="P416" s="6"/>
      <c r="Q416" s="7"/>
      <c r="R416" s="6" t="str">
        <f aca="false">IF(AND($A416="",$B416=""),"",IF(Q416="Complete","Onboarded",IF(OR(M416="Member",M416="Ambassador"),"Sponsored",IF(K416&lt;&gt;"","Follow-Up",IF(I416&lt;&gt;"","Presented",IF(F416&lt;&gt;"","Contacted","New Lead"))))))</f>
        <v/>
      </c>
      <c r="S416" s="6"/>
      <c r="T416" s="6" t="str">
        <f aca="true">IF(MAX(F416,I416,K416)=0,"",TODAY()-MAX(F416,I416,K416))</f>
        <v/>
      </c>
      <c r="U416" s="6"/>
      <c r="V416" s="6"/>
      <c r="W416" s="6" t="str">
        <f aca="false">IF(AND($A416="",$B416=""),"",IF(M416="Ambassador","1 - Ambassador",IF(M416="Member","2 - Member",IF(J416="Completed","3 - Presented",IF(H416&lt;&gt;"","4 - Shared",IF(F416&lt;&gt;"","5 - Contacted","6 - No Activity"))))))</f>
        <v/>
      </c>
      <c r="X416" s="6" t="n">
        <f aca="false">IF(AND($A416="",$B416=""),9999999+(ROW()-4),VALUE(LEFT($W416,1))*10000+(ROW()-4))</f>
        <v>10000411</v>
      </c>
    </row>
    <row r="417" customFormat="false" ht="15" hidden="false" customHeight="true" outlineLevel="0" collapsed="false">
      <c r="A417" s="6"/>
      <c r="B417" s="6"/>
      <c r="C417" s="6"/>
      <c r="D417" s="6"/>
      <c r="E417" s="6"/>
      <c r="F417" s="7"/>
      <c r="G417" s="6"/>
      <c r="H417" s="6"/>
      <c r="I417" s="7"/>
      <c r="J417" s="6"/>
      <c r="K417" s="7"/>
      <c r="L417" s="6"/>
      <c r="M417" s="6"/>
      <c r="N417" s="7"/>
      <c r="O417" s="6"/>
      <c r="P417" s="6"/>
      <c r="Q417" s="7"/>
      <c r="R417" s="6" t="str">
        <f aca="false">IF(AND($A417="",$B417=""),"",IF(Q417="Complete","Onboarded",IF(OR(M417="Member",M417="Ambassador"),"Sponsored",IF(K417&lt;&gt;"","Follow-Up",IF(I417&lt;&gt;"","Presented",IF(F417&lt;&gt;"","Contacted","New Lead"))))))</f>
        <v/>
      </c>
      <c r="S417" s="6"/>
      <c r="T417" s="6" t="str">
        <f aca="true">IF(MAX(F417,I417,K417)=0,"",TODAY()-MAX(F417,I417,K417))</f>
        <v/>
      </c>
      <c r="U417" s="6"/>
      <c r="V417" s="6"/>
      <c r="W417" s="6" t="str">
        <f aca="false">IF(AND($A417="",$B417=""),"",IF(M417="Ambassador","1 - Ambassador",IF(M417="Member","2 - Member",IF(J417="Completed","3 - Presented",IF(H417&lt;&gt;"","4 - Shared",IF(F417&lt;&gt;"","5 - Contacted","6 - No Activity"))))))</f>
        <v/>
      </c>
      <c r="X417" s="6" t="n">
        <f aca="false">IF(AND($A417="",$B417=""),9999999+(ROW()-4),VALUE(LEFT($W417,1))*10000+(ROW()-4))</f>
        <v>10000412</v>
      </c>
    </row>
    <row r="418" customFormat="false" ht="15" hidden="false" customHeight="true" outlineLevel="0" collapsed="false">
      <c r="A418" s="6"/>
      <c r="B418" s="6"/>
      <c r="C418" s="6"/>
      <c r="D418" s="6"/>
      <c r="E418" s="6"/>
      <c r="F418" s="7"/>
      <c r="G418" s="6"/>
      <c r="H418" s="6"/>
      <c r="I418" s="7"/>
      <c r="J418" s="6"/>
      <c r="K418" s="7"/>
      <c r="L418" s="6"/>
      <c r="M418" s="6"/>
      <c r="N418" s="7"/>
      <c r="O418" s="6"/>
      <c r="P418" s="6"/>
      <c r="Q418" s="7"/>
      <c r="R418" s="6" t="str">
        <f aca="false">IF(AND($A418="",$B418=""),"",IF(Q418="Complete","Onboarded",IF(OR(M418="Member",M418="Ambassador"),"Sponsored",IF(K418&lt;&gt;"","Follow-Up",IF(I418&lt;&gt;"","Presented",IF(F418&lt;&gt;"","Contacted","New Lead"))))))</f>
        <v/>
      </c>
      <c r="S418" s="6"/>
      <c r="T418" s="6" t="str">
        <f aca="true">IF(MAX(F418,I418,K418)=0,"",TODAY()-MAX(F418,I418,K418))</f>
        <v/>
      </c>
      <c r="U418" s="6"/>
      <c r="V418" s="6"/>
      <c r="W418" s="6" t="str">
        <f aca="false">IF(AND($A418="",$B418=""),"",IF(M418="Ambassador","1 - Ambassador",IF(M418="Member","2 - Member",IF(J418="Completed","3 - Presented",IF(H418&lt;&gt;"","4 - Shared",IF(F418&lt;&gt;"","5 - Contacted","6 - No Activity"))))))</f>
        <v/>
      </c>
      <c r="X418" s="6" t="n">
        <f aca="false">IF(AND($A418="",$B418=""),9999999+(ROW()-4),VALUE(LEFT($W418,1))*10000+(ROW()-4))</f>
        <v>10000413</v>
      </c>
    </row>
    <row r="419" customFormat="false" ht="15" hidden="false" customHeight="true" outlineLevel="0" collapsed="false">
      <c r="A419" s="6"/>
      <c r="B419" s="6"/>
      <c r="C419" s="6"/>
      <c r="D419" s="6"/>
      <c r="E419" s="6"/>
      <c r="F419" s="7"/>
      <c r="G419" s="6"/>
      <c r="H419" s="6"/>
      <c r="I419" s="7"/>
      <c r="J419" s="6"/>
      <c r="K419" s="7"/>
      <c r="L419" s="6"/>
      <c r="M419" s="6"/>
      <c r="N419" s="7"/>
      <c r="O419" s="6"/>
      <c r="P419" s="6"/>
      <c r="Q419" s="7"/>
      <c r="R419" s="6" t="str">
        <f aca="false">IF(AND($A419="",$B419=""),"",IF(Q419="Complete","Onboarded",IF(OR(M419="Member",M419="Ambassador"),"Sponsored",IF(K419&lt;&gt;"","Follow-Up",IF(I419&lt;&gt;"","Presented",IF(F419&lt;&gt;"","Contacted","New Lead"))))))</f>
        <v/>
      </c>
      <c r="S419" s="6"/>
      <c r="T419" s="6" t="str">
        <f aca="true">IF(MAX(F419,I419,K419)=0,"",TODAY()-MAX(F419,I419,K419))</f>
        <v/>
      </c>
      <c r="U419" s="6"/>
      <c r="V419" s="6"/>
      <c r="W419" s="6" t="str">
        <f aca="false">IF(AND($A419="",$B419=""),"",IF(M419="Ambassador","1 - Ambassador",IF(M419="Member","2 - Member",IF(J419="Completed","3 - Presented",IF(H419&lt;&gt;"","4 - Shared",IF(F419&lt;&gt;"","5 - Contacted","6 - No Activity"))))))</f>
        <v/>
      </c>
      <c r="X419" s="6" t="n">
        <f aca="false">IF(AND($A419="",$B419=""),9999999+(ROW()-4),VALUE(LEFT($W419,1))*10000+(ROW()-4))</f>
        <v>10000414</v>
      </c>
    </row>
    <row r="420" customFormat="false" ht="15" hidden="false" customHeight="true" outlineLevel="0" collapsed="false">
      <c r="A420" s="6"/>
      <c r="B420" s="6"/>
      <c r="C420" s="6"/>
      <c r="D420" s="6"/>
      <c r="E420" s="6"/>
      <c r="F420" s="7"/>
      <c r="G420" s="6"/>
      <c r="H420" s="6"/>
      <c r="I420" s="7"/>
      <c r="J420" s="6"/>
      <c r="K420" s="7"/>
      <c r="L420" s="6"/>
      <c r="M420" s="6"/>
      <c r="N420" s="7"/>
      <c r="O420" s="6"/>
      <c r="P420" s="6"/>
      <c r="Q420" s="7"/>
      <c r="R420" s="6" t="str">
        <f aca="false">IF(AND($A420="",$B420=""),"",IF(Q420="Complete","Onboarded",IF(OR(M420="Member",M420="Ambassador"),"Sponsored",IF(K420&lt;&gt;"","Follow-Up",IF(I420&lt;&gt;"","Presented",IF(F420&lt;&gt;"","Contacted","New Lead"))))))</f>
        <v/>
      </c>
      <c r="S420" s="6"/>
      <c r="T420" s="6" t="str">
        <f aca="true">IF(MAX(F420,I420,K420)=0,"",TODAY()-MAX(F420,I420,K420))</f>
        <v/>
      </c>
      <c r="U420" s="6"/>
      <c r="V420" s="6"/>
      <c r="W420" s="6" t="str">
        <f aca="false">IF(AND($A420="",$B420=""),"",IF(M420="Ambassador","1 - Ambassador",IF(M420="Member","2 - Member",IF(J420="Completed","3 - Presented",IF(H420&lt;&gt;"","4 - Shared",IF(F420&lt;&gt;"","5 - Contacted","6 - No Activity"))))))</f>
        <v/>
      </c>
      <c r="X420" s="6" t="n">
        <f aca="false">IF(AND($A420="",$B420=""),9999999+(ROW()-4),VALUE(LEFT($W420,1))*10000+(ROW()-4))</f>
        <v>10000415</v>
      </c>
    </row>
    <row r="421" customFormat="false" ht="15" hidden="false" customHeight="true" outlineLevel="0" collapsed="false">
      <c r="A421" s="6"/>
      <c r="B421" s="6"/>
      <c r="C421" s="6"/>
      <c r="D421" s="6"/>
      <c r="E421" s="6"/>
      <c r="F421" s="7"/>
      <c r="G421" s="6"/>
      <c r="H421" s="6"/>
      <c r="I421" s="7"/>
      <c r="J421" s="6"/>
      <c r="K421" s="7"/>
      <c r="L421" s="6"/>
      <c r="M421" s="6"/>
      <c r="N421" s="7"/>
      <c r="O421" s="6"/>
      <c r="P421" s="6"/>
      <c r="Q421" s="7"/>
      <c r="R421" s="6" t="str">
        <f aca="false">IF(AND($A421="",$B421=""),"",IF(Q421="Complete","Onboarded",IF(OR(M421="Member",M421="Ambassador"),"Sponsored",IF(K421&lt;&gt;"","Follow-Up",IF(I421&lt;&gt;"","Presented",IF(F421&lt;&gt;"","Contacted","New Lead"))))))</f>
        <v/>
      </c>
      <c r="S421" s="6"/>
      <c r="T421" s="6" t="str">
        <f aca="true">IF(MAX(F421,I421,K421)=0,"",TODAY()-MAX(F421,I421,K421))</f>
        <v/>
      </c>
      <c r="U421" s="6"/>
      <c r="V421" s="6"/>
      <c r="W421" s="6" t="str">
        <f aca="false">IF(AND($A421="",$B421=""),"",IF(M421="Ambassador","1 - Ambassador",IF(M421="Member","2 - Member",IF(J421="Completed","3 - Presented",IF(H421&lt;&gt;"","4 - Shared",IF(F421&lt;&gt;"","5 - Contacted","6 - No Activity"))))))</f>
        <v/>
      </c>
      <c r="X421" s="6" t="n">
        <f aca="false">IF(AND($A421="",$B421=""),9999999+(ROW()-4),VALUE(LEFT($W421,1))*10000+(ROW()-4))</f>
        <v>10000416</v>
      </c>
    </row>
    <row r="422" customFormat="false" ht="15" hidden="false" customHeight="true" outlineLevel="0" collapsed="false">
      <c r="A422" s="6"/>
      <c r="B422" s="6"/>
      <c r="C422" s="6"/>
      <c r="D422" s="6"/>
      <c r="E422" s="6"/>
      <c r="F422" s="7"/>
      <c r="G422" s="6"/>
      <c r="H422" s="6"/>
      <c r="I422" s="7"/>
      <c r="J422" s="6"/>
      <c r="K422" s="7"/>
      <c r="L422" s="6"/>
      <c r="M422" s="6"/>
      <c r="N422" s="7"/>
      <c r="O422" s="6"/>
      <c r="P422" s="6"/>
      <c r="Q422" s="7"/>
      <c r="R422" s="6" t="str">
        <f aca="false">IF(AND($A422="",$B422=""),"",IF(Q422="Complete","Onboarded",IF(OR(M422="Member",M422="Ambassador"),"Sponsored",IF(K422&lt;&gt;"","Follow-Up",IF(I422&lt;&gt;"","Presented",IF(F422&lt;&gt;"","Contacted","New Lead"))))))</f>
        <v/>
      </c>
      <c r="S422" s="6"/>
      <c r="T422" s="6" t="str">
        <f aca="true">IF(MAX(F422,I422,K422)=0,"",TODAY()-MAX(F422,I422,K422))</f>
        <v/>
      </c>
      <c r="U422" s="6"/>
      <c r="V422" s="6"/>
      <c r="W422" s="6" t="str">
        <f aca="false">IF(AND($A422="",$B422=""),"",IF(M422="Ambassador","1 - Ambassador",IF(M422="Member","2 - Member",IF(J422="Completed","3 - Presented",IF(H422&lt;&gt;"","4 - Shared",IF(F422&lt;&gt;"","5 - Contacted","6 - No Activity"))))))</f>
        <v/>
      </c>
      <c r="X422" s="6" t="n">
        <f aca="false">IF(AND($A422="",$B422=""),9999999+(ROW()-4),VALUE(LEFT($W422,1))*10000+(ROW()-4))</f>
        <v>10000417</v>
      </c>
    </row>
    <row r="423" customFormat="false" ht="15" hidden="false" customHeight="true" outlineLevel="0" collapsed="false">
      <c r="A423" s="6"/>
      <c r="B423" s="6"/>
      <c r="C423" s="6"/>
      <c r="D423" s="6"/>
      <c r="E423" s="6"/>
      <c r="F423" s="7"/>
      <c r="G423" s="6"/>
      <c r="H423" s="6"/>
      <c r="I423" s="7"/>
      <c r="J423" s="6"/>
      <c r="K423" s="7"/>
      <c r="L423" s="6"/>
      <c r="M423" s="6"/>
      <c r="N423" s="7"/>
      <c r="O423" s="6"/>
      <c r="P423" s="6"/>
      <c r="Q423" s="7"/>
      <c r="R423" s="6" t="str">
        <f aca="false">IF(AND($A423="",$B423=""),"",IF(Q423="Complete","Onboarded",IF(OR(M423="Member",M423="Ambassador"),"Sponsored",IF(K423&lt;&gt;"","Follow-Up",IF(I423&lt;&gt;"","Presented",IF(F423&lt;&gt;"","Contacted","New Lead"))))))</f>
        <v/>
      </c>
      <c r="S423" s="6"/>
      <c r="T423" s="6" t="str">
        <f aca="true">IF(MAX(F423,I423,K423)=0,"",TODAY()-MAX(F423,I423,K423))</f>
        <v/>
      </c>
      <c r="U423" s="6"/>
      <c r="V423" s="6"/>
      <c r="W423" s="6" t="str">
        <f aca="false">IF(AND($A423="",$B423=""),"",IF(M423="Ambassador","1 - Ambassador",IF(M423="Member","2 - Member",IF(J423="Completed","3 - Presented",IF(H423&lt;&gt;"","4 - Shared",IF(F423&lt;&gt;"","5 - Contacted","6 - No Activity"))))))</f>
        <v/>
      </c>
      <c r="X423" s="6" t="n">
        <f aca="false">IF(AND($A423="",$B423=""),9999999+(ROW()-4),VALUE(LEFT($W423,1))*10000+(ROW()-4))</f>
        <v>10000418</v>
      </c>
    </row>
    <row r="424" customFormat="false" ht="15" hidden="false" customHeight="true" outlineLevel="0" collapsed="false">
      <c r="A424" s="6"/>
      <c r="B424" s="6"/>
      <c r="C424" s="6"/>
      <c r="D424" s="6"/>
      <c r="E424" s="6"/>
      <c r="F424" s="7"/>
      <c r="G424" s="6"/>
      <c r="H424" s="6"/>
      <c r="I424" s="7"/>
      <c r="J424" s="6"/>
      <c r="K424" s="7"/>
      <c r="L424" s="6"/>
      <c r="M424" s="6"/>
      <c r="N424" s="7"/>
      <c r="O424" s="6"/>
      <c r="P424" s="6"/>
      <c r="Q424" s="7"/>
      <c r="R424" s="6" t="str">
        <f aca="false">IF(AND($A424="",$B424=""),"",IF(Q424="Complete","Onboarded",IF(OR(M424="Member",M424="Ambassador"),"Sponsored",IF(K424&lt;&gt;"","Follow-Up",IF(I424&lt;&gt;"","Presented",IF(F424&lt;&gt;"","Contacted","New Lead"))))))</f>
        <v/>
      </c>
      <c r="S424" s="6"/>
      <c r="T424" s="6" t="str">
        <f aca="true">IF(MAX(F424,I424,K424)=0,"",TODAY()-MAX(F424,I424,K424))</f>
        <v/>
      </c>
      <c r="U424" s="6"/>
      <c r="V424" s="6"/>
      <c r="W424" s="6" t="str">
        <f aca="false">IF(AND($A424="",$B424=""),"",IF(M424="Ambassador","1 - Ambassador",IF(M424="Member","2 - Member",IF(J424="Completed","3 - Presented",IF(H424&lt;&gt;"","4 - Shared",IF(F424&lt;&gt;"","5 - Contacted","6 - No Activity"))))))</f>
        <v/>
      </c>
      <c r="X424" s="6" t="n">
        <f aca="false">IF(AND($A424="",$B424=""),9999999+(ROW()-4),VALUE(LEFT($W424,1))*10000+(ROW()-4))</f>
        <v>10000419</v>
      </c>
    </row>
    <row r="425" customFormat="false" ht="15" hidden="false" customHeight="true" outlineLevel="0" collapsed="false">
      <c r="A425" s="6"/>
      <c r="B425" s="6"/>
      <c r="C425" s="6"/>
      <c r="D425" s="6"/>
      <c r="E425" s="6"/>
      <c r="F425" s="7"/>
      <c r="G425" s="6"/>
      <c r="H425" s="6"/>
      <c r="I425" s="7"/>
      <c r="J425" s="6"/>
      <c r="K425" s="7"/>
      <c r="L425" s="6"/>
      <c r="M425" s="6"/>
      <c r="N425" s="7"/>
      <c r="O425" s="6"/>
      <c r="P425" s="6"/>
      <c r="Q425" s="7"/>
      <c r="R425" s="6" t="str">
        <f aca="false">IF(AND($A425="",$B425=""),"",IF(Q425="Complete","Onboarded",IF(OR(M425="Member",M425="Ambassador"),"Sponsored",IF(K425&lt;&gt;"","Follow-Up",IF(I425&lt;&gt;"","Presented",IF(F425&lt;&gt;"","Contacted","New Lead"))))))</f>
        <v/>
      </c>
      <c r="S425" s="6"/>
      <c r="T425" s="6" t="str">
        <f aca="true">IF(MAX(F425,I425,K425)=0,"",TODAY()-MAX(F425,I425,K425))</f>
        <v/>
      </c>
      <c r="U425" s="6"/>
      <c r="V425" s="6"/>
      <c r="W425" s="6" t="str">
        <f aca="false">IF(AND($A425="",$B425=""),"",IF(M425="Ambassador","1 - Ambassador",IF(M425="Member","2 - Member",IF(J425="Completed","3 - Presented",IF(H425&lt;&gt;"","4 - Shared",IF(F425&lt;&gt;"","5 - Contacted","6 - No Activity"))))))</f>
        <v/>
      </c>
      <c r="X425" s="6" t="n">
        <f aca="false">IF(AND($A425="",$B425=""),9999999+(ROW()-4),VALUE(LEFT($W425,1))*10000+(ROW()-4))</f>
        <v>10000420</v>
      </c>
    </row>
    <row r="426" customFormat="false" ht="15" hidden="false" customHeight="true" outlineLevel="0" collapsed="false">
      <c r="A426" s="6"/>
      <c r="B426" s="6"/>
      <c r="C426" s="6"/>
      <c r="D426" s="6"/>
      <c r="E426" s="6"/>
      <c r="F426" s="7"/>
      <c r="G426" s="6"/>
      <c r="H426" s="6"/>
      <c r="I426" s="7"/>
      <c r="J426" s="6"/>
      <c r="K426" s="7"/>
      <c r="L426" s="6"/>
      <c r="M426" s="6"/>
      <c r="N426" s="7"/>
      <c r="O426" s="6"/>
      <c r="P426" s="6"/>
      <c r="Q426" s="7"/>
      <c r="R426" s="6" t="str">
        <f aca="false">IF(AND($A426="",$B426=""),"",IF(Q426="Complete","Onboarded",IF(OR(M426="Member",M426="Ambassador"),"Sponsored",IF(K426&lt;&gt;"","Follow-Up",IF(I426&lt;&gt;"","Presented",IF(F426&lt;&gt;"","Contacted","New Lead"))))))</f>
        <v/>
      </c>
      <c r="S426" s="6"/>
      <c r="T426" s="6" t="str">
        <f aca="true">IF(MAX(F426,I426,K426)=0,"",TODAY()-MAX(F426,I426,K426))</f>
        <v/>
      </c>
      <c r="U426" s="6"/>
      <c r="V426" s="6"/>
      <c r="W426" s="6" t="str">
        <f aca="false">IF(AND($A426="",$B426=""),"",IF(M426="Ambassador","1 - Ambassador",IF(M426="Member","2 - Member",IF(J426="Completed","3 - Presented",IF(H426&lt;&gt;"","4 - Shared",IF(F426&lt;&gt;"","5 - Contacted","6 - No Activity"))))))</f>
        <v/>
      </c>
      <c r="X426" s="6" t="n">
        <f aca="false">IF(AND($A426="",$B426=""),9999999+(ROW()-4),VALUE(LEFT($W426,1))*10000+(ROW()-4))</f>
        <v>10000421</v>
      </c>
    </row>
    <row r="427" customFormat="false" ht="15" hidden="false" customHeight="true" outlineLevel="0" collapsed="false">
      <c r="A427" s="6"/>
      <c r="B427" s="6"/>
      <c r="C427" s="6"/>
      <c r="D427" s="6"/>
      <c r="E427" s="6"/>
      <c r="F427" s="7"/>
      <c r="G427" s="6"/>
      <c r="H427" s="6"/>
      <c r="I427" s="7"/>
      <c r="J427" s="6"/>
      <c r="K427" s="7"/>
      <c r="L427" s="6"/>
      <c r="M427" s="6"/>
      <c r="N427" s="7"/>
      <c r="O427" s="6"/>
      <c r="P427" s="6"/>
      <c r="Q427" s="7"/>
      <c r="R427" s="6" t="str">
        <f aca="false">IF(AND($A427="",$B427=""),"",IF(Q427="Complete","Onboarded",IF(OR(M427="Member",M427="Ambassador"),"Sponsored",IF(K427&lt;&gt;"","Follow-Up",IF(I427&lt;&gt;"","Presented",IF(F427&lt;&gt;"","Contacted","New Lead"))))))</f>
        <v/>
      </c>
      <c r="S427" s="6"/>
      <c r="T427" s="6" t="str">
        <f aca="true">IF(MAX(F427,I427,K427)=0,"",TODAY()-MAX(F427,I427,K427))</f>
        <v/>
      </c>
      <c r="U427" s="6"/>
      <c r="V427" s="6"/>
      <c r="W427" s="6" t="str">
        <f aca="false">IF(AND($A427="",$B427=""),"",IF(M427="Ambassador","1 - Ambassador",IF(M427="Member","2 - Member",IF(J427="Completed","3 - Presented",IF(H427&lt;&gt;"","4 - Shared",IF(F427&lt;&gt;"","5 - Contacted","6 - No Activity"))))))</f>
        <v/>
      </c>
      <c r="X427" s="6" t="n">
        <f aca="false">IF(AND($A427="",$B427=""),9999999+(ROW()-4),VALUE(LEFT($W427,1))*10000+(ROW()-4))</f>
        <v>10000422</v>
      </c>
    </row>
    <row r="428" customFormat="false" ht="15" hidden="false" customHeight="true" outlineLevel="0" collapsed="false">
      <c r="A428" s="6"/>
      <c r="B428" s="6"/>
      <c r="C428" s="6"/>
      <c r="D428" s="6"/>
      <c r="E428" s="6"/>
      <c r="F428" s="7"/>
      <c r="G428" s="6"/>
      <c r="H428" s="6"/>
      <c r="I428" s="7"/>
      <c r="J428" s="6"/>
      <c r="K428" s="7"/>
      <c r="L428" s="6"/>
      <c r="M428" s="6"/>
      <c r="N428" s="7"/>
      <c r="O428" s="6"/>
      <c r="P428" s="6"/>
      <c r="Q428" s="7"/>
      <c r="R428" s="6" t="str">
        <f aca="false">IF(AND($A428="",$B428=""),"",IF(Q428="Complete","Onboarded",IF(OR(M428="Member",M428="Ambassador"),"Sponsored",IF(K428&lt;&gt;"","Follow-Up",IF(I428&lt;&gt;"","Presented",IF(F428&lt;&gt;"","Contacted","New Lead"))))))</f>
        <v/>
      </c>
      <c r="S428" s="6"/>
      <c r="T428" s="6" t="str">
        <f aca="true">IF(MAX(F428,I428,K428)=0,"",TODAY()-MAX(F428,I428,K428))</f>
        <v/>
      </c>
      <c r="U428" s="6"/>
      <c r="V428" s="6"/>
      <c r="W428" s="6" t="str">
        <f aca="false">IF(AND($A428="",$B428=""),"",IF(M428="Ambassador","1 - Ambassador",IF(M428="Member","2 - Member",IF(J428="Completed","3 - Presented",IF(H428&lt;&gt;"","4 - Shared",IF(F428&lt;&gt;"","5 - Contacted","6 - No Activity"))))))</f>
        <v/>
      </c>
      <c r="X428" s="6" t="n">
        <f aca="false">IF(AND($A428="",$B428=""),9999999+(ROW()-4),VALUE(LEFT($W428,1))*10000+(ROW()-4))</f>
        <v>10000423</v>
      </c>
    </row>
    <row r="429" customFormat="false" ht="15" hidden="false" customHeight="true" outlineLevel="0" collapsed="false">
      <c r="A429" s="6"/>
      <c r="B429" s="6"/>
      <c r="C429" s="6"/>
      <c r="D429" s="6"/>
      <c r="E429" s="6"/>
      <c r="F429" s="7"/>
      <c r="G429" s="6"/>
      <c r="H429" s="6"/>
      <c r="I429" s="7"/>
      <c r="J429" s="6"/>
      <c r="K429" s="7"/>
      <c r="L429" s="6"/>
      <c r="M429" s="6"/>
      <c r="N429" s="7"/>
      <c r="O429" s="6"/>
      <c r="P429" s="6"/>
      <c r="Q429" s="7"/>
      <c r="R429" s="6" t="str">
        <f aca="false">IF(AND($A429="",$B429=""),"",IF(Q429="Complete","Onboarded",IF(OR(M429="Member",M429="Ambassador"),"Sponsored",IF(K429&lt;&gt;"","Follow-Up",IF(I429&lt;&gt;"","Presented",IF(F429&lt;&gt;"","Contacted","New Lead"))))))</f>
        <v/>
      </c>
      <c r="S429" s="6"/>
      <c r="T429" s="6" t="str">
        <f aca="true">IF(MAX(F429,I429,K429)=0,"",TODAY()-MAX(F429,I429,K429))</f>
        <v/>
      </c>
      <c r="U429" s="6"/>
      <c r="V429" s="6"/>
      <c r="W429" s="6" t="str">
        <f aca="false">IF(AND($A429="",$B429=""),"",IF(M429="Ambassador","1 - Ambassador",IF(M429="Member","2 - Member",IF(J429="Completed","3 - Presented",IF(H429&lt;&gt;"","4 - Shared",IF(F429&lt;&gt;"","5 - Contacted","6 - No Activity"))))))</f>
        <v/>
      </c>
      <c r="X429" s="6" t="n">
        <f aca="false">IF(AND($A429="",$B429=""),9999999+(ROW()-4),VALUE(LEFT($W429,1))*10000+(ROW()-4))</f>
        <v>10000424</v>
      </c>
    </row>
    <row r="430" customFormat="false" ht="15" hidden="false" customHeight="true" outlineLevel="0" collapsed="false">
      <c r="A430" s="6"/>
      <c r="B430" s="6"/>
      <c r="C430" s="6"/>
      <c r="D430" s="6"/>
      <c r="E430" s="6"/>
      <c r="F430" s="7"/>
      <c r="G430" s="6"/>
      <c r="H430" s="6"/>
      <c r="I430" s="7"/>
      <c r="J430" s="6"/>
      <c r="K430" s="7"/>
      <c r="L430" s="6"/>
      <c r="M430" s="6"/>
      <c r="N430" s="7"/>
      <c r="O430" s="6"/>
      <c r="P430" s="6"/>
      <c r="Q430" s="7"/>
      <c r="R430" s="6" t="str">
        <f aca="false">IF(AND($A430="",$B430=""),"",IF(Q430="Complete","Onboarded",IF(OR(M430="Member",M430="Ambassador"),"Sponsored",IF(K430&lt;&gt;"","Follow-Up",IF(I430&lt;&gt;"","Presented",IF(F430&lt;&gt;"","Contacted","New Lead"))))))</f>
        <v/>
      </c>
      <c r="S430" s="6"/>
      <c r="T430" s="6" t="str">
        <f aca="true">IF(MAX(F430,I430,K430)=0,"",TODAY()-MAX(F430,I430,K430))</f>
        <v/>
      </c>
      <c r="U430" s="6"/>
      <c r="V430" s="6"/>
      <c r="W430" s="6" t="str">
        <f aca="false">IF(AND($A430="",$B430=""),"",IF(M430="Ambassador","1 - Ambassador",IF(M430="Member","2 - Member",IF(J430="Completed","3 - Presented",IF(H430&lt;&gt;"","4 - Shared",IF(F430&lt;&gt;"","5 - Contacted","6 - No Activity"))))))</f>
        <v/>
      </c>
      <c r="X430" s="6" t="n">
        <f aca="false">IF(AND($A430="",$B430=""),9999999+(ROW()-4),VALUE(LEFT($W430,1))*10000+(ROW()-4))</f>
        <v>10000425</v>
      </c>
    </row>
    <row r="431" customFormat="false" ht="15" hidden="false" customHeight="true" outlineLevel="0" collapsed="false">
      <c r="A431" s="6"/>
      <c r="B431" s="6"/>
      <c r="C431" s="6"/>
      <c r="D431" s="6"/>
      <c r="E431" s="6"/>
      <c r="F431" s="7"/>
      <c r="G431" s="6"/>
      <c r="H431" s="6"/>
      <c r="I431" s="7"/>
      <c r="J431" s="6"/>
      <c r="K431" s="7"/>
      <c r="L431" s="6"/>
      <c r="M431" s="6"/>
      <c r="N431" s="7"/>
      <c r="O431" s="6"/>
      <c r="P431" s="6"/>
      <c r="Q431" s="7"/>
      <c r="R431" s="6" t="str">
        <f aca="false">IF(AND($A431="",$B431=""),"",IF(Q431="Complete","Onboarded",IF(OR(M431="Member",M431="Ambassador"),"Sponsored",IF(K431&lt;&gt;"","Follow-Up",IF(I431&lt;&gt;"","Presented",IF(F431&lt;&gt;"","Contacted","New Lead"))))))</f>
        <v/>
      </c>
      <c r="S431" s="6"/>
      <c r="T431" s="6" t="str">
        <f aca="true">IF(MAX(F431,I431,K431)=0,"",TODAY()-MAX(F431,I431,K431))</f>
        <v/>
      </c>
      <c r="U431" s="6"/>
      <c r="V431" s="6"/>
      <c r="W431" s="6" t="str">
        <f aca="false">IF(AND($A431="",$B431=""),"",IF(M431="Ambassador","1 - Ambassador",IF(M431="Member","2 - Member",IF(J431="Completed","3 - Presented",IF(H431&lt;&gt;"","4 - Shared",IF(F431&lt;&gt;"","5 - Contacted","6 - No Activity"))))))</f>
        <v/>
      </c>
      <c r="X431" s="6" t="n">
        <f aca="false">IF(AND($A431="",$B431=""),9999999+(ROW()-4),VALUE(LEFT($W431,1))*10000+(ROW()-4))</f>
        <v>10000426</v>
      </c>
    </row>
    <row r="432" customFormat="false" ht="15" hidden="false" customHeight="true" outlineLevel="0" collapsed="false">
      <c r="A432" s="6"/>
      <c r="B432" s="6"/>
      <c r="C432" s="6"/>
      <c r="D432" s="6"/>
      <c r="E432" s="6"/>
      <c r="F432" s="7"/>
      <c r="G432" s="6"/>
      <c r="H432" s="6"/>
      <c r="I432" s="7"/>
      <c r="J432" s="6"/>
      <c r="K432" s="7"/>
      <c r="L432" s="6"/>
      <c r="M432" s="6"/>
      <c r="N432" s="7"/>
      <c r="O432" s="6"/>
      <c r="P432" s="6"/>
      <c r="Q432" s="7"/>
      <c r="R432" s="6" t="str">
        <f aca="false">IF(AND($A432="",$B432=""),"",IF(Q432="Complete","Onboarded",IF(OR(M432="Member",M432="Ambassador"),"Sponsored",IF(K432&lt;&gt;"","Follow-Up",IF(I432&lt;&gt;"","Presented",IF(F432&lt;&gt;"","Contacted","New Lead"))))))</f>
        <v/>
      </c>
      <c r="S432" s="6"/>
      <c r="T432" s="6" t="str">
        <f aca="true">IF(MAX(F432,I432,K432)=0,"",TODAY()-MAX(F432,I432,K432))</f>
        <v/>
      </c>
      <c r="U432" s="6"/>
      <c r="V432" s="6"/>
      <c r="W432" s="6" t="str">
        <f aca="false">IF(AND($A432="",$B432=""),"",IF(M432="Ambassador","1 - Ambassador",IF(M432="Member","2 - Member",IF(J432="Completed","3 - Presented",IF(H432&lt;&gt;"","4 - Shared",IF(F432&lt;&gt;"","5 - Contacted","6 - No Activity"))))))</f>
        <v/>
      </c>
      <c r="X432" s="6" t="n">
        <f aca="false">IF(AND($A432="",$B432=""),9999999+(ROW()-4),VALUE(LEFT($W432,1))*10000+(ROW()-4))</f>
        <v>10000427</v>
      </c>
    </row>
    <row r="433" customFormat="false" ht="15" hidden="false" customHeight="true" outlineLevel="0" collapsed="false">
      <c r="A433" s="6"/>
      <c r="B433" s="6"/>
      <c r="C433" s="6"/>
      <c r="D433" s="6"/>
      <c r="E433" s="6"/>
      <c r="F433" s="7"/>
      <c r="G433" s="6"/>
      <c r="H433" s="6"/>
      <c r="I433" s="7"/>
      <c r="J433" s="6"/>
      <c r="K433" s="7"/>
      <c r="L433" s="6"/>
      <c r="M433" s="6"/>
      <c r="N433" s="7"/>
      <c r="O433" s="6"/>
      <c r="P433" s="6"/>
      <c r="Q433" s="7"/>
      <c r="R433" s="6" t="str">
        <f aca="false">IF(AND($A433="",$B433=""),"",IF(Q433="Complete","Onboarded",IF(OR(M433="Member",M433="Ambassador"),"Sponsored",IF(K433&lt;&gt;"","Follow-Up",IF(I433&lt;&gt;"","Presented",IF(F433&lt;&gt;"","Contacted","New Lead"))))))</f>
        <v/>
      </c>
      <c r="S433" s="6"/>
      <c r="T433" s="6" t="str">
        <f aca="true">IF(MAX(F433,I433,K433)=0,"",TODAY()-MAX(F433,I433,K433))</f>
        <v/>
      </c>
      <c r="U433" s="6"/>
      <c r="V433" s="6"/>
      <c r="W433" s="6" t="str">
        <f aca="false">IF(AND($A433="",$B433=""),"",IF(M433="Ambassador","1 - Ambassador",IF(M433="Member","2 - Member",IF(J433="Completed","3 - Presented",IF(H433&lt;&gt;"","4 - Shared",IF(F433&lt;&gt;"","5 - Contacted","6 - No Activity"))))))</f>
        <v/>
      </c>
      <c r="X433" s="6" t="n">
        <f aca="false">IF(AND($A433="",$B433=""),9999999+(ROW()-4),VALUE(LEFT($W433,1))*10000+(ROW()-4))</f>
        <v>10000428</v>
      </c>
    </row>
    <row r="434" customFormat="false" ht="15" hidden="false" customHeight="true" outlineLevel="0" collapsed="false">
      <c r="A434" s="6"/>
      <c r="B434" s="6"/>
      <c r="C434" s="6"/>
      <c r="D434" s="6"/>
      <c r="E434" s="6"/>
      <c r="F434" s="7"/>
      <c r="G434" s="6"/>
      <c r="H434" s="6"/>
      <c r="I434" s="7"/>
      <c r="J434" s="6"/>
      <c r="K434" s="7"/>
      <c r="L434" s="6"/>
      <c r="M434" s="6"/>
      <c r="N434" s="7"/>
      <c r="O434" s="6"/>
      <c r="P434" s="6"/>
      <c r="Q434" s="7"/>
      <c r="R434" s="6" t="str">
        <f aca="false">IF(AND($A434="",$B434=""),"",IF(Q434="Complete","Onboarded",IF(OR(M434="Member",M434="Ambassador"),"Sponsored",IF(K434&lt;&gt;"","Follow-Up",IF(I434&lt;&gt;"","Presented",IF(F434&lt;&gt;"","Contacted","New Lead"))))))</f>
        <v/>
      </c>
      <c r="S434" s="6"/>
      <c r="T434" s="6" t="str">
        <f aca="true">IF(MAX(F434,I434,K434)=0,"",TODAY()-MAX(F434,I434,K434))</f>
        <v/>
      </c>
      <c r="U434" s="6"/>
      <c r="V434" s="6"/>
      <c r="W434" s="6" t="str">
        <f aca="false">IF(AND($A434="",$B434=""),"",IF(M434="Ambassador","1 - Ambassador",IF(M434="Member","2 - Member",IF(J434="Completed","3 - Presented",IF(H434&lt;&gt;"","4 - Shared",IF(F434&lt;&gt;"","5 - Contacted","6 - No Activity"))))))</f>
        <v/>
      </c>
      <c r="X434" s="6" t="n">
        <f aca="false">IF(AND($A434="",$B434=""),9999999+(ROW()-4),VALUE(LEFT($W434,1))*10000+(ROW()-4))</f>
        <v>10000429</v>
      </c>
    </row>
    <row r="435" customFormat="false" ht="15" hidden="false" customHeight="true" outlineLevel="0" collapsed="false">
      <c r="A435" s="6"/>
      <c r="B435" s="6"/>
      <c r="C435" s="6"/>
      <c r="D435" s="6"/>
      <c r="E435" s="6"/>
      <c r="F435" s="7"/>
      <c r="G435" s="6"/>
      <c r="H435" s="6"/>
      <c r="I435" s="7"/>
      <c r="J435" s="6"/>
      <c r="K435" s="7"/>
      <c r="L435" s="6"/>
      <c r="M435" s="6"/>
      <c r="N435" s="7"/>
      <c r="O435" s="6"/>
      <c r="P435" s="6"/>
      <c r="Q435" s="7"/>
      <c r="R435" s="6" t="str">
        <f aca="false">IF(AND($A435="",$B435=""),"",IF(Q435="Complete","Onboarded",IF(OR(M435="Member",M435="Ambassador"),"Sponsored",IF(K435&lt;&gt;"","Follow-Up",IF(I435&lt;&gt;"","Presented",IF(F435&lt;&gt;"","Contacted","New Lead"))))))</f>
        <v/>
      </c>
      <c r="S435" s="6"/>
      <c r="T435" s="6" t="str">
        <f aca="true">IF(MAX(F435,I435,K435)=0,"",TODAY()-MAX(F435,I435,K435))</f>
        <v/>
      </c>
      <c r="U435" s="6"/>
      <c r="V435" s="6"/>
      <c r="W435" s="6" t="str">
        <f aca="false">IF(AND($A435="",$B435=""),"",IF(M435="Ambassador","1 - Ambassador",IF(M435="Member","2 - Member",IF(J435="Completed","3 - Presented",IF(H435&lt;&gt;"","4 - Shared",IF(F435&lt;&gt;"","5 - Contacted","6 - No Activity"))))))</f>
        <v/>
      </c>
      <c r="X435" s="6" t="n">
        <f aca="false">IF(AND($A435="",$B435=""),9999999+(ROW()-4),VALUE(LEFT($W435,1))*10000+(ROW()-4))</f>
        <v>10000430</v>
      </c>
    </row>
    <row r="436" customFormat="false" ht="15" hidden="false" customHeight="true" outlineLevel="0" collapsed="false">
      <c r="A436" s="6"/>
      <c r="B436" s="6"/>
      <c r="C436" s="6"/>
      <c r="D436" s="6"/>
      <c r="E436" s="6"/>
      <c r="F436" s="7"/>
      <c r="G436" s="6"/>
      <c r="H436" s="6"/>
      <c r="I436" s="7"/>
      <c r="J436" s="6"/>
      <c r="K436" s="7"/>
      <c r="L436" s="6"/>
      <c r="M436" s="6"/>
      <c r="N436" s="7"/>
      <c r="O436" s="6"/>
      <c r="P436" s="6"/>
      <c r="Q436" s="7"/>
      <c r="R436" s="6" t="str">
        <f aca="false">IF(AND($A436="",$B436=""),"",IF(Q436="Complete","Onboarded",IF(OR(M436="Member",M436="Ambassador"),"Sponsored",IF(K436&lt;&gt;"","Follow-Up",IF(I436&lt;&gt;"","Presented",IF(F436&lt;&gt;"","Contacted","New Lead"))))))</f>
        <v/>
      </c>
      <c r="S436" s="6"/>
      <c r="T436" s="6" t="str">
        <f aca="true">IF(MAX(F436,I436,K436)=0,"",TODAY()-MAX(F436,I436,K436))</f>
        <v/>
      </c>
      <c r="U436" s="6"/>
      <c r="V436" s="6"/>
      <c r="W436" s="6" t="str">
        <f aca="false">IF(AND($A436="",$B436=""),"",IF(M436="Ambassador","1 - Ambassador",IF(M436="Member","2 - Member",IF(J436="Completed","3 - Presented",IF(H436&lt;&gt;"","4 - Shared",IF(F436&lt;&gt;"","5 - Contacted","6 - No Activity"))))))</f>
        <v/>
      </c>
      <c r="X436" s="6" t="n">
        <f aca="false">IF(AND($A436="",$B436=""),9999999+(ROW()-4),VALUE(LEFT($W436,1))*10000+(ROW()-4))</f>
        <v>10000431</v>
      </c>
    </row>
    <row r="437" customFormat="false" ht="15" hidden="false" customHeight="true" outlineLevel="0" collapsed="false">
      <c r="A437" s="6"/>
      <c r="B437" s="6"/>
      <c r="C437" s="6"/>
      <c r="D437" s="6"/>
      <c r="E437" s="6"/>
      <c r="F437" s="7"/>
      <c r="G437" s="6"/>
      <c r="H437" s="6"/>
      <c r="I437" s="7"/>
      <c r="J437" s="6"/>
      <c r="K437" s="7"/>
      <c r="L437" s="6"/>
      <c r="M437" s="6"/>
      <c r="N437" s="7"/>
      <c r="O437" s="6"/>
      <c r="P437" s="6"/>
      <c r="Q437" s="7"/>
      <c r="R437" s="6" t="str">
        <f aca="false">IF(AND($A437="",$B437=""),"",IF(Q437="Complete","Onboarded",IF(OR(M437="Member",M437="Ambassador"),"Sponsored",IF(K437&lt;&gt;"","Follow-Up",IF(I437&lt;&gt;"","Presented",IF(F437&lt;&gt;"","Contacted","New Lead"))))))</f>
        <v/>
      </c>
      <c r="S437" s="6"/>
      <c r="T437" s="6" t="str">
        <f aca="true">IF(MAX(F437,I437,K437)=0,"",TODAY()-MAX(F437,I437,K437))</f>
        <v/>
      </c>
      <c r="U437" s="6"/>
      <c r="V437" s="6"/>
      <c r="W437" s="6" t="str">
        <f aca="false">IF(AND($A437="",$B437=""),"",IF(M437="Ambassador","1 - Ambassador",IF(M437="Member","2 - Member",IF(J437="Completed","3 - Presented",IF(H437&lt;&gt;"","4 - Shared",IF(F437&lt;&gt;"","5 - Contacted","6 - No Activity"))))))</f>
        <v/>
      </c>
      <c r="X437" s="6" t="n">
        <f aca="false">IF(AND($A437="",$B437=""),9999999+(ROW()-4),VALUE(LEFT($W437,1))*10000+(ROW()-4))</f>
        <v>10000432</v>
      </c>
    </row>
    <row r="438" customFormat="false" ht="15" hidden="false" customHeight="true" outlineLevel="0" collapsed="false">
      <c r="A438" s="6"/>
      <c r="B438" s="6"/>
      <c r="C438" s="6"/>
      <c r="D438" s="6"/>
      <c r="E438" s="6"/>
      <c r="F438" s="7"/>
      <c r="G438" s="6"/>
      <c r="H438" s="6"/>
      <c r="I438" s="7"/>
      <c r="J438" s="6"/>
      <c r="K438" s="7"/>
      <c r="L438" s="6"/>
      <c r="M438" s="6"/>
      <c r="N438" s="7"/>
      <c r="O438" s="6"/>
      <c r="P438" s="6"/>
      <c r="Q438" s="7"/>
      <c r="R438" s="6" t="str">
        <f aca="false">IF(AND($A438="",$B438=""),"",IF(Q438="Complete","Onboarded",IF(OR(M438="Member",M438="Ambassador"),"Sponsored",IF(K438&lt;&gt;"","Follow-Up",IF(I438&lt;&gt;"","Presented",IF(F438&lt;&gt;"","Contacted","New Lead"))))))</f>
        <v/>
      </c>
      <c r="S438" s="6"/>
      <c r="T438" s="6" t="str">
        <f aca="true">IF(MAX(F438,I438,K438)=0,"",TODAY()-MAX(F438,I438,K438))</f>
        <v/>
      </c>
      <c r="U438" s="6"/>
      <c r="V438" s="6"/>
      <c r="W438" s="6" t="str">
        <f aca="false">IF(AND($A438="",$B438=""),"",IF(M438="Ambassador","1 - Ambassador",IF(M438="Member","2 - Member",IF(J438="Completed","3 - Presented",IF(H438&lt;&gt;"","4 - Shared",IF(F438&lt;&gt;"","5 - Contacted","6 - No Activity"))))))</f>
        <v/>
      </c>
      <c r="X438" s="6" t="n">
        <f aca="false">IF(AND($A438="",$B438=""),9999999+(ROW()-4),VALUE(LEFT($W438,1))*10000+(ROW()-4))</f>
        <v>10000433</v>
      </c>
    </row>
    <row r="439" customFormat="false" ht="15" hidden="false" customHeight="true" outlineLevel="0" collapsed="false">
      <c r="A439" s="6"/>
      <c r="B439" s="6"/>
      <c r="C439" s="6"/>
      <c r="D439" s="6"/>
      <c r="E439" s="6"/>
      <c r="F439" s="7"/>
      <c r="G439" s="6"/>
      <c r="H439" s="6"/>
      <c r="I439" s="7"/>
      <c r="J439" s="6"/>
      <c r="K439" s="7"/>
      <c r="L439" s="6"/>
      <c r="M439" s="6"/>
      <c r="N439" s="7"/>
      <c r="O439" s="6"/>
      <c r="P439" s="6"/>
      <c r="Q439" s="7"/>
      <c r="R439" s="6" t="str">
        <f aca="false">IF(AND($A439="",$B439=""),"",IF(Q439="Complete","Onboarded",IF(OR(M439="Member",M439="Ambassador"),"Sponsored",IF(K439&lt;&gt;"","Follow-Up",IF(I439&lt;&gt;"","Presented",IF(F439&lt;&gt;"","Contacted","New Lead"))))))</f>
        <v/>
      </c>
      <c r="S439" s="6"/>
      <c r="T439" s="6" t="str">
        <f aca="true">IF(MAX(F439,I439,K439)=0,"",TODAY()-MAX(F439,I439,K439))</f>
        <v/>
      </c>
      <c r="U439" s="6"/>
      <c r="V439" s="6"/>
      <c r="W439" s="6" t="str">
        <f aca="false">IF(AND($A439="",$B439=""),"",IF(M439="Ambassador","1 - Ambassador",IF(M439="Member","2 - Member",IF(J439="Completed","3 - Presented",IF(H439&lt;&gt;"","4 - Shared",IF(F439&lt;&gt;"","5 - Contacted","6 - No Activity"))))))</f>
        <v/>
      </c>
      <c r="X439" s="6" t="n">
        <f aca="false">IF(AND($A439="",$B439=""),9999999+(ROW()-4),VALUE(LEFT($W439,1))*10000+(ROW()-4))</f>
        <v>10000434</v>
      </c>
    </row>
    <row r="440" customFormat="false" ht="15" hidden="false" customHeight="true" outlineLevel="0" collapsed="false">
      <c r="A440" s="6"/>
      <c r="B440" s="6"/>
      <c r="C440" s="6"/>
      <c r="D440" s="6"/>
      <c r="E440" s="6"/>
      <c r="F440" s="7"/>
      <c r="G440" s="6"/>
      <c r="H440" s="6"/>
      <c r="I440" s="7"/>
      <c r="J440" s="6"/>
      <c r="K440" s="7"/>
      <c r="L440" s="6"/>
      <c r="M440" s="6"/>
      <c r="N440" s="7"/>
      <c r="O440" s="6"/>
      <c r="P440" s="6"/>
      <c r="Q440" s="7"/>
      <c r="R440" s="6" t="str">
        <f aca="false">IF(AND($A440="",$B440=""),"",IF(Q440="Complete","Onboarded",IF(OR(M440="Member",M440="Ambassador"),"Sponsored",IF(K440&lt;&gt;"","Follow-Up",IF(I440&lt;&gt;"","Presented",IF(F440&lt;&gt;"","Contacted","New Lead"))))))</f>
        <v/>
      </c>
      <c r="S440" s="6"/>
      <c r="T440" s="6" t="str">
        <f aca="true">IF(MAX(F440,I440,K440)=0,"",TODAY()-MAX(F440,I440,K440))</f>
        <v/>
      </c>
      <c r="U440" s="6"/>
      <c r="V440" s="6"/>
      <c r="W440" s="6" t="str">
        <f aca="false">IF(AND($A440="",$B440=""),"",IF(M440="Ambassador","1 - Ambassador",IF(M440="Member","2 - Member",IF(J440="Completed","3 - Presented",IF(H440&lt;&gt;"","4 - Shared",IF(F440&lt;&gt;"","5 - Contacted","6 - No Activity"))))))</f>
        <v/>
      </c>
      <c r="X440" s="6" t="n">
        <f aca="false">IF(AND($A440="",$B440=""),9999999+(ROW()-4),VALUE(LEFT($W440,1))*10000+(ROW()-4))</f>
        <v>10000435</v>
      </c>
    </row>
    <row r="441" customFormat="false" ht="15" hidden="false" customHeight="true" outlineLevel="0" collapsed="false">
      <c r="A441" s="6"/>
      <c r="B441" s="6"/>
      <c r="C441" s="6"/>
      <c r="D441" s="6"/>
      <c r="E441" s="6"/>
      <c r="F441" s="7"/>
      <c r="G441" s="6"/>
      <c r="H441" s="6"/>
      <c r="I441" s="7"/>
      <c r="J441" s="6"/>
      <c r="K441" s="7"/>
      <c r="L441" s="6"/>
      <c r="M441" s="6"/>
      <c r="N441" s="7"/>
      <c r="O441" s="6"/>
      <c r="P441" s="6"/>
      <c r="Q441" s="7"/>
      <c r="R441" s="6" t="str">
        <f aca="false">IF(AND($A441="",$B441=""),"",IF(Q441="Complete","Onboarded",IF(OR(M441="Member",M441="Ambassador"),"Sponsored",IF(K441&lt;&gt;"","Follow-Up",IF(I441&lt;&gt;"","Presented",IF(F441&lt;&gt;"","Contacted","New Lead"))))))</f>
        <v/>
      </c>
      <c r="S441" s="6"/>
      <c r="T441" s="6" t="str">
        <f aca="true">IF(MAX(F441,I441,K441)=0,"",TODAY()-MAX(F441,I441,K441))</f>
        <v/>
      </c>
      <c r="U441" s="6"/>
      <c r="V441" s="6"/>
      <c r="W441" s="6" t="str">
        <f aca="false">IF(AND($A441="",$B441=""),"",IF(M441="Ambassador","1 - Ambassador",IF(M441="Member","2 - Member",IF(J441="Completed","3 - Presented",IF(H441&lt;&gt;"","4 - Shared",IF(F441&lt;&gt;"","5 - Contacted","6 - No Activity"))))))</f>
        <v/>
      </c>
      <c r="X441" s="6" t="n">
        <f aca="false">IF(AND($A441="",$B441=""),9999999+(ROW()-4),VALUE(LEFT($W441,1))*10000+(ROW()-4))</f>
        <v>10000436</v>
      </c>
    </row>
    <row r="442" customFormat="false" ht="15" hidden="false" customHeight="true" outlineLevel="0" collapsed="false">
      <c r="A442" s="6"/>
      <c r="B442" s="6"/>
      <c r="C442" s="6"/>
      <c r="D442" s="6"/>
      <c r="E442" s="6"/>
      <c r="F442" s="7"/>
      <c r="G442" s="6"/>
      <c r="H442" s="6"/>
      <c r="I442" s="7"/>
      <c r="J442" s="6"/>
      <c r="K442" s="7"/>
      <c r="L442" s="6"/>
      <c r="M442" s="6"/>
      <c r="N442" s="7"/>
      <c r="O442" s="6"/>
      <c r="P442" s="6"/>
      <c r="Q442" s="7"/>
      <c r="R442" s="6" t="str">
        <f aca="false">IF(AND($A442="",$B442=""),"",IF(Q442="Complete","Onboarded",IF(OR(M442="Member",M442="Ambassador"),"Sponsored",IF(K442&lt;&gt;"","Follow-Up",IF(I442&lt;&gt;"","Presented",IF(F442&lt;&gt;"","Contacted","New Lead"))))))</f>
        <v/>
      </c>
      <c r="S442" s="6"/>
      <c r="T442" s="6" t="str">
        <f aca="true">IF(MAX(F442,I442,K442)=0,"",TODAY()-MAX(F442,I442,K442))</f>
        <v/>
      </c>
      <c r="U442" s="6"/>
      <c r="V442" s="6"/>
      <c r="W442" s="6" t="str">
        <f aca="false">IF(AND($A442="",$B442=""),"",IF(M442="Ambassador","1 - Ambassador",IF(M442="Member","2 - Member",IF(J442="Completed","3 - Presented",IF(H442&lt;&gt;"","4 - Shared",IF(F442&lt;&gt;"","5 - Contacted","6 - No Activity"))))))</f>
        <v/>
      </c>
      <c r="X442" s="6" t="n">
        <f aca="false">IF(AND($A442="",$B442=""),9999999+(ROW()-4),VALUE(LEFT($W442,1))*10000+(ROW()-4))</f>
        <v>10000437</v>
      </c>
    </row>
    <row r="443" customFormat="false" ht="15" hidden="false" customHeight="true" outlineLevel="0" collapsed="false">
      <c r="A443" s="6"/>
      <c r="B443" s="6"/>
      <c r="C443" s="6"/>
      <c r="D443" s="6"/>
      <c r="E443" s="6"/>
      <c r="F443" s="7"/>
      <c r="G443" s="6"/>
      <c r="H443" s="6"/>
      <c r="I443" s="7"/>
      <c r="J443" s="6"/>
      <c r="K443" s="7"/>
      <c r="L443" s="6"/>
      <c r="M443" s="6"/>
      <c r="N443" s="7"/>
      <c r="O443" s="6"/>
      <c r="P443" s="6"/>
      <c r="Q443" s="7"/>
      <c r="R443" s="6" t="str">
        <f aca="false">IF(AND($A443="",$B443=""),"",IF(Q443="Complete","Onboarded",IF(OR(M443="Member",M443="Ambassador"),"Sponsored",IF(K443&lt;&gt;"","Follow-Up",IF(I443&lt;&gt;"","Presented",IF(F443&lt;&gt;"","Contacted","New Lead"))))))</f>
        <v/>
      </c>
      <c r="S443" s="6"/>
      <c r="T443" s="6" t="str">
        <f aca="true">IF(MAX(F443,I443,K443)=0,"",TODAY()-MAX(F443,I443,K443))</f>
        <v/>
      </c>
      <c r="U443" s="6"/>
      <c r="V443" s="6"/>
      <c r="W443" s="6" t="str">
        <f aca="false">IF(AND($A443="",$B443=""),"",IF(M443="Ambassador","1 - Ambassador",IF(M443="Member","2 - Member",IF(J443="Completed","3 - Presented",IF(H443&lt;&gt;"","4 - Shared",IF(F443&lt;&gt;"","5 - Contacted","6 - No Activity"))))))</f>
        <v/>
      </c>
      <c r="X443" s="6" t="n">
        <f aca="false">IF(AND($A443="",$B443=""),9999999+(ROW()-4),VALUE(LEFT($W443,1))*10000+(ROW()-4))</f>
        <v>10000438</v>
      </c>
    </row>
    <row r="444" customFormat="false" ht="15" hidden="false" customHeight="true" outlineLevel="0" collapsed="false">
      <c r="A444" s="6"/>
      <c r="B444" s="6"/>
      <c r="C444" s="6"/>
      <c r="D444" s="6"/>
      <c r="E444" s="6"/>
      <c r="F444" s="7"/>
      <c r="G444" s="6"/>
      <c r="H444" s="6"/>
      <c r="I444" s="7"/>
      <c r="J444" s="6"/>
      <c r="K444" s="7"/>
      <c r="L444" s="6"/>
      <c r="M444" s="6"/>
      <c r="N444" s="7"/>
      <c r="O444" s="6"/>
      <c r="P444" s="6"/>
      <c r="Q444" s="7"/>
      <c r="R444" s="6" t="str">
        <f aca="false">IF(AND($A444="",$B444=""),"",IF(Q444="Complete","Onboarded",IF(OR(M444="Member",M444="Ambassador"),"Sponsored",IF(K444&lt;&gt;"","Follow-Up",IF(I444&lt;&gt;"","Presented",IF(F444&lt;&gt;"","Contacted","New Lead"))))))</f>
        <v/>
      </c>
      <c r="S444" s="6"/>
      <c r="T444" s="6" t="str">
        <f aca="true">IF(MAX(F444,I444,K444)=0,"",TODAY()-MAX(F444,I444,K444))</f>
        <v/>
      </c>
      <c r="U444" s="6"/>
      <c r="V444" s="6"/>
      <c r="W444" s="6" t="str">
        <f aca="false">IF(AND($A444="",$B444=""),"",IF(M444="Ambassador","1 - Ambassador",IF(M444="Member","2 - Member",IF(J444="Completed","3 - Presented",IF(H444&lt;&gt;"","4 - Shared",IF(F444&lt;&gt;"","5 - Contacted","6 - No Activity"))))))</f>
        <v/>
      </c>
      <c r="X444" s="6" t="n">
        <f aca="false">IF(AND($A444="",$B444=""),9999999+(ROW()-4),VALUE(LEFT($W444,1))*10000+(ROW()-4))</f>
        <v>10000439</v>
      </c>
    </row>
    <row r="445" customFormat="false" ht="15" hidden="false" customHeight="true" outlineLevel="0" collapsed="false">
      <c r="A445" s="6"/>
      <c r="B445" s="6"/>
      <c r="C445" s="6"/>
      <c r="D445" s="6"/>
      <c r="E445" s="6"/>
      <c r="F445" s="7"/>
      <c r="G445" s="6"/>
      <c r="H445" s="6"/>
      <c r="I445" s="7"/>
      <c r="J445" s="6"/>
      <c r="K445" s="7"/>
      <c r="L445" s="6"/>
      <c r="M445" s="6"/>
      <c r="N445" s="7"/>
      <c r="O445" s="6"/>
      <c r="P445" s="6"/>
      <c r="Q445" s="7"/>
      <c r="R445" s="6" t="str">
        <f aca="false">IF(AND($A445="",$B445=""),"",IF(Q445="Complete","Onboarded",IF(OR(M445="Member",M445="Ambassador"),"Sponsored",IF(K445&lt;&gt;"","Follow-Up",IF(I445&lt;&gt;"","Presented",IF(F445&lt;&gt;"","Contacted","New Lead"))))))</f>
        <v/>
      </c>
      <c r="S445" s="6"/>
      <c r="T445" s="6" t="str">
        <f aca="true">IF(MAX(F445,I445,K445)=0,"",TODAY()-MAX(F445,I445,K445))</f>
        <v/>
      </c>
      <c r="U445" s="6"/>
      <c r="V445" s="6"/>
      <c r="W445" s="6" t="str">
        <f aca="false">IF(AND($A445="",$B445=""),"",IF(M445="Ambassador","1 - Ambassador",IF(M445="Member","2 - Member",IF(J445="Completed","3 - Presented",IF(H445&lt;&gt;"","4 - Shared",IF(F445&lt;&gt;"","5 - Contacted","6 - No Activity"))))))</f>
        <v/>
      </c>
      <c r="X445" s="6" t="n">
        <f aca="false">IF(AND($A445="",$B445=""),9999999+(ROW()-4),VALUE(LEFT($W445,1))*10000+(ROW()-4))</f>
        <v>10000440</v>
      </c>
    </row>
    <row r="446" customFormat="false" ht="15" hidden="false" customHeight="true" outlineLevel="0" collapsed="false">
      <c r="A446" s="6"/>
      <c r="B446" s="6"/>
      <c r="C446" s="6"/>
      <c r="D446" s="6"/>
      <c r="E446" s="6"/>
      <c r="F446" s="7"/>
      <c r="G446" s="6"/>
      <c r="H446" s="6"/>
      <c r="I446" s="7"/>
      <c r="J446" s="6"/>
      <c r="K446" s="7"/>
      <c r="L446" s="6"/>
      <c r="M446" s="6"/>
      <c r="N446" s="7"/>
      <c r="O446" s="6"/>
      <c r="P446" s="6"/>
      <c r="Q446" s="7"/>
      <c r="R446" s="6" t="str">
        <f aca="false">IF(AND($A446="",$B446=""),"",IF(Q446="Complete","Onboarded",IF(OR(M446="Member",M446="Ambassador"),"Sponsored",IF(K446&lt;&gt;"","Follow-Up",IF(I446&lt;&gt;"","Presented",IF(F446&lt;&gt;"","Contacted","New Lead"))))))</f>
        <v/>
      </c>
      <c r="S446" s="6"/>
      <c r="T446" s="6" t="str">
        <f aca="true">IF(MAX(F446,I446,K446)=0,"",TODAY()-MAX(F446,I446,K446))</f>
        <v/>
      </c>
      <c r="U446" s="6"/>
      <c r="V446" s="6"/>
      <c r="W446" s="6" t="str">
        <f aca="false">IF(AND($A446="",$B446=""),"",IF(M446="Ambassador","1 - Ambassador",IF(M446="Member","2 - Member",IF(J446="Completed","3 - Presented",IF(H446&lt;&gt;"","4 - Shared",IF(F446&lt;&gt;"","5 - Contacted","6 - No Activity"))))))</f>
        <v/>
      </c>
      <c r="X446" s="6" t="n">
        <f aca="false">IF(AND($A446="",$B446=""),9999999+(ROW()-4),VALUE(LEFT($W446,1))*10000+(ROW()-4))</f>
        <v>10000441</v>
      </c>
    </row>
    <row r="447" customFormat="false" ht="15" hidden="false" customHeight="true" outlineLevel="0" collapsed="false">
      <c r="A447" s="6"/>
      <c r="B447" s="6"/>
      <c r="C447" s="6"/>
      <c r="D447" s="6"/>
      <c r="E447" s="6"/>
      <c r="F447" s="7"/>
      <c r="G447" s="6"/>
      <c r="H447" s="6"/>
      <c r="I447" s="7"/>
      <c r="J447" s="6"/>
      <c r="K447" s="7"/>
      <c r="L447" s="6"/>
      <c r="M447" s="6"/>
      <c r="N447" s="7"/>
      <c r="O447" s="6"/>
      <c r="P447" s="6"/>
      <c r="Q447" s="7"/>
      <c r="R447" s="6" t="str">
        <f aca="false">IF(AND($A447="",$B447=""),"",IF(Q447="Complete","Onboarded",IF(OR(M447="Member",M447="Ambassador"),"Sponsored",IF(K447&lt;&gt;"","Follow-Up",IF(I447&lt;&gt;"","Presented",IF(F447&lt;&gt;"","Contacted","New Lead"))))))</f>
        <v/>
      </c>
      <c r="S447" s="6"/>
      <c r="T447" s="6" t="str">
        <f aca="true">IF(MAX(F447,I447,K447)=0,"",TODAY()-MAX(F447,I447,K447))</f>
        <v/>
      </c>
      <c r="U447" s="6"/>
      <c r="V447" s="6"/>
      <c r="W447" s="6" t="str">
        <f aca="false">IF(AND($A447="",$B447=""),"",IF(M447="Ambassador","1 - Ambassador",IF(M447="Member","2 - Member",IF(J447="Completed","3 - Presented",IF(H447&lt;&gt;"","4 - Shared",IF(F447&lt;&gt;"","5 - Contacted","6 - No Activity"))))))</f>
        <v/>
      </c>
      <c r="X447" s="6" t="n">
        <f aca="false">IF(AND($A447="",$B447=""),9999999+(ROW()-4),VALUE(LEFT($W447,1))*10000+(ROW()-4))</f>
        <v>10000442</v>
      </c>
    </row>
    <row r="448" customFormat="false" ht="15" hidden="false" customHeight="true" outlineLevel="0" collapsed="false">
      <c r="A448" s="6"/>
      <c r="B448" s="6"/>
      <c r="C448" s="6"/>
      <c r="D448" s="6"/>
      <c r="E448" s="6"/>
      <c r="F448" s="7"/>
      <c r="G448" s="6"/>
      <c r="H448" s="6"/>
      <c r="I448" s="7"/>
      <c r="J448" s="6"/>
      <c r="K448" s="7"/>
      <c r="L448" s="6"/>
      <c r="M448" s="6"/>
      <c r="N448" s="7"/>
      <c r="O448" s="6"/>
      <c r="P448" s="6"/>
      <c r="Q448" s="7"/>
      <c r="R448" s="6" t="str">
        <f aca="false">IF(AND($A448="",$B448=""),"",IF(Q448="Complete","Onboarded",IF(OR(M448="Member",M448="Ambassador"),"Sponsored",IF(K448&lt;&gt;"","Follow-Up",IF(I448&lt;&gt;"","Presented",IF(F448&lt;&gt;"","Contacted","New Lead"))))))</f>
        <v/>
      </c>
      <c r="S448" s="6"/>
      <c r="T448" s="6" t="str">
        <f aca="true">IF(MAX(F448,I448,K448)=0,"",TODAY()-MAX(F448,I448,K448))</f>
        <v/>
      </c>
      <c r="U448" s="6"/>
      <c r="V448" s="6"/>
      <c r="W448" s="6" t="str">
        <f aca="false">IF(AND($A448="",$B448=""),"",IF(M448="Ambassador","1 - Ambassador",IF(M448="Member","2 - Member",IF(J448="Completed","3 - Presented",IF(H448&lt;&gt;"","4 - Shared",IF(F448&lt;&gt;"","5 - Contacted","6 - No Activity"))))))</f>
        <v/>
      </c>
      <c r="X448" s="6" t="n">
        <f aca="false">IF(AND($A448="",$B448=""),9999999+(ROW()-4),VALUE(LEFT($W448,1))*10000+(ROW()-4))</f>
        <v>10000443</v>
      </c>
    </row>
    <row r="449" customFormat="false" ht="15" hidden="false" customHeight="true" outlineLevel="0" collapsed="false">
      <c r="A449" s="6"/>
      <c r="B449" s="6"/>
      <c r="C449" s="6"/>
      <c r="D449" s="6"/>
      <c r="E449" s="6"/>
      <c r="F449" s="7"/>
      <c r="G449" s="6"/>
      <c r="H449" s="6"/>
      <c r="I449" s="7"/>
      <c r="J449" s="6"/>
      <c r="K449" s="7"/>
      <c r="L449" s="6"/>
      <c r="M449" s="6"/>
      <c r="N449" s="7"/>
      <c r="O449" s="6"/>
      <c r="P449" s="6"/>
      <c r="Q449" s="7"/>
      <c r="R449" s="6" t="str">
        <f aca="false">IF(AND($A449="",$B449=""),"",IF(Q449="Complete","Onboarded",IF(OR(M449="Member",M449="Ambassador"),"Sponsored",IF(K449&lt;&gt;"","Follow-Up",IF(I449&lt;&gt;"","Presented",IF(F449&lt;&gt;"","Contacted","New Lead"))))))</f>
        <v/>
      </c>
      <c r="S449" s="6"/>
      <c r="T449" s="6" t="str">
        <f aca="true">IF(MAX(F449,I449,K449)=0,"",TODAY()-MAX(F449,I449,K449))</f>
        <v/>
      </c>
      <c r="U449" s="6"/>
      <c r="V449" s="6"/>
      <c r="W449" s="6" t="str">
        <f aca="false">IF(AND($A449="",$B449=""),"",IF(M449="Ambassador","1 - Ambassador",IF(M449="Member","2 - Member",IF(J449="Completed","3 - Presented",IF(H449&lt;&gt;"","4 - Shared",IF(F449&lt;&gt;"","5 - Contacted","6 - No Activity"))))))</f>
        <v/>
      </c>
      <c r="X449" s="6" t="n">
        <f aca="false">IF(AND($A449="",$B449=""),9999999+(ROW()-4),VALUE(LEFT($W449,1))*10000+(ROW()-4))</f>
        <v>10000444</v>
      </c>
    </row>
    <row r="450" customFormat="false" ht="15" hidden="false" customHeight="true" outlineLevel="0" collapsed="false">
      <c r="A450" s="6"/>
      <c r="B450" s="6"/>
      <c r="C450" s="6"/>
      <c r="D450" s="6"/>
      <c r="E450" s="6"/>
      <c r="F450" s="7"/>
      <c r="G450" s="6"/>
      <c r="H450" s="6"/>
      <c r="I450" s="7"/>
      <c r="J450" s="6"/>
      <c r="K450" s="7"/>
      <c r="L450" s="6"/>
      <c r="M450" s="6"/>
      <c r="N450" s="7"/>
      <c r="O450" s="6"/>
      <c r="P450" s="6"/>
      <c r="Q450" s="7"/>
      <c r="R450" s="6" t="str">
        <f aca="false">IF(AND($A450="",$B450=""),"",IF(Q450="Complete","Onboarded",IF(OR(M450="Member",M450="Ambassador"),"Sponsored",IF(K450&lt;&gt;"","Follow-Up",IF(I450&lt;&gt;"","Presented",IF(F450&lt;&gt;"","Contacted","New Lead"))))))</f>
        <v/>
      </c>
      <c r="S450" s="6"/>
      <c r="T450" s="6" t="str">
        <f aca="true">IF(MAX(F450,I450,K450)=0,"",TODAY()-MAX(F450,I450,K450))</f>
        <v/>
      </c>
      <c r="U450" s="6"/>
      <c r="V450" s="6"/>
      <c r="W450" s="6" t="str">
        <f aca="false">IF(AND($A450="",$B450=""),"",IF(M450="Ambassador","1 - Ambassador",IF(M450="Member","2 - Member",IF(J450="Completed","3 - Presented",IF(H450&lt;&gt;"","4 - Shared",IF(F450&lt;&gt;"","5 - Contacted","6 - No Activity"))))))</f>
        <v/>
      </c>
      <c r="X450" s="6" t="n">
        <f aca="false">IF(AND($A450="",$B450=""),9999999+(ROW()-4),VALUE(LEFT($W450,1))*10000+(ROW()-4))</f>
        <v>10000445</v>
      </c>
    </row>
    <row r="451" customFormat="false" ht="15" hidden="false" customHeight="true" outlineLevel="0" collapsed="false">
      <c r="A451" s="6"/>
      <c r="B451" s="6"/>
      <c r="C451" s="6"/>
      <c r="D451" s="6"/>
      <c r="E451" s="6"/>
      <c r="F451" s="7"/>
      <c r="G451" s="6"/>
      <c r="H451" s="6"/>
      <c r="I451" s="7"/>
      <c r="J451" s="6"/>
      <c r="K451" s="7"/>
      <c r="L451" s="6"/>
      <c r="M451" s="6"/>
      <c r="N451" s="7"/>
      <c r="O451" s="6"/>
      <c r="P451" s="6"/>
      <c r="Q451" s="7"/>
      <c r="R451" s="6" t="str">
        <f aca="false">IF(AND($A451="",$B451=""),"",IF(Q451="Complete","Onboarded",IF(OR(M451="Member",M451="Ambassador"),"Sponsored",IF(K451&lt;&gt;"","Follow-Up",IF(I451&lt;&gt;"","Presented",IF(F451&lt;&gt;"","Contacted","New Lead"))))))</f>
        <v/>
      </c>
      <c r="S451" s="6"/>
      <c r="T451" s="6" t="str">
        <f aca="true">IF(MAX(F451,I451,K451)=0,"",TODAY()-MAX(F451,I451,K451))</f>
        <v/>
      </c>
      <c r="U451" s="6"/>
      <c r="V451" s="6"/>
      <c r="W451" s="6" t="str">
        <f aca="false">IF(AND($A451="",$B451=""),"",IF(M451="Ambassador","1 - Ambassador",IF(M451="Member","2 - Member",IF(J451="Completed","3 - Presented",IF(H451&lt;&gt;"","4 - Shared",IF(F451&lt;&gt;"","5 - Contacted","6 - No Activity"))))))</f>
        <v/>
      </c>
      <c r="X451" s="6" t="n">
        <f aca="false">IF(AND($A451="",$B451=""),9999999+(ROW()-4),VALUE(LEFT($W451,1))*10000+(ROW()-4))</f>
        <v>10000446</v>
      </c>
    </row>
    <row r="452" customFormat="false" ht="15" hidden="false" customHeight="true" outlineLevel="0" collapsed="false">
      <c r="A452" s="6"/>
      <c r="B452" s="6"/>
      <c r="C452" s="6"/>
      <c r="D452" s="6"/>
      <c r="E452" s="6"/>
      <c r="F452" s="7"/>
      <c r="G452" s="6"/>
      <c r="H452" s="6"/>
      <c r="I452" s="7"/>
      <c r="J452" s="6"/>
      <c r="K452" s="7"/>
      <c r="L452" s="6"/>
      <c r="M452" s="6"/>
      <c r="N452" s="7"/>
      <c r="O452" s="6"/>
      <c r="P452" s="6"/>
      <c r="Q452" s="7"/>
      <c r="R452" s="6" t="str">
        <f aca="false">IF(AND($A452="",$B452=""),"",IF(Q452="Complete","Onboarded",IF(OR(M452="Member",M452="Ambassador"),"Sponsored",IF(K452&lt;&gt;"","Follow-Up",IF(I452&lt;&gt;"","Presented",IF(F452&lt;&gt;"","Contacted","New Lead"))))))</f>
        <v/>
      </c>
      <c r="S452" s="6"/>
      <c r="T452" s="6" t="str">
        <f aca="true">IF(MAX(F452,I452,K452)=0,"",TODAY()-MAX(F452,I452,K452))</f>
        <v/>
      </c>
      <c r="U452" s="6"/>
      <c r="V452" s="6"/>
      <c r="W452" s="6" t="str">
        <f aca="false">IF(AND($A452="",$B452=""),"",IF(M452="Ambassador","1 - Ambassador",IF(M452="Member","2 - Member",IF(J452="Completed","3 - Presented",IF(H452&lt;&gt;"","4 - Shared",IF(F452&lt;&gt;"","5 - Contacted","6 - No Activity"))))))</f>
        <v/>
      </c>
      <c r="X452" s="6" t="n">
        <f aca="false">IF(AND($A452="",$B452=""),9999999+(ROW()-4),VALUE(LEFT($W452,1))*10000+(ROW()-4))</f>
        <v>10000447</v>
      </c>
    </row>
    <row r="453" customFormat="false" ht="15" hidden="false" customHeight="true" outlineLevel="0" collapsed="false">
      <c r="A453" s="6"/>
      <c r="B453" s="6"/>
      <c r="C453" s="6"/>
      <c r="D453" s="6"/>
      <c r="E453" s="6"/>
      <c r="F453" s="7"/>
      <c r="G453" s="6"/>
      <c r="H453" s="6"/>
      <c r="I453" s="7"/>
      <c r="J453" s="6"/>
      <c r="K453" s="7"/>
      <c r="L453" s="6"/>
      <c r="M453" s="6"/>
      <c r="N453" s="7"/>
      <c r="O453" s="6"/>
      <c r="P453" s="6"/>
      <c r="Q453" s="7"/>
      <c r="R453" s="6" t="str">
        <f aca="false">IF(AND($A453="",$B453=""),"",IF(Q453="Complete","Onboarded",IF(OR(M453="Member",M453="Ambassador"),"Sponsored",IF(K453&lt;&gt;"","Follow-Up",IF(I453&lt;&gt;"","Presented",IF(F453&lt;&gt;"","Contacted","New Lead"))))))</f>
        <v/>
      </c>
      <c r="S453" s="6"/>
      <c r="T453" s="6" t="str">
        <f aca="true">IF(MAX(F453,I453,K453)=0,"",TODAY()-MAX(F453,I453,K453))</f>
        <v/>
      </c>
      <c r="U453" s="6"/>
      <c r="V453" s="6"/>
      <c r="W453" s="6" t="str">
        <f aca="false">IF(AND($A453="",$B453=""),"",IF(M453="Ambassador","1 - Ambassador",IF(M453="Member","2 - Member",IF(J453="Completed","3 - Presented",IF(H453&lt;&gt;"","4 - Shared",IF(F453&lt;&gt;"","5 - Contacted","6 - No Activity"))))))</f>
        <v/>
      </c>
      <c r="X453" s="6" t="n">
        <f aca="false">IF(AND($A453="",$B453=""),9999999+(ROW()-4),VALUE(LEFT($W453,1))*10000+(ROW()-4))</f>
        <v>10000448</v>
      </c>
    </row>
    <row r="454" customFormat="false" ht="15" hidden="false" customHeight="true" outlineLevel="0" collapsed="false">
      <c r="A454" s="6"/>
      <c r="B454" s="6"/>
      <c r="C454" s="6"/>
      <c r="D454" s="6"/>
      <c r="E454" s="6"/>
      <c r="F454" s="7"/>
      <c r="G454" s="6"/>
      <c r="H454" s="6"/>
      <c r="I454" s="7"/>
      <c r="J454" s="6"/>
      <c r="K454" s="7"/>
      <c r="L454" s="6"/>
      <c r="M454" s="6"/>
      <c r="N454" s="7"/>
      <c r="O454" s="6"/>
      <c r="P454" s="6"/>
      <c r="Q454" s="7"/>
      <c r="R454" s="6" t="str">
        <f aca="false">IF(AND($A454="",$B454=""),"",IF(Q454="Complete","Onboarded",IF(OR(M454="Member",M454="Ambassador"),"Sponsored",IF(K454&lt;&gt;"","Follow-Up",IF(I454&lt;&gt;"","Presented",IF(F454&lt;&gt;"","Contacted","New Lead"))))))</f>
        <v/>
      </c>
      <c r="S454" s="6"/>
      <c r="T454" s="6" t="str">
        <f aca="true">IF(MAX(F454,I454,K454)=0,"",TODAY()-MAX(F454,I454,K454))</f>
        <v/>
      </c>
      <c r="U454" s="6"/>
      <c r="V454" s="6"/>
      <c r="W454" s="6" t="str">
        <f aca="false">IF(AND($A454="",$B454=""),"",IF(M454="Ambassador","1 - Ambassador",IF(M454="Member","2 - Member",IF(J454="Completed","3 - Presented",IF(H454&lt;&gt;"","4 - Shared",IF(F454&lt;&gt;"","5 - Contacted","6 - No Activity"))))))</f>
        <v/>
      </c>
      <c r="X454" s="6" t="n">
        <f aca="false">IF(AND($A454="",$B454=""),9999999+(ROW()-4),VALUE(LEFT($W454,1))*10000+(ROW()-4))</f>
        <v>10000449</v>
      </c>
    </row>
    <row r="455" customFormat="false" ht="15" hidden="false" customHeight="true" outlineLevel="0" collapsed="false">
      <c r="A455" s="6"/>
      <c r="B455" s="6"/>
      <c r="C455" s="6"/>
      <c r="D455" s="6"/>
      <c r="E455" s="6"/>
      <c r="F455" s="7"/>
      <c r="G455" s="6"/>
      <c r="H455" s="6"/>
      <c r="I455" s="7"/>
      <c r="J455" s="6"/>
      <c r="K455" s="7"/>
      <c r="L455" s="6"/>
      <c r="M455" s="6"/>
      <c r="N455" s="7"/>
      <c r="O455" s="6"/>
      <c r="P455" s="6"/>
      <c r="Q455" s="7"/>
      <c r="R455" s="6" t="str">
        <f aca="false">IF(AND($A455="",$B455=""),"",IF(Q455="Complete","Onboarded",IF(OR(M455="Member",M455="Ambassador"),"Sponsored",IF(K455&lt;&gt;"","Follow-Up",IF(I455&lt;&gt;"","Presented",IF(F455&lt;&gt;"","Contacted","New Lead"))))))</f>
        <v/>
      </c>
      <c r="S455" s="6"/>
      <c r="T455" s="6" t="str">
        <f aca="true">IF(MAX(F455,I455,K455)=0,"",TODAY()-MAX(F455,I455,K455))</f>
        <v/>
      </c>
      <c r="U455" s="6"/>
      <c r="V455" s="6"/>
      <c r="W455" s="6" t="str">
        <f aca="false">IF(AND($A455="",$B455=""),"",IF(M455="Ambassador","1 - Ambassador",IF(M455="Member","2 - Member",IF(J455="Completed","3 - Presented",IF(H455&lt;&gt;"","4 - Shared",IF(F455&lt;&gt;"","5 - Contacted","6 - No Activity"))))))</f>
        <v/>
      </c>
      <c r="X455" s="6" t="n">
        <f aca="false">IF(AND($A455="",$B455=""),9999999+(ROW()-4),VALUE(LEFT($W455,1))*10000+(ROW()-4))</f>
        <v>10000450</v>
      </c>
    </row>
    <row r="456" customFormat="false" ht="15" hidden="false" customHeight="true" outlineLevel="0" collapsed="false">
      <c r="A456" s="6"/>
      <c r="B456" s="6"/>
      <c r="C456" s="6"/>
      <c r="D456" s="6"/>
      <c r="E456" s="6"/>
      <c r="F456" s="7"/>
      <c r="G456" s="6"/>
      <c r="H456" s="6"/>
      <c r="I456" s="7"/>
      <c r="J456" s="6"/>
      <c r="K456" s="7"/>
      <c r="L456" s="6"/>
      <c r="M456" s="6"/>
      <c r="N456" s="7"/>
      <c r="O456" s="6"/>
      <c r="P456" s="6"/>
      <c r="Q456" s="7"/>
      <c r="R456" s="6" t="str">
        <f aca="false">IF(AND($A456="",$B456=""),"",IF(Q456="Complete","Onboarded",IF(OR(M456="Member",M456="Ambassador"),"Sponsored",IF(K456&lt;&gt;"","Follow-Up",IF(I456&lt;&gt;"","Presented",IF(F456&lt;&gt;"","Contacted","New Lead"))))))</f>
        <v/>
      </c>
      <c r="S456" s="6"/>
      <c r="T456" s="6" t="str">
        <f aca="true">IF(MAX(F456,I456,K456)=0,"",TODAY()-MAX(F456,I456,K456))</f>
        <v/>
      </c>
      <c r="U456" s="6"/>
      <c r="V456" s="6"/>
      <c r="W456" s="6" t="str">
        <f aca="false">IF(AND($A456="",$B456=""),"",IF(M456="Ambassador","1 - Ambassador",IF(M456="Member","2 - Member",IF(J456="Completed","3 - Presented",IF(H456&lt;&gt;"","4 - Shared",IF(F456&lt;&gt;"","5 - Contacted","6 - No Activity"))))))</f>
        <v/>
      </c>
      <c r="X456" s="6" t="n">
        <f aca="false">IF(AND($A456="",$B456=""),9999999+(ROW()-4),VALUE(LEFT($W456,1))*10000+(ROW()-4))</f>
        <v>10000451</v>
      </c>
    </row>
    <row r="457" customFormat="false" ht="15" hidden="false" customHeight="true" outlineLevel="0" collapsed="false">
      <c r="A457" s="6"/>
      <c r="B457" s="6"/>
      <c r="C457" s="6"/>
      <c r="D457" s="6"/>
      <c r="E457" s="6"/>
      <c r="F457" s="7"/>
      <c r="G457" s="6"/>
      <c r="H457" s="6"/>
      <c r="I457" s="7"/>
      <c r="J457" s="6"/>
      <c r="K457" s="7"/>
      <c r="L457" s="6"/>
      <c r="M457" s="6"/>
      <c r="N457" s="7"/>
      <c r="O457" s="6"/>
      <c r="P457" s="6"/>
      <c r="Q457" s="7"/>
      <c r="R457" s="6" t="str">
        <f aca="false">IF(AND($A457="",$B457=""),"",IF(Q457="Complete","Onboarded",IF(OR(M457="Member",M457="Ambassador"),"Sponsored",IF(K457&lt;&gt;"","Follow-Up",IF(I457&lt;&gt;"","Presented",IF(F457&lt;&gt;"","Contacted","New Lead"))))))</f>
        <v/>
      </c>
      <c r="S457" s="6"/>
      <c r="T457" s="6" t="str">
        <f aca="true">IF(MAX(F457,I457,K457)=0,"",TODAY()-MAX(F457,I457,K457))</f>
        <v/>
      </c>
      <c r="U457" s="6"/>
      <c r="V457" s="6"/>
      <c r="W457" s="6" t="str">
        <f aca="false">IF(AND($A457="",$B457=""),"",IF(M457="Ambassador","1 - Ambassador",IF(M457="Member","2 - Member",IF(J457="Completed","3 - Presented",IF(H457&lt;&gt;"","4 - Shared",IF(F457&lt;&gt;"","5 - Contacted","6 - No Activity"))))))</f>
        <v/>
      </c>
      <c r="X457" s="6" t="n">
        <f aca="false">IF(AND($A457="",$B457=""),9999999+(ROW()-4),VALUE(LEFT($W457,1))*10000+(ROW()-4))</f>
        <v>10000452</v>
      </c>
    </row>
    <row r="458" customFormat="false" ht="15" hidden="false" customHeight="true" outlineLevel="0" collapsed="false">
      <c r="A458" s="6"/>
      <c r="B458" s="6"/>
      <c r="C458" s="6"/>
      <c r="D458" s="6"/>
      <c r="E458" s="6"/>
      <c r="F458" s="7"/>
      <c r="G458" s="6"/>
      <c r="H458" s="6"/>
      <c r="I458" s="7"/>
      <c r="J458" s="6"/>
      <c r="K458" s="7"/>
      <c r="L458" s="6"/>
      <c r="M458" s="6"/>
      <c r="N458" s="7"/>
      <c r="O458" s="6"/>
      <c r="P458" s="6"/>
      <c r="Q458" s="7"/>
      <c r="R458" s="6" t="str">
        <f aca="false">IF(AND($A458="",$B458=""),"",IF(Q458="Complete","Onboarded",IF(OR(M458="Member",M458="Ambassador"),"Sponsored",IF(K458&lt;&gt;"","Follow-Up",IF(I458&lt;&gt;"","Presented",IF(F458&lt;&gt;"","Contacted","New Lead"))))))</f>
        <v/>
      </c>
      <c r="S458" s="6"/>
      <c r="T458" s="6" t="str">
        <f aca="true">IF(MAX(F458,I458,K458)=0,"",TODAY()-MAX(F458,I458,K458))</f>
        <v/>
      </c>
      <c r="U458" s="6"/>
      <c r="V458" s="6"/>
      <c r="W458" s="6" t="str">
        <f aca="false">IF(AND($A458="",$B458=""),"",IF(M458="Ambassador","1 - Ambassador",IF(M458="Member","2 - Member",IF(J458="Completed","3 - Presented",IF(H458&lt;&gt;"","4 - Shared",IF(F458&lt;&gt;"","5 - Contacted","6 - No Activity"))))))</f>
        <v/>
      </c>
      <c r="X458" s="6" t="n">
        <f aca="false">IF(AND($A458="",$B458=""),9999999+(ROW()-4),VALUE(LEFT($W458,1))*10000+(ROW()-4))</f>
        <v>10000453</v>
      </c>
    </row>
    <row r="459" customFormat="false" ht="15" hidden="false" customHeight="true" outlineLevel="0" collapsed="false">
      <c r="A459" s="6"/>
      <c r="B459" s="6"/>
      <c r="C459" s="6"/>
      <c r="D459" s="6"/>
      <c r="E459" s="6"/>
      <c r="F459" s="7"/>
      <c r="G459" s="6"/>
      <c r="H459" s="6"/>
      <c r="I459" s="7"/>
      <c r="J459" s="6"/>
      <c r="K459" s="7"/>
      <c r="L459" s="6"/>
      <c r="M459" s="6"/>
      <c r="N459" s="7"/>
      <c r="O459" s="6"/>
      <c r="P459" s="6"/>
      <c r="Q459" s="7"/>
      <c r="R459" s="6" t="str">
        <f aca="false">IF(AND($A459="",$B459=""),"",IF(Q459="Complete","Onboarded",IF(OR(M459="Member",M459="Ambassador"),"Sponsored",IF(K459&lt;&gt;"","Follow-Up",IF(I459&lt;&gt;"","Presented",IF(F459&lt;&gt;"","Contacted","New Lead"))))))</f>
        <v/>
      </c>
      <c r="S459" s="6"/>
      <c r="T459" s="6" t="str">
        <f aca="true">IF(MAX(F459,I459,K459)=0,"",TODAY()-MAX(F459,I459,K459))</f>
        <v/>
      </c>
      <c r="U459" s="6"/>
      <c r="V459" s="6"/>
      <c r="W459" s="6" t="str">
        <f aca="false">IF(AND($A459="",$B459=""),"",IF(M459="Ambassador","1 - Ambassador",IF(M459="Member","2 - Member",IF(J459="Completed","3 - Presented",IF(H459&lt;&gt;"","4 - Shared",IF(F459&lt;&gt;"","5 - Contacted","6 - No Activity"))))))</f>
        <v/>
      </c>
      <c r="X459" s="6" t="n">
        <f aca="false">IF(AND($A459="",$B459=""),9999999+(ROW()-4),VALUE(LEFT($W459,1))*10000+(ROW()-4))</f>
        <v>10000454</v>
      </c>
    </row>
    <row r="460" customFormat="false" ht="15" hidden="false" customHeight="true" outlineLevel="0" collapsed="false">
      <c r="A460" s="6"/>
      <c r="B460" s="6"/>
      <c r="C460" s="6"/>
      <c r="D460" s="6"/>
      <c r="E460" s="6"/>
      <c r="F460" s="7"/>
      <c r="G460" s="6"/>
      <c r="H460" s="6"/>
      <c r="I460" s="7"/>
      <c r="J460" s="6"/>
      <c r="K460" s="7"/>
      <c r="L460" s="6"/>
      <c r="M460" s="6"/>
      <c r="N460" s="7"/>
      <c r="O460" s="6"/>
      <c r="P460" s="6"/>
      <c r="Q460" s="7"/>
      <c r="R460" s="6" t="str">
        <f aca="false">IF(AND($A460="",$B460=""),"",IF(Q460="Complete","Onboarded",IF(OR(M460="Member",M460="Ambassador"),"Sponsored",IF(K460&lt;&gt;"","Follow-Up",IF(I460&lt;&gt;"","Presented",IF(F460&lt;&gt;"","Contacted","New Lead"))))))</f>
        <v/>
      </c>
      <c r="S460" s="6"/>
      <c r="T460" s="6" t="str">
        <f aca="true">IF(MAX(F460,I460,K460)=0,"",TODAY()-MAX(F460,I460,K460))</f>
        <v/>
      </c>
      <c r="U460" s="6"/>
      <c r="V460" s="6"/>
      <c r="W460" s="6" t="str">
        <f aca="false">IF(AND($A460="",$B460=""),"",IF(M460="Ambassador","1 - Ambassador",IF(M460="Member","2 - Member",IF(J460="Completed","3 - Presented",IF(H460&lt;&gt;"","4 - Shared",IF(F460&lt;&gt;"","5 - Contacted","6 - No Activity"))))))</f>
        <v/>
      </c>
      <c r="X460" s="6" t="n">
        <f aca="false">IF(AND($A460="",$B460=""),9999999+(ROW()-4),VALUE(LEFT($W460,1))*10000+(ROW()-4))</f>
        <v>10000455</v>
      </c>
    </row>
    <row r="461" customFormat="false" ht="15" hidden="false" customHeight="true" outlineLevel="0" collapsed="false">
      <c r="A461" s="6"/>
      <c r="B461" s="6"/>
      <c r="C461" s="6"/>
      <c r="D461" s="6"/>
      <c r="E461" s="6"/>
      <c r="F461" s="7"/>
      <c r="G461" s="6"/>
      <c r="H461" s="6"/>
      <c r="I461" s="7"/>
      <c r="J461" s="6"/>
      <c r="K461" s="7"/>
      <c r="L461" s="6"/>
      <c r="M461" s="6"/>
      <c r="N461" s="7"/>
      <c r="O461" s="6"/>
      <c r="P461" s="6"/>
      <c r="Q461" s="7"/>
      <c r="R461" s="6" t="str">
        <f aca="false">IF(AND($A461="",$B461=""),"",IF(Q461="Complete","Onboarded",IF(OR(M461="Member",M461="Ambassador"),"Sponsored",IF(K461&lt;&gt;"","Follow-Up",IF(I461&lt;&gt;"","Presented",IF(F461&lt;&gt;"","Contacted","New Lead"))))))</f>
        <v/>
      </c>
      <c r="S461" s="6"/>
      <c r="T461" s="6" t="str">
        <f aca="true">IF(MAX(F461,I461,K461)=0,"",TODAY()-MAX(F461,I461,K461))</f>
        <v/>
      </c>
      <c r="U461" s="6"/>
      <c r="V461" s="6"/>
      <c r="W461" s="6" t="str">
        <f aca="false">IF(AND($A461="",$B461=""),"",IF(M461="Ambassador","1 - Ambassador",IF(M461="Member","2 - Member",IF(J461="Completed","3 - Presented",IF(H461&lt;&gt;"","4 - Shared",IF(F461&lt;&gt;"","5 - Contacted","6 - No Activity"))))))</f>
        <v/>
      </c>
      <c r="X461" s="6" t="n">
        <f aca="false">IF(AND($A461="",$B461=""),9999999+(ROW()-4),VALUE(LEFT($W461,1))*10000+(ROW()-4))</f>
        <v>10000456</v>
      </c>
    </row>
    <row r="462" customFormat="false" ht="15" hidden="false" customHeight="true" outlineLevel="0" collapsed="false">
      <c r="A462" s="6"/>
      <c r="B462" s="6"/>
      <c r="C462" s="6"/>
      <c r="D462" s="6"/>
      <c r="E462" s="6"/>
      <c r="F462" s="7"/>
      <c r="G462" s="6"/>
      <c r="H462" s="6"/>
      <c r="I462" s="7"/>
      <c r="J462" s="6"/>
      <c r="K462" s="7"/>
      <c r="L462" s="6"/>
      <c r="M462" s="6"/>
      <c r="N462" s="7"/>
      <c r="O462" s="6"/>
      <c r="P462" s="6"/>
      <c r="Q462" s="7"/>
      <c r="R462" s="6" t="str">
        <f aca="false">IF(AND($A462="",$B462=""),"",IF(Q462="Complete","Onboarded",IF(OR(M462="Member",M462="Ambassador"),"Sponsored",IF(K462&lt;&gt;"","Follow-Up",IF(I462&lt;&gt;"","Presented",IF(F462&lt;&gt;"","Contacted","New Lead"))))))</f>
        <v/>
      </c>
      <c r="S462" s="6"/>
      <c r="T462" s="6" t="str">
        <f aca="true">IF(MAX(F462,I462,K462)=0,"",TODAY()-MAX(F462,I462,K462))</f>
        <v/>
      </c>
      <c r="U462" s="6"/>
      <c r="V462" s="6"/>
      <c r="W462" s="6" t="str">
        <f aca="false">IF(AND($A462="",$B462=""),"",IF(M462="Ambassador","1 - Ambassador",IF(M462="Member","2 - Member",IF(J462="Completed","3 - Presented",IF(H462&lt;&gt;"","4 - Shared",IF(F462&lt;&gt;"","5 - Contacted","6 - No Activity"))))))</f>
        <v/>
      </c>
      <c r="X462" s="6" t="n">
        <f aca="false">IF(AND($A462="",$B462=""),9999999+(ROW()-4),VALUE(LEFT($W462,1))*10000+(ROW()-4))</f>
        <v>10000457</v>
      </c>
    </row>
    <row r="463" customFormat="false" ht="15" hidden="false" customHeight="true" outlineLevel="0" collapsed="false">
      <c r="A463" s="6"/>
      <c r="B463" s="6"/>
      <c r="C463" s="6"/>
      <c r="D463" s="6"/>
      <c r="E463" s="6"/>
      <c r="F463" s="7"/>
      <c r="G463" s="6"/>
      <c r="H463" s="6"/>
      <c r="I463" s="7"/>
      <c r="J463" s="6"/>
      <c r="K463" s="7"/>
      <c r="L463" s="6"/>
      <c r="M463" s="6"/>
      <c r="N463" s="7"/>
      <c r="O463" s="6"/>
      <c r="P463" s="6"/>
      <c r="Q463" s="7"/>
      <c r="R463" s="6" t="str">
        <f aca="false">IF(AND($A463="",$B463=""),"",IF(Q463="Complete","Onboarded",IF(OR(M463="Member",M463="Ambassador"),"Sponsored",IF(K463&lt;&gt;"","Follow-Up",IF(I463&lt;&gt;"","Presented",IF(F463&lt;&gt;"","Contacted","New Lead"))))))</f>
        <v/>
      </c>
      <c r="S463" s="6"/>
      <c r="T463" s="6" t="str">
        <f aca="true">IF(MAX(F463,I463,K463)=0,"",TODAY()-MAX(F463,I463,K463))</f>
        <v/>
      </c>
      <c r="U463" s="6"/>
      <c r="V463" s="6"/>
      <c r="W463" s="6" t="str">
        <f aca="false">IF(AND($A463="",$B463=""),"",IF(M463="Ambassador","1 - Ambassador",IF(M463="Member","2 - Member",IF(J463="Completed","3 - Presented",IF(H463&lt;&gt;"","4 - Shared",IF(F463&lt;&gt;"","5 - Contacted","6 - No Activity"))))))</f>
        <v/>
      </c>
      <c r="X463" s="6" t="n">
        <f aca="false">IF(AND($A463="",$B463=""),9999999+(ROW()-4),VALUE(LEFT($W463,1))*10000+(ROW()-4))</f>
        <v>10000458</v>
      </c>
    </row>
    <row r="464" customFormat="false" ht="15" hidden="false" customHeight="true" outlineLevel="0" collapsed="false">
      <c r="A464" s="6"/>
      <c r="B464" s="6"/>
      <c r="C464" s="6"/>
      <c r="D464" s="6"/>
      <c r="E464" s="6"/>
      <c r="F464" s="7"/>
      <c r="G464" s="6"/>
      <c r="H464" s="6"/>
      <c r="I464" s="7"/>
      <c r="J464" s="6"/>
      <c r="K464" s="7"/>
      <c r="L464" s="6"/>
      <c r="M464" s="6"/>
      <c r="N464" s="7"/>
      <c r="O464" s="6"/>
      <c r="P464" s="6"/>
      <c r="Q464" s="7"/>
      <c r="R464" s="6" t="str">
        <f aca="false">IF(AND($A464="",$B464=""),"",IF(Q464="Complete","Onboarded",IF(OR(M464="Member",M464="Ambassador"),"Sponsored",IF(K464&lt;&gt;"","Follow-Up",IF(I464&lt;&gt;"","Presented",IF(F464&lt;&gt;"","Contacted","New Lead"))))))</f>
        <v/>
      </c>
      <c r="S464" s="6"/>
      <c r="T464" s="6" t="str">
        <f aca="true">IF(MAX(F464,I464,K464)=0,"",TODAY()-MAX(F464,I464,K464))</f>
        <v/>
      </c>
      <c r="U464" s="6"/>
      <c r="V464" s="6"/>
      <c r="W464" s="6" t="str">
        <f aca="false">IF(AND($A464="",$B464=""),"",IF(M464="Ambassador","1 - Ambassador",IF(M464="Member","2 - Member",IF(J464="Completed","3 - Presented",IF(H464&lt;&gt;"","4 - Shared",IF(F464&lt;&gt;"","5 - Contacted","6 - No Activity"))))))</f>
        <v/>
      </c>
      <c r="X464" s="6" t="n">
        <f aca="false">IF(AND($A464="",$B464=""),9999999+(ROW()-4),VALUE(LEFT($W464,1))*10000+(ROW()-4))</f>
        <v>10000459</v>
      </c>
    </row>
    <row r="465" customFormat="false" ht="15" hidden="false" customHeight="true" outlineLevel="0" collapsed="false">
      <c r="A465" s="6"/>
      <c r="B465" s="6"/>
      <c r="C465" s="6"/>
      <c r="D465" s="6"/>
      <c r="E465" s="6"/>
      <c r="F465" s="7"/>
      <c r="G465" s="6"/>
      <c r="H465" s="6"/>
      <c r="I465" s="7"/>
      <c r="J465" s="6"/>
      <c r="K465" s="7"/>
      <c r="L465" s="6"/>
      <c r="M465" s="6"/>
      <c r="N465" s="7"/>
      <c r="O465" s="6"/>
      <c r="P465" s="6"/>
      <c r="Q465" s="7"/>
      <c r="R465" s="6" t="str">
        <f aca="false">IF(AND($A465="",$B465=""),"",IF(Q465="Complete","Onboarded",IF(OR(M465="Member",M465="Ambassador"),"Sponsored",IF(K465&lt;&gt;"","Follow-Up",IF(I465&lt;&gt;"","Presented",IF(F465&lt;&gt;"","Contacted","New Lead"))))))</f>
        <v/>
      </c>
      <c r="S465" s="6"/>
      <c r="T465" s="6" t="str">
        <f aca="true">IF(MAX(F465,I465,K465)=0,"",TODAY()-MAX(F465,I465,K465))</f>
        <v/>
      </c>
      <c r="U465" s="6"/>
      <c r="V465" s="6"/>
      <c r="W465" s="6" t="str">
        <f aca="false">IF(AND($A465="",$B465=""),"",IF(M465="Ambassador","1 - Ambassador",IF(M465="Member","2 - Member",IF(J465="Completed","3 - Presented",IF(H465&lt;&gt;"","4 - Shared",IF(F465&lt;&gt;"","5 - Contacted","6 - No Activity"))))))</f>
        <v/>
      </c>
      <c r="X465" s="6" t="n">
        <f aca="false">IF(AND($A465="",$B465=""),9999999+(ROW()-4),VALUE(LEFT($W465,1))*10000+(ROW()-4))</f>
        <v>10000460</v>
      </c>
    </row>
    <row r="466" customFormat="false" ht="15" hidden="false" customHeight="true" outlineLevel="0" collapsed="false">
      <c r="A466" s="6"/>
      <c r="B466" s="6"/>
      <c r="C466" s="6"/>
      <c r="D466" s="6"/>
      <c r="E466" s="6"/>
      <c r="F466" s="7"/>
      <c r="G466" s="6"/>
      <c r="H466" s="6"/>
      <c r="I466" s="7"/>
      <c r="J466" s="6"/>
      <c r="K466" s="7"/>
      <c r="L466" s="6"/>
      <c r="M466" s="6"/>
      <c r="N466" s="7"/>
      <c r="O466" s="6"/>
      <c r="P466" s="6"/>
      <c r="Q466" s="7"/>
      <c r="R466" s="6" t="str">
        <f aca="false">IF(AND($A466="",$B466=""),"",IF(Q466="Complete","Onboarded",IF(OR(M466="Member",M466="Ambassador"),"Sponsored",IF(K466&lt;&gt;"","Follow-Up",IF(I466&lt;&gt;"","Presented",IF(F466&lt;&gt;"","Contacted","New Lead"))))))</f>
        <v/>
      </c>
      <c r="S466" s="6"/>
      <c r="T466" s="6" t="str">
        <f aca="true">IF(MAX(F466,I466,K466)=0,"",TODAY()-MAX(F466,I466,K466))</f>
        <v/>
      </c>
      <c r="U466" s="6"/>
      <c r="V466" s="6"/>
      <c r="W466" s="6" t="str">
        <f aca="false">IF(AND($A466="",$B466=""),"",IF(M466="Ambassador","1 - Ambassador",IF(M466="Member","2 - Member",IF(J466="Completed","3 - Presented",IF(H466&lt;&gt;"","4 - Shared",IF(F466&lt;&gt;"","5 - Contacted","6 - No Activity"))))))</f>
        <v/>
      </c>
      <c r="X466" s="6" t="n">
        <f aca="false">IF(AND($A466="",$B466=""),9999999+(ROW()-4),VALUE(LEFT($W466,1))*10000+(ROW()-4))</f>
        <v>10000461</v>
      </c>
    </row>
    <row r="467" customFormat="false" ht="15" hidden="false" customHeight="true" outlineLevel="0" collapsed="false">
      <c r="A467" s="6"/>
      <c r="B467" s="6"/>
      <c r="C467" s="6"/>
      <c r="D467" s="6"/>
      <c r="E467" s="6"/>
      <c r="F467" s="7"/>
      <c r="G467" s="6"/>
      <c r="H467" s="6"/>
      <c r="I467" s="7"/>
      <c r="J467" s="6"/>
      <c r="K467" s="7"/>
      <c r="L467" s="6"/>
      <c r="M467" s="6"/>
      <c r="N467" s="7"/>
      <c r="O467" s="6"/>
      <c r="P467" s="6"/>
      <c r="Q467" s="7"/>
      <c r="R467" s="6" t="str">
        <f aca="false">IF(AND($A467="",$B467=""),"",IF(Q467="Complete","Onboarded",IF(OR(M467="Member",M467="Ambassador"),"Sponsored",IF(K467&lt;&gt;"","Follow-Up",IF(I467&lt;&gt;"","Presented",IF(F467&lt;&gt;"","Contacted","New Lead"))))))</f>
        <v/>
      </c>
      <c r="S467" s="6"/>
      <c r="T467" s="6" t="str">
        <f aca="true">IF(MAX(F467,I467,K467)=0,"",TODAY()-MAX(F467,I467,K467))</f>
        <v/>
      </c>
      <c r="U467" s="6"/>
      <c r="V467" s="6"/>
      <c r="W467" s="6" t="str">
        <f aca="false">IF(AND($A467="",$B467=""),"",IF(M467="Ambassador","1 - Ambassador",IF(M467="Member","2 - Member",IF(J467="Completed","3 - Presented",IF(H467&lt;&gt;"","4 - Shared",IF(F467&lt;&gt;"","5 - Contacted","6 - No Activity"))))))</f>
        <v/>
      </c>
      <c r="X467" s="6" t="n">
        <f aca="false">IF(AND($A467="",$B467=""),9999999+(ROW()-4),VALUE(LEFT($W467,1))*10000+(ROW()-4))</f>
        <v>10000462</v>
      </c>
    </row>
    <row r="468" customFormat="false" ht="15" hidden="false" customHeight="true" outlineLevel="0" collapsed="false">
      <c r="A468" s="6"/>
      <c r="B468" s="6"/>
      <c r="C468" s="6"/>
      <c r="D468" s="6"/>
      <c r="E468" s="6"/>
      <c r="F468" s="7"/>
      <c r="G468" s="6"/>
      <c r="H468" s="6"/>
      <c r="I468" s="7"/>
      <c r="J468" s="6"/>
      <c r="K468" s="7"/>
      <c r="L468" s="6"/>
      <c r="M468" s="6"/>
      <c r="N468" s="7"/>
      <c r="O468" s="6"/>
      <c r="P468" s="6"/>
      <c r="Q468" s="7"/>
      <c r="R468" s="6" t="str">
        <f aca="false">IF(AND($A468="",$B468=""),"",IF(Q468="Complete","Onboarded",IF(OR(M468="Member",M468="Ambassador"),"Sponsored",IF(K468&lt;&gt;"","Follow-Up",IF(I468&lt;&gt;"","Presented",IF(F468&lt;&gt;"","Contacted","New Lead"))))))</f>
        <v/>
      </c>
      <c r="S468" s="6"/>
      <c r="T468" s="6" t="str">
        <f aca="true">IF(MAX(F468,I468,K468)=0,"",TODAY()-MAX(F468,I468,K468))</f>
        <v/>
      </c>
      <c r="U468" s="6"/>
      <c r="V468" s="6"/>
      <c r="W468" s="6" t="str">
        <f aca="false">IF(AND($A468="",$B468=""),"",IF(M468="Ambassador","1 - Ambassador",IF(M468="Member","2 - Member",IF(J468="Completed","3 - Presented",IF(H468&lt;&gt;"","4 - Shared",IF(F468&lt;&gt;"","5 - Contacted","6 - No Activity"))))))</f>
        <v/>
      </c>
      <c r="X468" s="6" t="n">
        <f aca="false">IF(AND($A468="",$B468=""),9999999+(ROW()-4),VALUE(LEFT($W468,1))*10000+(ROW()-4))</f>
        <v>10000463</v>
      </c>
    </row>
    <row r="469" customFormat="false" ht="15" hidden="false" customHeight="true" outlineLevel="0" collapsed="false">
      <c r="A469" s="6"/>
      <c r="B469" s="6"/>
      <c r="C469" s="6"/>
      <c r="D469" s="6"/>
      <c r="E469" s="6"/>
      <c r="F469" s="7"/>
      <c r="G469" s="6"/>
      <c r="H469" s="6"/>
      <c r="I469" s="7"/>
      <c r="J469" s="6"/>
      <c r="K469" s="7"/>
      <c r="L469" s="6"/>
      <c r="M469" s="6"/>
      <c r="N469" s="7"/>
      <c r="O469" s="6"/>
      <c r="P469" s="6"/>
      <c r="Q469" s="7"/>
      <c r="R469" s="6" t="str">
        <f aca="false">IF(AND($A469="",$B469=""),"",IF(Q469="Complete","Onboarded",IF(OR(M469="Member",M469="Ambassador"),"Sponsored",IF(K469&lt;&gt;"","Follow-Up",IF(I469&lt;&gt;"","Presented",IF(F469&lt;&gt;"","Contacted","New Lead"))))))</f>
        <v/>
      </c>
      <c r="S469" s="6"/>
      <c r="T469" s="6" t="str">
        <f aca="true">IF(MAX(F469,I469,K469)=0,"",TODAY()-MAX(F469,I469,K469))</f>
        <v/>
      </c>
      <c r="U469" s="6"/>
      <c r="V469" s="6"/>
      <c r="W469" s="6" t="str">
        <f aca="false">IF(AND($A469="",$B469=""),"",IF(M469="Ambassador","1 - Ambassador",IF(M469="Member","2 - Member",IF(J469="Completed","3 - Presented",IF(H469&lt;&gt;"","4 - Shared",IF(F469&lt;&gt;"","5 - Contacted","6 - No Activity"))))))</f>
        <v/>
      </c>
      <c r="X469" s="6" t="n">
        <f aca="false">IF(AND($A469="",$B469=""),9999999+(ROW()-4),VALUE(LEFT($W469,1))*10000+(ROW()-4))</f>
        <v>10000464</v>
      </c>
    </row>
    <row r="470" customFormat="false" ht="15" hidden="false" customHeight="true" outlineLevel="0" collapsed="false">
      <c r="A470" s="6"/>
      <c r="B470" s="6"/>
      <c r="C470" s="6"/>
      <c r="D470" s="6"/>
      <c r="E470" s="6"/>
      <c r="F470" s="7"/>
      <c r="G470" s="6"/>
      <c r="H470" s="6"/>
      <c r="I470" s="7"/>
      <c r="J470" s="6"/>
      <c r="K470" s="7"/>
      <c r="L470" s="6"/>
      <c r="M470" s="6"/>
      <c r="N470" s="7"/>
      <c r="O470" s="6"/>
      <c r="P470" s="6"/>
      <c r="Q470" s="7"/>
      <c r="R470" s="6" t="str">
        <f aca="false">IF(AND($A470="",$B470=""),"",IF(Q470="Complete","Onboarded",IF(OR(M470="Member",M470="Ambassador"),"Sponsored",IF(K470&lt;&gt;"","Follow-Up",IF(I470&lt;&gt;"","Presented",IF(F470&lt;&gt;"","Contacted","New Lead"))))))</f>
        <v/>
      </c>
      <c r="S470" s="6"/>
      <c r="T470" s="6" t="str">
        <f aca="true">IF(MAX(F470,I470,K470)=0,"",TODAY()-MAX(F470,I470,K470))</f>
        <v/>
      </c>
      <c r="U470" s="6"/>
      <c r="V470" s="6"/>
      <c r="W470" s="6" t="str">
        <f aca="false">IF(AND($A470="",$B470=""),"",IF(M470="Ambassador","1 - Ambassador",IF(M470="Member","2 - Member",IF(J470="Completed","3 - Presented",IF(H470&lt;&gt;"","4 - Shared",IF(F470&lt;&gt;"","5 - Contacted","6 - No Activity"))))))</f>
        <v/>
      </c>
      <c r="X470" s="6" t="n">
        <f aca="false">IF(AND($A470="",$B470=""),9999999+(ROW()-4),VALUE(LEFT($W470,1))*10000+(ROW()-4))</f>
        <v>10000465</v>
      </c>
    </row>
    <row r="471" customFormat="false" ht="15" hidden="false" customHeight="true" outlineLevel="0" collapsed="false">
      <c r="A471" s="6"/>
      <c r="B471" s="6"/>
      <c r="C471" s="6"/>
      <c r="D471" s="6"/>
      <c r="E471" s="6"/>
      <c r="F471" s="7"/>
      <c r="G471" s="6"/>
      <c r="H471" s="6"/>
      <c r="I471" s="7"/>
      <c r="J471" s="6"/>
      <c r="K471" s="7"/>
      <c r="L471" s="6"/>
      <c r="M471" s="6"/>
      <c r="N471" s="7"/>
      <c r="O471" s="6"/>
      <c r="P471" s="6"/>
      <c r="Q471" s="7"/>
      <c r="R471" s="6" t="str">
        <f aca="false">IF(AND($A471="",$B471=""),"",IF(Q471="Complete","Onboarded",IF(OR(M471="Member",M471="Ambassador"),"Sponsored",IF(K471&lt;&gt;"","Follow-Up",IF(I471&lt;&gt;"","Presented",IF(F471&lt;&gt;"","Contacted","New Lead"))))))</f>
        <v/>
      </c>
      <c r="S471" s="6"/>
      <c r="T471" s="6" t="str">
        <f aca="true">IF(MAX(F471,I471,K471)=0,"",TODAY()-MAX(F471,I471,K471))</f>
        <v/>
      </c>
      <c r="U471" s="6"/>
      <c r="V471" s="6"/>
      <c r="W471" s="6" t="str">
        <f aca="false">IF(AND($A471="",$B471=""),"",IF(M471="Ambassador","1 - Ambassador",IF(M471="Member","2 - Member",IF(J471="Completed","3 - Presented",IF(H471&lt;&gt;"","4 - Shared",IF(F471&lt;&gt;"","5 - Contacted","6 - No Activity"))))))</f>
        <v/>
      </c>
      <c r="X471" s="6" t="n">
        <f aca="false">IF(AND($A471="",$B471=""),9999999+(ROW()-4),VALUE(LEFT($W471,1))*10000+(ROW()-4))</f>
        <v>10000466</v>
      </c>
    </row>
    <row r="472" customFormat="false" ht="15" hidden="false" customHeight="true" outlineLevel="0" collapsed="false">
      <c r="A472" s="6"/>
      <c r="B472" s="6"/>
      <c r="C472" s="6"/>
      <c r="D472" s="6"/>
      <c r="E472" s="6"/>
      <c r="F472" s="7"/>
      <c r="G472" s="6"/>
      <c r="H472" s="6"/>
      <c r="I472" s="7"/>
      <c r="J472" s="6"/>
      <c r="K472" s="7"/>
      <c r="L472" s="6"/>
      <c r="M472" s="6"/>
      <c r="N472" s="7"/>
      <c r="O472" s="6"/>
      <c r="P472" s="6"/>
      <c r="Q472" s="7"/>
      <c r="R472" s="6" t="str">
        <f aca="false">IF(AND($A472="",$B472=""),"",IF(Q472="Complete","Onboarded",IF(OR(M472="Member",M472="Ambassador"),"Sponsored",IF(K472&lt;&gt;"","Follow-Up",IF(I472&lt;&gt;"","Presented",IF(F472&lt;&gt;"","Contacted","New Lead"))))))</f>
        <v/>
      </c>
      <c r="S472" s="6"/>
      <c r="T472" s="6" t="str">
        <f aca="true">IF(MAX(F472,I472,K472)=0,"",TODAY()-MAX(F472,I472,K472))</f>
        <v/>
      </c>
      <c r="U472" s="6"/>
      <c r="V472" s="6"/>
      <c r="W472" s="6" t="str">
        <f aca="false">IF(AND($A472="",$B472=""),"",IF(M472="Ambassador","1 - Ambassador",IF(M472="Member","2 - Member",IF(J472="Completed","3 - Presented",IF(H472&lt;&gt;"","4 - Shared",IF(F472&lt;&gt;"","5 - Contacted","6 - No Activity"))))))</f>
        <v/>
      </c>
      <c r="X472" s="6" t="n">
        <f aca="false">IF(AND($A472="",$B472=""),9999999+(ROW()-4),VALUE(LEFT($W472,1))*10000+(ROW()-4))</f>
        <v>10000467</v>
      </c>
    </row>
    <row r="473" customFormat="false" ht="15" hidden="false" customHeight="true" outlineLevel="0" collapsed="false">
      <c r="A473" s="6"/>
      <c r="B473" s="6"/>
      <c r="C473" s="6"/>
      <c r="D473" s="6"/>
      <c r="E473" s="6"/>
      <c r="F473" s="7"/>
      <c r="G473" s="6"/>
      <c r="H473" s="6"/>
      <c r="I473" s="7"/>
      <c r="J473" s="6"/>
      <c r="K473" s="7"/>
      <c r="L473" s="6"/>
      <c r="M473" s="6"/>
      <c r="N473" s="7"/>
      <c r="O473" s="6"/>
      <c r="P473" s="6"/>
      <c r="Q473" s="7"/>
      <c r="R473" s="6" t="str">
        <f aca="false">IF(AND($A473="",$B473=""),"",IF(Q473="Complete","Onboarded",IF(OR(M473="Member",M473="Ambassador"),"Sponsored",IF(K473&lt;&gt;"","Follow-Up",IF(I473&lt;&gt;"","Presented",IF(F473&lt;&gt;"","Contacted","New Lead"))))))</f>
        <v/>
      </c>
      <c r="S473" s="6"/>
      <c r="T473" s="6" t="str">
        <f aca="true">IF(MAX(F473,I473,K473)=0,"",TODAY()-MAX(F473,I473,K473))</f>
        <v/>
      </c>
      <c r="U473" s="6"/>
      <c r="V473" s="6"/>
      <c r="W473" s="6" t="str">
        <f aca="false">IF(AND($A473="",$B473=""),"",IF(M473="Ambassador","1 - Ambassador",IF(M473="Member","2 - Member",IF(J473="Completed","3 - Presented",IF(H473&lt;&gt;"","4 - Shared",IF(F473&lt;&gt;"","5 - Contacted","6 - No Activity"))))))</f>
        <v/>
      </c>
      <c r="X473" s="6" t="n">
        <f aca="false">IF(AND($A473="",$B473=""),9999999+(ROW()-4),VALUE(LEFT($W473,1))*10000+(ROW()-4))</f>
        <v>10000468</v>
      </c>
    </row>
    <row r="474" customFormat="false" ht="15" hidden="false" customHeight="true" outlineLevel="0" collapsed="false">
      <c r="A474" s="6"/>
      <c r="B474" s="6"/>
      <c r="C474" s="6"/>
      <c r="D474" s="6"/>
      <c r="E474" s="6"/>
      <c r="F474" s="7"/>
      <c r="G474" s="6"/>
      <c r="H474" s="6"/>
      <c r="I474" s="7"/>
      <c r="J474" s="6"/>
      <c r="K474" s="7"/>
      <c r="L474" s="6"/>
      <c r="M474" s="6"/>
      <c r="N474" s="7"/>
      <c r="O474" s="6"/>
      <c r="P474" s="6"/>
      <c r="Q474" s="7"/>
      <c r="R474" s="6" t="str">
        <f aca="false">IF(AND($A474="",$B474=""),"",IF(Q474="Complete","Onboarded",IF(OR(M474="Member",M474="Ambassador"),"Sponsored",IF(K474&lt;&gt;"","Follow-Up",IF(I474&lt;&gt;"","Presented",IF(F474&lt;&gt;"","Contacted","New Lead"))))))</f>
        <v/>
      </c>
      <c r="S474" s="6"/>
      <c r="T474" s="6" t="str">
        <f aca="true">IF(MAX(F474,I474,K474)=0,"",TODAY()-MAX(F474,I474,K474))</f>
        <v/>
      </c>
      <c r="U474" s="6"/>
      <c r="V474" s="6"/>
      <c r="W474" s="6" t="str">
        <f aca="false">IF(AND($A474="",$B474=""),"",IF(M474="Ambassador","1 - Ambassador",IF(M474="Member","2 - Member",IF(J474="Completed","3 - Presented",IF(H474&lt;&gt;"","4 - Shared",IF(F474&lt;&gt;"","5 - Contacted","6 - No Activity"))))))</f>
        <v/>
      </c>
      <c r="X474" s="6" t="n">
        <f aca="false">IF(AND($A474="",$B474=""),9999999+(ROW()-4),VALUE(LEFT($W474,1))*10000+(ROW()-4))</f>
        <v>10000469</v>
      </c>
    </row>
    <row r="475" customFormat="false" ht="15" hidden="false" customHeight="true" outlineLevel="0" collapsed="false">
      <c r="A475" s="6"/>
      <c r="B475" s="6"/>
      <c r="C475" s="6"/>
      <c r="D475" s="6"/>
      <c r="E475" s="6"/>
      <c r="F475" s="7"/>
      <c r="G475" s="6"/>
      <c r="H475" s="6"/>
      <c r="I475" s="7"/>
      <c r="J475" s="6"/>
      <c r="K475" s="7"/>
      <c r="L475" s="6"/>
      <c r="M475" s="6"/>
      <c r="N475" s="7"/>
      <c r="O475" s="6"/>
      <c r="P475" s="6"/>
      <c r="Q475" s="7"/>
      <c r="R475" s="6" t="str">
        <f aca="false">IF(AND($A475="",$B475=""),"",IF(Q475="Complete","Onboarded",IF(OR(M475="Member",M475="Ambassador"),"Sponsored",IF(K475&lt;&gt;"","Follow-Up",IF(I475&lt;&gt;"","Presented",IF(F475&lt;&gt;"","Contacted","New Lead"))))))</f>
        <v/>
      </c>
      <c r="S475" s="6"/>
      <c r="T475" s="6" t="str">
        <f aca="true">IF(MAX(F475,I475,K475)=0,"",TODAY()-MAX(F475,I475,K475))</f>
        <v/>
      </c>
      <c r="U475" s="6"/>
      <c r="V475" s="6"/>
      <c r="W475" s="6" t="str">
        <f aca="false">IF(AND($A475="",$B475=""),"",IF(M475="Ambassador","1 - Ambassador",IF(M475="Member","2 - Member",IF(J475="Completed","3 - Presented",IF(H475&lt;&gt;"","4 - Shared",IF(F475&lt;&gt;"","5 - Contacted","6 - No Activity"))))))</f>
        <v/>
      </c>
      <c r="X475" s="6" t="n">
        <f aca="false">IF(AND($A475="",$B475=""),9999999+(ROW()-4),VALUE(LEFT($W475,1))*10000+(ROW()-4))</f>
        <v>10000470</v>
      </c>
    </row>
    <row r="476" customFormat="false" ht="15" hidden="false" customHeight="true" outlineLevel="0" collapsed="false">
      <c r="A476" s="6"/>
      <c r="B476" s="6"/>
      <c r="C476" s="6"/>
      <c r="D476" s="6"/>
      <c r="E476" s="6"/>
      <c r="F476" s="7"/>
      <c r="G476" s="6"/>
      <c r="H476" s="6"/>
      <c r="I476" s="7"/>
      <c r="J476" s="6"/>
      <c r="K476" s="7"/>
      <c r="L476" s="6"/>
      <c r="M476" s="6"/>
      <c r="N476" s="7"/>
      <c r="O476" s="6"/>
      <c r="P476" s="6"/>
      <c r="Q476" s="7"/>
      <c r="R476" s="6" t="str">
        <f aca="false">IF(AND($A476="",$B476=""),"",IF(Q476="Complete","Onboarded",IF(OR(M476="Member",M476="Ambassador"),"Sponsored",IF(K476&lt;&gt;"","Follow-Up",IF(I476&lt;&gt;"","Presented",IF(F476&lt;&gt;"","Contacted","New Lead"))))))</f>
        <v/>
      </c>
      <c r="S476" s="6"/>
      <c r="T476" s="6" t="str">
        <f aca="true">IF(MAX(F476,I476,K476)=0,"",TODAY()-MAX(F476,I476,K476))</f>
        <v/>
      </c>
      <c r="U476" s="6"/>
      <c r="V476" s="6"/>
      <c r="W476" s="6" t="str">
        <f aca="false">IF(AND($A476="",$B476=""),"",IF(M476="Ambassador","1 - Ambassador",IF(M476="Member","2 - Member",IF(J476="Completed","3 - Presented",IF(H476&lt;&gt;"","4 - Shared",IF(F476&lt;&gt;"","5 - Contacted","6 - No Activity"))))))</f>
        <v/>
      </c>
      <c r="X476" s="6" t="n">
        <f aca="false">IF(AND($A476="",$B476=""),9999999+(ROW()-4),VALUE(LEFT($W476,1))*10000+(ROW()-4))</f>
        <v>10000471</v>
      </c>
    </row>
    <row r="477" customFormat="false" ht="15" hidden="false" customHeight="true" outlineLevel="0" collapsed="false">
      <c r="A477" s="6"/>
      <c r="B477" s="6"/>
      <c r="C477" s="6"/>
      <c r="D477" s="6"/>
      <c r="E477" s="6"/>
      <c r="F477" s="7"/>
      <c r="G477" s="6"/>
      <c r="H477" s="6"/>
      <c r="I477" s="7"/>
      <c r="J477" s="6"/>
      <c r="K477" s="7"/>
      <c r="L477" s="6"/>
      <c r="M477" s="6"/>
      <c r="N477" s="7"/>
      <c r="O477" s="6"/>
      <c r="P477" s="6"/>
      <c r="Q477" s="7"/>
      <c r="R477" s="6" t="str">
        <f aca="false">IF(AND($A477="",$B477=""),"",IF(Q477="Complete","Onboarded",IF(OR(M477="Member",M477="Ambassador"),"Sponsored",IF(K477&lt;&gt;"","Follow-Up",IF(I477&lt;&gt;"","Presented",IF(F477&lt;&gt;"","Contacted","New Lead"))))))</f>
        <v/>
      </c>
      <c r="S477" s="6"/>
      <c r="T477" s="6" t="str">
        <f aca="true">IF(MAX(F477,I477,K477)=0,"",TODAY()-MAX(F477,I477,K477))</f>
        <v/>
      </c>
      <c r="U477" s="6"/>
      <c r="V477" s="6"/>
      <c r="W477" s="6" t="str">
        <f aca="false">IF(AND($A477="",$B477=""),"",IF(M477="Ambassador","1 - Ambassador",IF(M477="Member","2 - Member",IF(J477="Completed","3 - Presented",IF(H477&lt;&gt;"","4 - Shared",IF(F477&lt;&gt;"","5 - Contacted","6 - No Activity"))))))</f>
        <v/>
      </c>
      <c r="X477" s="6" t="n">
        <f aca="false">IF(AND($A477="",$B477=""),9999999+(ROW()-4),VALUE(LEFT($W477,1))*10000+(ROW()-4))</f>
        <v>10000472</v>
      </c>
    </row>
    <row r="478" customFormat="false" ht="15" hidden="false" customHeight="true" outlineLevel="0" collapsed="false">
      <c r="A478" s="6"/>
      <c r="B478" s="6"/>
      <c r="C478" s="6"/>
      <c r="D478" s="6"/>
      <c r="E478" s="6"/>
      <c r="F478" s="7"/>
      <c r="G478" s="6"/>
      <c r="H478" s="6"/>
      <c r="I478" s="7"/>
      <c r="J478" s="6"/>
      <c r="K478" s="7"/>
      <c r="L478" s="6"/>
      <c r="M478" s="6"/>
      <c r="N478" s="7"/>
      <c r="O478" s="6"/>
      <c r="P478" s="6"/>
      <c r="Q478" s="7"/>
      <c r="R478" s="6" t="str">
        <f aca="false">IF(AND($A478="",$B478=""),"",IF(Q478="Complete","Onboarded",IF(OR(M478="Member",M478="Ambassador"),"Sponsored",IF(K478&lt;&gt;"","Follow-Up",IF(I478&lt;&gt;"","Presented",IF(F478&lt;&gt;"","Contacted","New Lead"))))))</f>
        <v/>
      </c>
      <c r="S478" s="6"/>
      <c r="T478" s="6" t="str">
        <f aca="true">IF(MAX(F478,I478,K478)=0,"",TODAY()-MAX(F478,I478,K478))</f>
        <v/>
      </c>
      <c r="U478" s="6"/>
      <c r="V478" s="6"/>
      <c r="W478" s="6" t="str">
        <f aca="false">IF(AND($A478="",$B478=""),"",IF(M478="Ambassador","1 - Ambassador",IF(M478="Member","2 - Member",IF(J478="Completed","3 - Presented",IF(H478&lt;&gt;"","4 - Shared",IF(F478&lt;&gt;"","5 - Contacted","6 - No Activity"))))))</f>
        <v/>
      </c>
      <c r="X478" s="6" t="n">
        <f aca="false">IF(AND($A478="",$B478=""),9999999+(ROW()-4),VALUE(LEFT($W478,1))*10000+(ROW()-4))</f>
        <v>10000473</v>
      </c>
    </row>
    <row r="479" customFormat="false" ht="15" hidden="false" customHeight="true" outlineLevel="0" collapsed="false">
      <c r="A479" s="6"/>
      <c r="B479" s="6"/>
      <c r="C479" s="6"/>
      <c r="D479" s="6"/>
      <c r="E479" s="6"/>
      <c r="F479" s="7"/>
      <c r="G479" s="6"/>
      <c r="H479" s="6"/>
      <c r="I479" s="7"/>
      <c r="J479" s="6"/>
      <c r="K479" s="7"/>
      <c r="L479" s="6"/>
      <c r="M479" s="6"/>
      <c r="N479" s="7"/>
      <c r="O479" s="6"/>
      <c r="P479" s="6"/>
      <c r="Q479" s="7"/>
      <c r="R479" s="6" t="str">
        <f aca="false">IF(AND($A479="",$B479=""),"",IF(Q479="Complete","Onboarded",IF(OR(M479="Member",M479="Ambassador"),"Sponsored",IF(K479&lt;&gt;"","Follow-Up",IF(I479&lt;&gt;"","Presented",IF(F479&lt;&gt;"","Contacted","New Lead"))))))</f>
        <v/>
      </c>
      <c r="S479" s="6"/>
      <c r="T479" s="6" t="str">
        <f aca="true">IF(MAX(F479,I479,K479)=0,"",TODAY()-MAX(F479,I479,K479))</f>
        <v/>
      </c>
      <c r="U479" s="6"/>
      <c r="V479" s="6"/>
      <c r="W479" s="6" t="str">
        <f aca="false">IF(AND($A479="",$B479=""),"",IF(M479="Ambassador","1 - Ambassador",IF(M479="Member","2 - Member",IF(J479="Completed","3 - Presented",IF(H479&lt;&gt;"","4 - Shared",IF(F479&lt;&gt;"","5 - Contacted","6 - No Activity"))))))</f>
        <v/>
      </c>
      <c r="X479" s="6" t="n">
        <f aca="false">IF(AND($A479="",$B479=""),9999999+(ROW()-4),VALUE(LEFT($W479,1))*10000+(ROW()-4))</f>
        <v>10000474</v>
      </c>
    </row>
    <row r="480" customFormat="false" ht="15" hidden="false" customHeight="true" outlineLevel="0" collapsed="false">
      <c r="A480" s="6"/>
      <c r="B480" s="6"/>
      <c r="C480" s="6"/>
      <c r="D480" s="6"/>
      <c r="E480" s="6"/>
      <c r="F480" s="7"/>
      <c r="G480" s="6"/>
      <c r="H480" s="6"/>
      <c r="I480" s="7"/>
      <c r="J480" s="6"/>
      <c r="K480" s="7"/>
      <c r="L480" s="6"/>
      <c r="M480" s="6"/>
      <c r="N480" s="7"/>
      <c r="O480" s="6"/>
      <c r="P480" s="6"/>
      <c r="Q480" s="7"/>
      <c r="R480" s="6" t="str">
        <f aca="false">IF(AND($A480="",$B480=""),"",IF(Q480="Complete","Onboarded",IF(OR(M480="Member",M480="Ambassador"),"Sponsored",IF(K480&lt;&gt;"","Follow-Up",IF(I480&lt;&gt;"","Presented",IF(F480&lt;&gt;"","Contacted","New Lead"))))))</f>
        <v/>
      </c>
      <c r="S480" s="6"/>
      <c r="T480" s="6" t="str">
        <f aca="true">IF(MAX(F480,I480,K480)=0,"",TODAY()-MAX(F480,I480,K480))</f>
        <v/>
      </c>
      <c r="U480" s="6"/>
      <c r="V480" s="6"/>
      <c r="W480" s="6" t="str">
        <f aca="false">IF(AND($A480="",$B480=""),"",IF(M480="Ambassador","1 - Ambassador",IF(M480="Member","2 - Member",IF(J480="Completed","3 - Presented",IF(H480&lt;&gt;"","4 - Shared",IF(F480&lt;&gt;"","5 - Contacted","6 - No Activity"))))))</f>
        <v/>
      </c>
      <c r="X480" s="6" t="n">
        <f aca="false">IF(AND($A480="",$B480=""),9999999+(ROW()-4),VALUE(LEFT($W480,1))*10000+(ROW()-4))</f>
        <v>10000475</v>
      </c>
    </row>
    <row r="481" customFormat="false" ht="15" hidden="false" customHeight="true" outlineLevel="0" collapsed="false">
      <c r="A481" s="6"/>
      <c r="B481" s="6"/>
      <c r="C481" s="6"/>
      <c r="D481" s="6"/>
      <c r="E481" s="6"/>
      <c r="F481" s="7"/>
      <c r="G481" s="6"/>
      <c r="H481" s="6"/>
      <c r="I481" s="7"/>
      <c r="J481" s="6"/>
      <c r="K481" s="7"/>
      <c r="L481" s="6"/>
      <c r="M481" s="6"/>
      <c r="N481" s="7"/>
      <c r="O481" s="6"/>
      <c r="P481" s="6"/>
      <c r="Q481" s="7"/>
      <c r="R481" s="6" t="str">
        <f aca="false">IF(AND($A481="",$B481=""),"",IF(Q481="Complete","Onboarded",IF(OR(M481="Member",M481="Ambassador"),"Sponsored",IF(K481&lt;&gt;"","Follow-Up",IF(I481&lt;&gt;"","Presented",IF(F481&lt;&gt;"","Contacted","New Lead"))))))</f>
        <v/>
      </c>
      <c r="S481" s="6"/>
      <c r="T481" s="6" t="str">
        <f aca="true">IF(MAX(F481,I481,K481)=0,"",TODAY()-MAX(F481,I481,K481))</f>
        <v/>
      </c>
      <c r="U481" s="6"/>
      <c r="V481" s="6"/>
      <c r="W481" s="6" t="str">
        <f aca="false">IF(AND($A481="",$B481=""),"",IF(M481="Ambassador","1 - Ambassador",IF(M481="Member","2 - Member",IF(J481="Completed","3 - Presented",IF(H481&lt;&gt;"","4 - Shared",IF(F481&lt;&gt;"","5 - Contacted","6 - No Activity"))))))</f>
        <v/>
      </c>
      <c r="X481" s="6" t="n">
        <f aca="false">IF(AND($A481="",$B481=""),9999999+(ROW()-4),VALUE(LEFT($W481,1))*10000+(ROW()-4))</f>
        <v>10000476</v>
      </c>
    </row>
    <row r="482" customFormat="false" ht="15" hidden="false" customHeight="true" outlineLevel="0" collapsed="false">
      <c r="A482" s="6"/>
      <c r="B482" s="6"/>
      <c r="C482" s="6"/>
      <c r="D482" s="6"/>
      <c r="E482" s="6"/>
      <c r="F482" s="7"/>
      <c r="G482" s="6"/>
      <c r="H482" s="6"/>
      <c r="I482" s="7"/>
      <c r="J482" s="6"/>
      <c r="K482" s="7"/>
      <c r="L482" s="6"/>
      <c r="M482" s="6"/>
      <c r="N482" s="7"/>
      <c r="O482" s="6"/>
      <c r="P482" s="6"/>
      <c r="Q482" s="7"/>
      <c r="R482" s="6" t="str">
        <f aca="false">IF(AND($A482="",$B482=""),"",IF(Q482="Complete","Onboarded",IF(OR(M482="Member",M482="Ambassador"),"Sponsored",IF(K482&lt;&gt;"","Follow-Up",IF(I482&lt;&gt;"","Presented",IF(F482&lt;&gt;"","Contacted","New Lead"))))))</f>
        <v/>
      </c>
      <c r="S482" s="6"/>
      <c r="T482" s="6" t="str">
        <f aca="true">IF(MAX(F482,I482,K482)=0,"",TODAY()-MAX(F482,I482,K482))</f>
        <v/>
      </c>
      <c r="U482" s="6"/>
      <c r="V482" s="6"/>
      <c r="W482" s="6" t="str">
        <f aca="false">IF(AND($A482="",$B482=""),"",IF(M482="Ambassador","1 - Ambassador",IF(M482="Member","2 - Member",IF(J482="Completed","3 - Presented",IF(H482&lt;&gt;"","4 - Shared",IF(F482&lt;&gt;"","5 - Contacted","6 - No Activity"))))))</f>
        <v/>
      </c>
      <c r="X482" s="6" t="n">
        <f aca="false">IF(AND($A482="",$B482=""),9999999+(ROW()-4),VALUE(LEFT($W482,1))*10000+(ROW()-4))</f>
        <v>10000477</v>
      </c>
    </row>
    <row r="483" customFormat="false" ht="15" hidden="false" customHeight="true" outlineLevel="0" collapsed="false">
      <c r="A483" s="6"/>
      <c r="B483" s="6"/>
      <c r="C483" s="6"/>
      <c r="D483" s="6"/>
      <c r="E483" s="6"/>
      <c r="F483" s="7"/>
      <c r="G483" s="6"/>
      <c r="H483" s="6"/>
      <c r="I483" s="7"/>
      <c r="J483" s="6"/>
      <c r="K483" s="7"/>
      <c r="L483" s="6"/>
      <c r="M483" s="6"/>
      <c r="N483" s="7"/>
      <c r="O483" s="6"/>
      <c r="P483" s="6"/>
      <c r="Q483" s="7"/>
      <c r="R483" s="6" t="str">
        <f aca="false">IF(AND($A483="",$B483=""),"",IF(Q483="Complete","Onboarded",IF(OR(M483="Member",M483="Ambassador"),"Sponsored",IF(K483&lt;&gt;"","Follow-Up",IF(I483&lt;&gt;"","Presented",IF(F483&lt;&gt;"","Contacted","New Lead"))))))</f>
        <v/>
      </c>
      <c r="S483" s="6"/>
      <c r="T483" s="6" t="str">
        <f aca="true">IF(MAX(F483,I483,K483)=0,"",TODAY()-MAX(F483,I483,K483))</f>
        <v/>
      </c>
      <c r="U483" s="6"/>
      <c r="V483" s="6"/>
      <c r="W483" s="6" t="str">
        <f aca="false">IF(AND($A483="",$B483=""),"",IF(M483="Ambassador","1 - Ambassador",IF(M483="Member","2 - Member",IF(J483="Completed","3 - Presented",IF(H483&lt;&gt;"","4 - Shared",IF(F483&lt;&gt;"","5 - Contacted","6 - No Activity"))))))</f>
        <v/>
      </c>
      <c r="X483" s="6" t="n">
        <f aca="false">IF(AND($A483="",$B483=""),9999999+(ROW()-4),VALUE(LEFT($W483,1))*10000+(ROW()-4))</f>
        <v>10000478</v>
      </c>
    </row>
    <row r="484" customFormat="false" ht="15" hidden="false" customHeight="true" outlineLevel="0" collapsed="false">
      <c r="A484" s="6"/>
      <c r="B484" s="6"/>
      <c r="C484" s="6"/>
      <c r="D484" s="6"/>
      <c r="E484" s="6"/>
      <c r="F484" s="7"/>
      <c r="G484" s="6"/>
      <c r="H484" s="6"/>
      <c r="I484" s="7"/>
      <c r="J484" s="6"/>
      <c r="K484" s="7"/>
      <c r="L484" s="6"/>
      <c r="M484" s="6"/>
      <c r="N484" s="7"/>
      <c r="O484" s="6"/>
      <c r="P484" s="6"/>
      <c r="Q484" s="7"/>
      <c r="R484" s="6" t="str">
        <f aca="false">IF(AND($A484="",$B484=""),"",IF(Q484="Complete","Onboarded",IF(OR(M484="Member",M484="Ambassador"),"Sponsored",IF(K484&lt;&gt;"","Follow-Up",IF(I484&lt;&gt;"","Presented",IF(F484&lt;&gt;"","Contacted","New Lead"))))))</f>
        <v/>
      </c>
      <c r="S484" s="6"/>
      <c r="T484" s="6" t="str">
        <f aca="true">IF(MAX(F484,I484,K484)=0,"",TODAY()-MAX(F484,I484,K484))</f>
        <v/>
      </c>
      <c r="U484" s="6"/>
      <c r="V484" s="6"/>
      <c r="W484" s="6" t="str">
        <f aca="false">IF(AND($A484="",$B484=""),"",IF(M484="Ambassador","1 - Ambassador",IF(M484="Member","2 - Member",IF(J484="Completed","3 - Presented",IF(H484&lt;&gt;"","4 - Shared",IF(F484&lt;&gt;"","5 - Contacted","6 - No Activity"))))))</f>
        <v/>
      </c>
      <c r="X484" s="6" t="n">
        <f aca="false">IF(AND($A484="",$B484=""),9999999+(ROW()-4),VALUE(LEFT($W484,1))*10000+(ROW()-4))</f>
        <v>10000479</v>
      </c>
    </row>
    <row r="485" customFormat="false" ht="15" hidden="false" customHeight="true" outlineLevel="0" collapsed="false">
      <c r="A485" s="6"/>
      <c r="B485" s="6"/>
      <c r="C485" s="6"/>
      <c r="D485" s="6"/>
      <c r="E485" s="6"/>
      <c r="F485" s="7"/>
      <c r="G485" s="6"/>
      <c r="H485" s="6"/>
      <c r="I485" s="7"/>
      <c r="J485" s="6"/>
      <c r="K485" s="7"/>
      <c r="L485" s="6"/>
      <c r="M485" s="6"/>
      <c r="N485" s="7"/>
      <c r="O485" s="6"/>
      <c r="P485" s="6"/>
      <c r="Q485" s="7"/>
      <c r="R485" s="6" t="str">
        <f aca="false">IF(AND($A485="",$B485=""),"",IF(Q485="Complete","Onboarded",IF(OR(M485="Member",M485="Ambassador"),"Sponsored",IF(K485&lt;&gt;"","Follow-Up",IF(I485&lt;&gt;"","Presented",IF(F485&lt;&gt;"","Contacted","New Lead"))))))</f>
        <v/>
      </c>
      <c r="S485" s="6"/>
      <c r="T485" s="6" t="str">
        <f aca="true">IF(MAX(F485,I485,K485)=0,"",TODAY()-MAX(F485,I485,K485))</f>
        <v/>
      </c>
      <c r="U485" s="6"/>
      <c r="V485" s="6"/>
      <c r="W485" s="6" t="str">
        <f aca="false">IF(AND($A485="",$B485=""),"",IF(M485="Ambassador","1 - Ambassador",IF(M485="Member","2 - Member",IF(J485="Completed","3 - Presented",IF(H485&lt;&gt;"","4 - Shared",IF(F485&lt;&gt;"","5 - Contacted","6 - No Activity"))))))</f>
        <v/>
      </c>
      <c r="X485" s="6" t="n">
        <f aca="false">IF(AND($A485="",$B485=""),9999999+(ROW()-4),VALUE(LEFT($W485,1))*10000+(ROW()-4))</f>
        <v>10000480</v>
      </c>
    </row>
    <row r="486" customFormat="false" ht="15" hidden="false" customHeight="true" outlineLevel="0" collapsed="false">
      <c r="A486" s="6"/>
      <c r="B486" s="6"/>
      <c r="C486" s="6"/>
      <c r="D486" s="6"/>
      <c r="E486" s="6"/>
      <c r="F486" s="7"/>
      <c r="G486" s="6"/>
      <c r="H486" s="6"/>
      <c r="I486" s="7"/>
      <c r="J486" s="6"/>
      <c r="K486" s="7"/>
      <c r="L486" s="6"/>
      <c r="M486" s="6"/>
      <c r="N486" s="7"/>
      <c r="O486" s="6"/>
      <c r="P486" s="6"/>
      <c r="Q486" s="7"/>
      <c r="R486" s="6" t="str">
        <f aca="false">IF(AND($A486="",$B486=""),"",IF(Q486="Complete","Onboarded",IF(OR(M486="Member",M486="Ambassador"),"Sponsored",IF(K486&lt;&gt;"","Follow-Up",IF(I486&lt;&gt;"","Presented",IF(F486&lt;&gt;"","Contacted","New Lead"))))))</f>
        <v/>
      </c>
      <c r="S486" s="6"/>
      <c r="T486" s="6" t="str">
        <f aca="true">IF(MAX(F486,I486,K486)=0,"",TODAY()-MAX(F486,I486,K486))</f>
        <v/>
      </c>
      <c r="U486" s="6"/>
      <c r="V486" s="6"/>
      <c r="W486" s="6" t="str">
        <f aca="false">IF(AND($A486="",$B486=""),"",IF(M486="Ambassador","1 - Ambassador",IF(M486="Member","2 - Member",IF(J486="Completed","3 - Presented",IF(H486&lt;&gt;"","4 - Shared",IF(F486&lt;&gt;"","5 - Contacted","6 - No Activity"))))))</f>
        <v/>
      </c>
      <c r="X486" s="6" t="n">
        <f aca="false">IF(AND($A486="",$B486=""),9999999+(ROW()-4),VALUE(LEFT($W486,1))*10000+(ROW()-4))</f>
        <v>10000481</v>
      </c>
    </row>
    <row r="487" customFormat="false" ht="15" hidden="false" customHeight="true" outlineLevel="0" collapsed="false">
      <c r="A487" s="6"/>
      <c r="B487" s="6"/>
      <c r="C487" s="6"/>
      <c r="D487" s="6"/>
      <c r="E487" s="6"/>
      <c r="F487" s="7"/>
      <c r="G487" s="6"/>
      <c r="H487" s="6"/>
      <c r="I487" s="7"/>
      <c r="J487" s="6"/>
      <c r="K487" s="7"/>
      <c r="L487" s="6"/>
      <c r="M487" s="6"/>
      <c r="N487" s="7"/>
      <c r="O487" s="6"/>
      <c r="P487" s="6"/>
      <c r="Q487" s="7"/>
      <c r="R487" s="6" t="str">
        <f aca="false">IF(AND($A487="",$B487=""),"",IF(Q487="Complete","Onboarded",IF(OR(M487="Member",M487="Ambassador"),"Sponsored",IF(K487&lt;&gt;"","Follow-Up",IF(I487&lt;&gt;"","Presented",IF(F487&lt;&gt;"","Contacted","New Lead"))))))</f>
        <v/>
      </c>
      <c r="S487" s="6"/>
      <c r="T487" s="6" t="str">
        <f aca="true">IF(MAX(F487,I487,K487)=0,"",TODAY()-MAX(F487,I487,K487))</f>
        <v/>
      </c>
      <c r="U487" s="6"/>
      <c r="V487" s="6"/>
      <c r="W487" s="6" t="str">
        <f aca="false">IF(AND($A487="",$B487=""),"",IF(M487="Ambassador","1 - Ambassador",IF(M487="Member","2 - Member",IF(J487="Completed","3 - Presented",IF(H487&lt;&gt;"","4 - Shared",IF(F487&lt;&gt;"","5 - Contacted","6 - No Activity"))))))</f>
        <v/>
      </c>
      <c r="X487" s="6" t="n">
        <f aca="false">IF(AND($A487="",$B487=""),9999999+(ROW()-4),VALUE(LEFT($W487,1))*10000+(ROW()-4))</f>
        <v>10000482</v>
      </c>
    </row>
    <row r="488" customFormat="false" ht="15" hidden="false" customHeight="true" outlineLevel="0" collapsed="false">
      <c r="A488" s="6"/>
      <c r="B488" s="6"/>
      <c r="C488" s="6"/>
      <c r="D488" s="6"/>
      <c r="E488" s="6"/>
      <c r="F488" s="7"/>
      <c r="G488" s="6"/>
      <c r="H488" s="6"/>
      <c r="I488" s="7"/>
      <c r="J488" s="6"/>
      <c r="K488" s="7"/>
      <c r="L488" s="6"/>
      <c r="M488" s="6"/>
      <c r="N488" s="7"/>
      <c r="O488" s="6"/>
      <c r="P488" s="6"/>
      <c r="Q488" s="7"/>
      <c r="R488" s="6" t="str">
        <f aca="false">IF(AND($A488="",$B488=""),"",IF(Q488="Complete","Onboarded",IF(OR(M488="Member",M488="Ambassador"),"Sponsored",IF(K488&lt;&gt;"","Follow-Up",IF(I488&lt;&gt;"","Presented",IF(F488&lt;&gt;"","Contacted","New Lead"))))))</f>
        <v/>
      </c>
      <c r="S488" s="6"/>
      <c r="T488" s="6" t="str">
        <f aca="true">IF(MAX(F488,I488,K488)=0,"",TODAY()-MAX(F488,I488,K488))</f>
        <v/>
      </c>
      <c r="U488" s="6"/>
      <c r="V488" s="6"/>
      <c r="W488" s="6" t="str">
        <f aca="false">IF(AND($A488="",$B488=""),"",IF(M488="Ambassador","1 - Ambassador",IF(M488="Member","2 - Member",IF(J488="Completed","3 - Presented",IF(H488&lt;&gt;"","4 - Shared",IF(F488&lt;&gt;"","5 - Contacted","6 - No Activity"))))))</f>
        <v/>
      </c>
      <c r="X488" s="6" t="n">
        <f aca="false">IF(AND($A488="",$B488=""),9999999+(ROW()-4),VALUE(LEFT($W488,1))*10000+(ROW()-4))</f>
        <v>10000483</v>
      </c>
    </row>
    <row r="489" customFormat="false" ht="15" hidden="false" customHeight="true" outlineLevel="0" collapsed="false">
      <c r="A489" s="6"/>
      <c r="B489" s="6"/>
      <c r="C489" s="6"/>
      <c r="D489" s="6"/>
      <c r="E489" s="6"/>
      <c r="F489" s="7"/>
      <c r="G489" s="6"/>
      <c r="H489" s="6"/>
      <c r="I489" s="7"/>
      <c r="J489" s="6"/>
      <c r="K489" s="7"/>
      <c r="L489" s="6"/>
      <c r="M489" s="6"/>
      <c r="N489" s="7"/>
      <c r="O489" s="6"/>
      <c r="P489" s="6"/>
      <c r="Q489" s="7"/>
      <c r="R489" s="6" t="str">
        <f aca="false">IF(AND($A489="",$B489=""),"",IF(Q489="Complete","Onboarded",IF(OR(M489="Member",M489="Ambassador"),"Sponsored",IF(K489&lt;&gt;"","Follow-Up",IF(I489&lt;&gt;"","Presented",IF(F489&lt;&gt;"","Contacted","New Lead"))))))</f>
        <v/>
      </c>
      <c r="S489" s="6"/>
      <c r="T489" s="6" t="str">
        <f aca="true">IF(MAX(F489,I489,K489)=0,"",TODAY()-MAX(F489,I489,K489))</f>
        <v/>
      </c>
      <c r="U489" s="6"/>
      <c r="V489" s="6"/>
      <c r="W489" s="6" t="str">
        <f aca="false">IF(AND($A489="",$B489=""),"",IF(M489="Ambassador","1 - Ambassador",IF(M489="Member","2 - Member",IF(J489="Completed","3 - Presented",IF(H489&lt;&gt;"","4 - Shared",IF(F489&lt;&gt;"","5 - Contacted","6 - No Activity"))))))</f>
        <v/>
      </c>
      <c r="X489" s="6" t="n">
        <f aca="false">IF(AND($A489="",$B489=""),9999999+(ROW()-4),VALUE(LEFT($W489,1))*10000+(ROW()-4))</f>
        <v>10000484</v>
      </c>
    </row>
    <row r="490" customFormat="false" ht="15" hidden="false" customHeight="true" outlineLevel="0" collapsed="false">
      <c r="A490" s="6"/>
      <c r="B490" s="6"/>
      <c r="C490" s="6"/>
      <c r="D490" s="6"/>
      <c r="E490" s="6"/>
      <c r="F490" s="7"/>
      <c r="G490" s="6"/>
      <c r="H490" s="6"/>
      <c r="I490" s="7"/>
      <c r="J490" s="6"/>
      <c r="K490" s="7"/>
      <c r="L490" s="6"/>
      <c r="M490" s="6"/>
      <c r="N490" s="7"/>
      <c r="O490" s="6"/>
      <c r="P490" s="6"/>
      <c r="Q490" s="7"/>
      <c r="R490" s="6" t="str">
        <f aca="false">IF(AND($A490="",$B490=""),"",IF(Q490="Complete","Onboarded",IF(OR(M490="Member",M490="Ambassador"),"Sponsored",IF(K490&lt;&gt;"","Follow-Up",IF(I490&lt;&gt;"","Presented",IF(F490&lt;&gt;"","Contacted","New Lead"))))))</f>
        <v/>
      </c>
      <c r="S490" s="6"/>
      <c r="T490" s="6" t="str">
        <f aca="true">IF(MAX(F490,I490,K490)=0,"",TODAY()-MAX(F490,I490,K490))</f>
        <v/>
      </c>
      <c r="U490" s="6"/>
      <c r="V490" s="6"/>
      <c r="W490" s="6" t="str">
        <f aca="false">IF(AND($A490="",$B490=""),"",IF(M490="Ambassador","1 - Ambassador",IF(M490="Member","2 - Member",IF(J490="Completed","3 - Presented",IF(H490&lt;&gt;"","4 - Shared",IF(F490&lt;&gt;"","5 - Contacted","6 - No Activity"))))))</f>
        <v/>
      </c>
      <c r="X490" s="6" t="n">
        <f aca="false">IF(AND($A490="",$B490=""),9999999+(ROW()-4),VALUE(LEFT($W490,1))*10000+(ROW()-4))</f>
        <v>10000485</v>
      </c>
    </row>
    <row r="491" customFormat="false" ht="15" hidden="false" customHeight="true" outlineLevel="0" collapsed="false">
      <c r="A491" s="6"/>
      <c r="B491" s="6"/>
      <c r="C491" s="6"/>
      <c r="D491" s="6"/>
      <c r="E491" s="6"/>
      <c r="F491" s="7"/>
      <c r="G491" s="6"/>
      <c r="H491" s="6"/>
      <c r="I491" s="7"/>
      <c r="J491" s="6"/>
      <c r="K491" s="7"/>
      <c r="L491" s="6"/>
      <c r="M491" s="6"/>
      <c r="N491" s="7"/>
      <c r="O491" s="6"/>
      <c r="P491" s="6"/>
      <c r="Q491" s="7"/>
      <c r="R491" s="6" t="str">
        <f aca="false">IF(AND($A491="",$B491=""),"",IF(Q491="Complete","Onboarded",IF(OR(M491="Member",M491="Ambassador"),"Sponsored",IF(K491&lt;&gt;"","Follow-Up",IF(I491&lt;&gt;"","Presented",IF(F491&lt;&gt;"","Contacted","New Lead"))))))</f>
        <v/>
      </c>
      <c r="S491" s="6"/>
      <c r="T491" s="6" t="str">
        <f aca="true">IF(MAX(F491,I491,K491)=0,"",TODAY()-MAX(F491,I491,K491))</f>
        <v/>
      </c>
      <c r="U491" s="6"/>
      <c r="V491" s="6"/>
      <c r="W491" s="6" t="str">
        <f aca="false">IF(AND($A491="",$B491=""),"",IF(M491="Ambassador","1 - Ambassador",IF(M491="Member","2 - Member",IF(J491="Completed","3 - Presented",IF(H491&lt;&gt;"","4 - Shared",IF(F491&lt;&gt;"","5 - Contacted","6 - No Activity"))))))</f>
        <v/>
      </c>
      <c r="X491" s="6" t="n">
        <f aca="false">IF(AND($A491="",$B491=""),9999999+(ROW()-4),VALUE(LEFT($W491,1))*10000+(ROW()-4))</f>
        <v>10000486</v>
      </c>
    </row>
    <row r="492" customFormat="false" ht="15" hidden="false" customHeight="true" outlineLevel="0" collapsed="false">
      <c r="A492" s="6"/>
      <c r="B492" s="6"/>
      <c r="C492" s="6"/>
      <c r="D492" s="6"/>
      <c r="E492" s="6"/>
      <c r="F492" s="7"/>
      <c r="G492" s="6"/>
      <c r="H492" s="6"/>
      <c r="I492" s="7"/>
      <c r="J492" s="6"/>
      <c r="K492" s="7"/>
      <c r="L492" s="6"/>
      <c r="M492" s="6"/>
      <c r="N492" s="7"/>
      <c r="O492" s="6"/>
      <c r="P492" s="6"/>
      <c r="Q492" s="7"/>
      <c r="R492" s="6" t="str">
        <f aca="false">IF(AND($A492="",$B492=""),"",IF(Q492="Complete","Onboarded",IF(OR(M492="Member",M492="Ambassador"),"Sponsored",IF(K492&lt;&gt;"","Follow-Up",IF(I492&lt;&gt;"","Presented",IF(F492&lt;&gt;"","Contacted","New Lead"))))))</f>
        <v/>
      </c>
      <c r="S492" s="6"/>
      <c r="T492" s="6" t="str">
        <f aca="true">IF(MAX(F492,I492,K492)=0,"",TODAY()-MAX(F492,I492,K492))</f>
        <v/>
      </c>
      <c r="U492" s="6"/>
      <c r="V492" s="6"/>
      <c r="W492" s="6" t="str">
        <f aca="false">IF(AND($A492="",$B492=""),"",IF(M492="Ambassador","1 - Ambassador",IF(M492="Member","2 - Member",IF(J492="Completed","3 - Presented",IF(H492&lt;&gt;"","4 - Shared",IF(F492&lt;&gt;"","5 - Contacted","6 - No Activity"))))))</f>
        <v/>
      </c>
      <c r="X492" s="6" t="n">
        <f aca="false">IF(AND($A492="",$B492=""),9999999+(ROW()-4),VALUE(LEFT($W492,1))*10000+(ROW()-4))</f>
        <v>10000487</v>
      </c>
    </row>
    <row r="493" customFormat="false" ht="15" hidden="false" customHeight="true" outlineLevel="0" collapsed="false">
      <c r="A493" s="6"/>
      <c r="B493" s="6"/>
      <c r="C493" s="6"/>
      <c r="D493" s="6"/>
      <c r="E493" s="6"/>
      <c r="F493" s="7"/>
      <c r="G493" s="6"/>
      <c r="H493" s="6"/>
      <c r="I493" s="7"/>
      <c r="J493" s="6"/>
      <c r="K493" s="7"/>
      <c r="L493" s="6"/>
      <c r="M493" s="6"/>
      <c r="N493" s="7"/>
      <c r="O493" s="6"/>
      <c r="P493" s="6"/>
      <c r="Q493" s="7"/>
      <c r="R493" s="6" t="str">
        <f aca="false">IF(AND($A493="",$B493=""),"",IF(Q493="Complete","Onboarded",IF(OR(M493="Member",M493="Ambassador"),"Sponsored",IF(K493&lt;&gt;"","Follow-Up",IF(I493&lt;&gt;"","Presented",IF(F493&lt;&gt;"","Contacted","New Lead"))))))</f>
        <v/>
      </c>
      <c r="S493" s="6"/>
      <c r="T493" s="6" t="str">
        <f aca="true">IF(MAX(F493,I493,K493)=0,"",TODAY()-MAX(F493,I493,K493))</f>
        <v/>
      </c>
      <c r="U493" s="6"/>
      <c r="V493" s="6"/>
      <c r="W493" s="6" t="str">
        <f aca="false">IF(AND($A493="",$B493=""),"",IF(M493="Ambassador","1 - Ambassador",IF(M493="Member","2 - Member",IF(J493="Completed","3 - Presented",IF(H493&lt;&gt;"","4 - Shared",IF(F493&lt;&gt;"","5 - Contacted","6 - No Activity"))))))</f>
        <v/>
      </c>
      <c r="X493" s="6" t="n">
        <f aca="false">IF(AND($A493="",$B493=""),9999999+(ROW()-4),VALUE(LEFT($W493,1))*10000+(ROW()-4))</f>
        <v>10000488</v>
      </c>
    </row>
    <row r="494" customFormat="false" ht="15" hidden="false" customHeight="true" outlineLevel="0" collapsed="false">
      <c r="A494" s="6"/>
      <c r="B494" s="6"/>
      <c r="C494" s="6"/>
      <c r="D494" s="6"/>
      <c r="E494" s="6"/>
      <c r="F494" s="7"/>
      <c r="G494" s="6"/>
      <c r="H494" s="6"/>
      <c r="I494" s="7"/>
      <c r="J494" s="6"/>
      <c r="K494" s="7"/>
      <c r="L494" s="6"/>
      <c r="M494" s="6"/>
      <c r="N494" s="7"/>
      <c r="O494" s="6"/>
      <c r="P494" s="6"/>
      <c r="Q494" s="7"/>
      <c r="R494" s="6" t="str">
        <f aca="false">IF(AND($A494="",$B494=""),"",IF(Q494="Complete","Onboarded",IF(OR(M494="Member",M494="Ambassador"),"Sponsored",IF(K494&lt;&gt;"","Follow-Up",IF(I494&lt;&gt;"","Presented",IF(F494&lt;&gt;"","Contacted","New Lead"))))))</f>
        <v/>
      </c>
      <c r="S494" s="6"/>
      <c r="T494" s="6" t="str">
        <f aca="true">IF(MAX(F494,I494,K494)=0,"",TODAY()-MAX(F494,I494,K494))</f>
        <v/>
      </c>
      <c r="U494" s="6"/>
      <c r="V494" s="6"/>
      <c r="W494" s="6" t="str">
        <f aca="false">IF(AND($A494="",$B494=""),"",IF(M494="Ambassador","1 - Ambassador",IF(M494="Member","2 - Member",IF(J494="Completed","3 - Presented",IF(H494&lt;&gt;"","4 - Shared",IF(F494&lt;&gt;"","5 - Contacted","6 - No Activity"))))))</f>
        <v/>
      </c>
      <c r="X494" s="6" t="n">
        <f aca="false">IF(AND($A494="",$B494=""),9999999+(ROW()-4),VALUE(LEFT($W494,1))*10000+(ROW()-4))</f>
        <v>10000489</v>
      </c>
    </row>
    <row r="495" customFormat="false" ht="15" hidden="false" customHeight="true" outlineLevel="0" collapsed="false">
      <c r="A495" s="6"/>
      <c r="B495" s="6"/>
      <c r="C495" s="6"/>
      <c r="D495" s="6"/>
      <c r="E495" s="6"/>
      <c r="F495" s="7"/>
      <c r="G495" s="6"/>
      <c r="H495" s="6"/>
      <c r="I495" s="7"/>
      <c r="J495" s="6"/>
      <c r="K495" s="7"/>
      <c r="L495" s="6"/>
      <c r="M495" s="6"/>
      <c r="N495" s="7"/>
      <c r="O495" s="6"/>
      <c r="P495" s="6"/>
      <c r="Q495" s="7"/>
      <c r="R495" s="6" t="str">
        <f aca="false">IF(AND($A495="",$B495=""),"",IF(Q495="Complete","Onboarded",IF(OR(M495="Member",M495="Ambassador"),"Sponsored",IF(K495&lt;&gt;"","Follow-Up",IF(I495&lt;&gt;"","Presented",IF(F495&lt;&gt;"","Contacted","New Lead"))))))</f>
        <v/>
      </c>
      <c r="S495" s="6"/>
      <c r="T495" s="6" t="str">
        <f aca="true">IF(MAX(F495,I495,K495)=0,"",TODAY()-MAX(F495,I495,K495))</f>
        <v/>
      </c>
      <c r="U495" s="6"/>
      <c r="V495" s="6"/>
      <c r="W495" s="6" t="str">
        <f aca="false">IF(AND($A495="",$B495=""),"",IF(M495="Ambassador","1 - Ambassador",IF(M495="Member","2 - Member",IF(J495="Completed","3 - Presented",IF(H495&lt;&gt;"","4 - Shared",IF(F495&lt;&gt;"","5 - Contacted","6 - No Activity"))))))</f>
        <v/>
      </c>
      <c r="X495" s="6" t="n">
        <f aca="false">IF(AND($A495="",$B495=""),9999999+(ROW()-4),VALUE(LEFT($W495,1))*10000+(ROW()-4))</f>
        <v>10000490</v>
      </c>
    </row>
    <row r="496" customFormat="false" ht="15" hidden="false" customHeight="true" outlineLevel="0" collapsed="false">
      <c r="A496" s="6"/>
      <c r="B496" s="6"/>
      <c r="C496" s="6"/>
      <c r="D496" s="6"/>
      <c r="E496" s="6"/>
      <c r="F496" s="7"/>
      <c r="G496" s="6"/>
      <c r="H496" s="6"/>
      <c r="I496" s="7"/>
      <c r="J496" s="6"/>
      <c r="K496" s="7"/>
      <c r="L496" s="6"/>
      <c r="M496" s="6"/>
      <c r="N496" s="7"/>
      <c r="O496" s="6"/>
      <c r="P496" s="6"/>
      <c r="Q496" s="7"/>
      <c r="R496" s="6" t="str">
        <f aca="false">IF(AND($A496="",$B496=""),"",IF(Q496="Complete","Onboarded",IF(OR(M496="Member",M496="Ambassador"),"Sponsored",IF(K496&lt;&gt;"","Follow-Up",IF(I496&lt;&gt;"","Presented",IF(F496&lt;&gt;"","Contacted","New Lead"))))))</f>
        <v/>
      </c>
      <c r="S496" s="6"/>
      <c r="T496" s="6" t="str">
        <f aca="true">IF(MAX(F496,I496,K496)=0,"",TODAY()-MAX(F496,I496,K496))</f>
        <v/>
      </c>
      <c r="U496" s="6"/>
      <c r="V496" s="6"/>
      <c r="W496" s="6" t="str">
        <f aca="false">IF(AND($A496="",$B496=""),"",IF(M496="Ambassador","1 - Ambassador",IF(M496="Member","2 - Member",IF(J496="Completed","3 - Presented",IF(H496&lt;&gt;"","4 - Shared",IF(F496&lt;&gt;"","5 - Contacted","6 - No Activity"))))))</f>
        <v/>
      </c>
      <c r="X496" s="6" t="n">
        <f aca="false">IF(AND($A496="",$B496=""),9999999+(ROW()-4),VALUE(LEFT($W496,1))*10000+(ROW()-4))</f>
        <v>10000491</v>
      </c>
    </row>
    <row r="497" customFormat="false" ht="15" hidden="false" customHeight="true" outlineLevel="0" collapsed="false">
      <c r="A497" s="6"/>
      <c r="B497" s="6"/>
      <c r="C497" s="6"/>
      <c r="D497" s="6"/>
      <c r="E497" s="6"/>
      <c r="F497" s="7"/>
      <c r="G497" s="6"/>
      <c r="H497" s="6"/>
      <c r="I497" s="7"/>
      <c r="J497" s="6"/>
      <c r="K497" s="7"/>
      <c r="L497" s="6"/>
      <c r="M497" s="6"/>
      <c r="N497" s="7"/>
      <c r="O497" s="6"/>
      <c r="P497" s="6"/>
      <c r="Q497" s="7"/>
      <c r="R497" s="6" t="str">
        <f aca="false">IF(AND($A497="",$B497=""),"",IF(Q497="Complete","Onboarded",IF(OR(M497="Member",M497="Ambassador"),"Sponsored",IF(K497&lt;&gt;"","Follow-Up",IF(I497&lt;&gt;"","Presented",IF(F497&lt;&gt;"","Contacted","New Lead"))))))</f>
        <v/>
      </c>
      <c r="S497" s="6"/>
      <c r="T497" s="6" t="str">
        <f aca="true">IF(MAX(F497,I497,K497)=0,"",TODAY()-MAX(F497,I497,K497))</f>
        <v/>
      </c>
      <c r="U497" s="6"/>
      <c r="V497" s="6"/>
      <c r="W497" s="6" t="str">
        <f aca="false">IF(AND($A497="",$B497=""),"",IF(M497="Ambassador","1 - Ambassador",IF(M497="Member","2 - Member",IF(J497="Completed","3 - Presented",IF(H497&lt;&gt;"","4 - Shared",IF(F497&lt;&gt;"","5 - Contacted","6 - No Activity"))))))</f>
        <v/>
      </c>
      <c r="X497" s="6" t="n">
        <f aca="false">IF(AND($A497="",$B497=""),9999999+(ROW()-4),VALUE(LEFT($W497,1))*10000+(ROW()-4))</f>
        <v>10000492</v>
      </c>
    </row>
    <row r="498" customFormat="false" ht="15" hidden="false" customHeight="true" outlineLevel="0" collapsed="false">
      <c r="A498" s="6"/>
      <c r="B498" s="6"/>
      <c r="C498" s="6"/>
      <c r="D498" s="6"/>
      <c r="E498" s="6"/>
      <c r="F498" s="7"/>
      <c r="G498" s="6"/>
      <c r="H498" s="6"/>
      <c r="I498" s="7"/>
      <c r="J498" s="6"/>
      <c r="K498" s="7"/>
      <c r="L498" s="6"/>
      <c r="M498" s="6"/>
      <c r="N498" s="7"/>
      <c r="O498" s="6"/>
      <c r="P498" s="6"/>
      <c r="Q498" s="7"/>
      <c r="R498" s="6" t="str">
        <f aca="false">IF(AND($A498="",$B498=""),"",IF(Q498="Complete","Onboarded",IF(OR(M498="Member",M498="Ambassador"),"Sponsored",IF(K498&lt;&gt;"","Follow-Up",IF(I498&lt;&gt;"","Presented",IF(F498&lt;&gt;"","Contacted","New Lead"))))))</f>
        <v/>
      </c>
      <c r="S498" s="6"/>
      <c r="T498" s="6" t="str">
        <f aca="true">IF(MAX(F498,I498,K498)=0,"",TODAY()-MAX(F498,I498,K498))</f>
        <v/>
      </c>
      <c r="U498" s="6"/>
      <c r="V498" s="6"/>
      <c r="W498" s="6" t="str">
        <f aca="false">IF(AND($A498="",$B498=""),"",IF(M498="Ambassador","1 - Ambassador",IF(M498="Member","2 - Member",IF(J498="Completed","3 - Presented",IF(H498&lt;&gt;"","4 - Shared",IF(F498&lt;&gt;"","5 - Contacted","6 - No Activity"))))))</f>
        <v/>
      </c>
      <c r="X498" s="6" t="n">
        <f aca="false">IF(AND($A498="",$B498=""),9999999+(ROW()-4),VALUE(LEFT($W498,1))*10000+(ROW()-4))</f>
        <v>10000493</v>
      </c>
    </row>
    <row r="499" customFormat="false" ht="15" hidden="false" customHeight="true" outlineLevel="0" collapsed="false">
      <c r="A499" s="6"/>
      <c r="B499" s="6"/>
      <c r="C499" s="6"/>
      <c r="D499" s="6"/>
      <c r="E499" s="6"/>
      <c r="F499" s="7"/>
      <c r="G499" s="6"/>
      <c r="H499" s="6"/>
      <c r="I499" s="7"/>
      <c r="J499" s="6"/>
      <c r="K499" s="7"/>
      <c r="L499" s="6"/>
      <c r="M499" s="6"/>
      <c r="N499" s="7"/>
      <c r="O499" s="6"/>
      <c r="P499" s="6"/>
      <c r="Q499" s="7"/>
      <c r="R499" s="6" t="str">
        <f aca="false">IF(AND($A499="",$B499=""),"",IF(Q499="Complete","Onboarded",IF(OR(M499="Member",M499="Ambassador"),"Sponsored",IF(K499&lt;&gt;"","Follow-Up",IF(I499&lt;&gt;"","Presented",IF(F499&lt;&gt;"","Contacted","New Lead"))))))</f>
        <v/>
      </c>
      <c r="S499" s="6"/>
      <c r="T499" s="6" t="str">
        <f aca="true">IF(MAX(F499,I499,K499)=0,"",TODAY()-MAX(F499,I499,K499))</f>
        <v/>
      </c>
      <c r="U499" s="6"/>
      <c r="V499" s="6"/>
      <c r="W499" s="6" t="str">
        <f aca="false">IF(AND($A499="",$B499=""),"",IF(M499="Ambassador","1 - Ambassador",IF(M499="Member","2 - Member",IF(J499="Completed","3 - Presented",IF(H499&lt;&gt;"","4 - Shared",IF(F499&lt;&gt;"","5 - Contacted","6 - No Activity"))))))</f>
        <v/>
      </c>
      <c r="X499" s="6" t="n">
        <f aca="false">IF(AND($A499="",$B499=""),9999999+(ROW()-4),VALUE(LEFT($W499,1))*10000+(ROW()-4))</f>
        <v>10000494</v>
      </c>
    </row>
    <row r="500" customFormat="false" ht="15" hidden="false" customHeight="true" outlineLevel="0" collapsed="false">
      <c r="A500" s="6"/>
      <c r="B500" s="6"/>
      <c r="C500" s="6"/>
      <c r="D500" s="6"/>
      <c r="E500" s="6"/>
      <c r="F500" s="7"/>
      <c r="G500" s="6"/>
      <c r="H500" s="6"/>
      <c r="I500" s="7"/>
      <c r="J500" s="6"/>
      <c r="K500" s="7"/>
      <c r="L500" s="6"/>
      <c r="M500" s="6"/>
      <c r="N500" s="7"/>
      <c r="O500" s="6"/>
      <c r="P500" s="6"/>
      <c r="Q500" s="7"/>
      <c r="R500" s="6" t="str">
        <f aca="false">IF(AND($A500="",$B500=""),"",IF(Q500="Complete","Onboarded",IF(OR(M500="Member",M500="Ambassador"),"Sponsored",IF(K500&lt;&gt;"","Follow-Up",IF(I500&lt;&gt;"","Presented",IF(F500&lt;&gt;"","Contacted","New Lead"))))))</f>
        <v/>
      </c>
      <c r="S500" s="6"/>
      <c r="T500" s="6" t="str">
        <f aca="true">IF(MAX(F500,I500,K500)=0,"",TODAY()-MAX(F500,I500,K500))</f>
        <v/>
      </c>
      <c r="U500" s="6"/>
      <c r="V500" s="6"/>
      <c r="W500" s="6" t="str">
        <f aca="false">IF(AND($A500="",$B500=""),"",IF(M500="Ambassador","1 - Ambassador",IF(M500="Member","2 - Member",IF(J500="Completed","3 - Presented",IF(H500&lt;&gt;"","4 - Shared",IF(F500&lt;&gt;"","5 - Contacted","6 - No Activity"))))))</f>
        <v/>
      </c>
      <c r="X500" s="6" t="n">
        <f aca="false">IF(AND($A500="",$B500=""),9999999+(ROW()-4),VALUE(LEFT($W500,1))*10000+(ROW()-4))</f>
        <v>10000495</v>
      </c>
    </row>
    <row r="501" customFormat="false" ht="15" hidden="false" customHeight="true" outlineLevel="0" collapsed="false">
      <c r="A501" s="6"/>
      <c r="B501" s="6"/>
      <c r="C501" s="6"/>
      <c r="D501" s="6"/>
      <c r="E501" s="6"/>
      <c r="F501" s="7"/>
      <c r="G501" s="6"/>
      <c r="H501" s="6"/>
      <c r="I501" s="7"/>
      <c r="J501" s="6"/>
      <c r="K501" s="7"/>
      <c r="L501" s="6"/>
      <c r="M501" s="6"/>
      <c r="N501" s="7"/>
      <c r="O501" s="6"/>
      <c r="P501" s="6"/>
      <c r="Q501" s="7"/>
      <c r="R501" s="6" t="str">
        <f aca="false">IF(AND($A501="",$B501=""),"",IF(Q501="Complete","Onboarded",IF(OR(M501="Member",M501="Ambassador"),"Sponsored",IF(K501&lt;&gt;"","Follow-Up",IF(I501&lt;&gt;"","Presented",IF(F501&lt;&gt;"","Contacted","New Lead"))))))</f>
        <v/>
      </c>
      <c r="S501" s="6"/>
      <c r="T501" s="6" t="str">
        <f aca="true">IF(MAX(F501,I501,K501)=0,"",TODAY()-MAX(F501,I501,K501))</f>
        <v/>
      </c>
      <c r="U501" s="6"/>
      <c r="V501" s="6"/>
      <c r="W501" s="6" t="str">
        <f aca="false">IF(AND($A501="",$B501=""),"",IF(M501="Ambassador","1 - Ambassador",IF(M501="Member","2 - Member",IF(J501="Completed","3 - Presented",IF(H501&lt;&gt;"","4 - Shared",IF(F501&lt;&gt;"","5 - Contacted","6 - No Activity"))))))</f>
        <v/>
      </c>
      <c r="X501" s="6" t="n">
        <f aca="false">IF(AND($A501="",$B501=""),9999999+(ROW()-4),VALUE(LEFT($W501,1))*10000+(ROW()-4))</f>
        <v>10000496</v>
      </c>
    </row>
    <row r="502" customFormat="false" ht="15" hidden="false" customHeight="true" outlineLevel="0" collapsed="false">
      <c r="A502" s="6"/>
      <c r="B502" s="6"/>
      <c r="C502" s="6"/>
      <c r="D502" s="6"/>
      <c r="E502" s="6"/>
      <c r="F502" s="7"/>
      <c r="G502" s="6"/>
      <c r="H502" s="6"/>
      <c r="I502" s="7"/>
      <c r="J502" s="6"/>
      <c r="K502" s="7"/>
      <c r="L502" s="6"/>
      <c r="M502" s="6"/>
      <c r="N502" s="7"/>
      <c r="O502" s="6"/>
      <c r="P502" s="6"/>
      <c r="Q502" s="7"/>
      <c r="R502" s="6" t="str">
        <f aca="false">IF(AND($A502="",$B502=""),"",IF(Q502="Complete","Onboarded",IF(OR(M502="Member",M502="Ambassador"),"Sponsored",IF(K502&lt;&gt;"","Follow-Up",IF(I502&lt;&gt;"","Presented",IF(F502&lt;&gt;"","Contacted","New Lead"))))))</f>
        <v/>
      </c>
      <c r="S502" s="6"/>
      <c r="T502" s="6" t="str">
        <f aca="true">IF(MAX(F502,I502,K502)=0,"",TODAY()-MAX(F502,I502,K502))</f>
        <v/>
      </c>
      <c r="U502" s="6"/>
      <c r="V502" s="6"/>
      <c r="W502" s="6" t="str">
        <f aca="false">IF(AND($A502="",$B502=""),"",IF(M502="Ambassador","1 - Ambassador",IF(M502="Member","2 - Member",IF(J502="Completed","3 - Presented",IF(H502&lt;&gt;"","4 - Shared",IF(F502&lt;&gt;"","5 - Contacted","6 - No Activity"))))))</f>
        <v/>
      </c>
      <c r="X502" s="6" t="n">
        <f aca="false">IF(AND($A502="",$B502=""),9999999+(ROW()-4),VALUE(LEFT($W502,1))*10000+(ROW()-4))</f>
        <v>10000497</v>
      </c>
    </row>
    <row r="503" customFormat="false" ht="15" hidden="false" customHeight="true" outlineLevel="0" collapsed="false">
      <c r="A503" s="6"/>
      <c r="B503" s="6"/>
      <c r="C503" s="6"/>
      <c r="D503" s="6"/>
      <c r="E503" s="6"/>
      <c r="F503" s="7"/>
      <c r="G503" s="6"/>
      <c r="H503" s="6"/>
      <c r="I503" s="7"/>
      <c r="J503" s="6"/>
      <c r="K503" s="7"/>
      <c r="L503" s="6"/>
      <c r="M503" s="6"/>
      <c r="N503" s="7"/>
      <c r="O503" s="6"/>
      <c r="P503" s="6"/>
      <c r="Q503" s="7"/>
      <c r="R503" s="6" t="str">
        <f aca="false">IF(AND($A503="",$B503=""),"",IF(Q503="Complete","Onboarded",IF(OR(M503="Member",M503="Ambassador"),"Sponsored",IF(K503&lt;&gt;"","Follow-Up",IF(I503&lt;&gt;"","Presented",IF(F503&lt;&gt;"","Contacted","New Lead"))))))</f>
        <v/>
      </c>
      <c r="S503" s="6"/>
      <c r="T503" s="6" t="str">
        <f aca="true">IF(MAX(F503,I503,K503)=0,"",TODAY()-MAX(F503,I503,K503))</f>
        <v/>
      </c>
      <c r="U503" s="6"/>
      <c r="V503" s="6"/>
      <c r="W503" s="6" t="str">
        <f aca="false">IF(AND($A503="",$B503=""),"",IF(M503="Ambassador","1 - Ambassador",IF(M503="Member","2 - Member",IF(J503="Completed","3 - Presented",IF(H503&lt;&gt;"","4 - Shared",IF(F503&lt;&gt;"","5 - Contacted","6 - No Activity"))))))</f>
        <v/>
      </c>
      <c r="X503" s="6" t="n">
        <f aca="false">IF(AND($A503="",$B503=""),9999999+(ROW()-4),VALUE(LEFT($W503,1))*10000+(ROW()-4))</f>
        <v>10000498</v>
      </c>
    </row>
    <row r="504" customFormat="false" ht="15" hidden="false" customHeight="true" outlineLevel="0" collapsed="false">
      <c r="A504" s="6"/>
      <c r="B504" s="6"/>
      <c r="C504" s="6"/>
      <c r="D504" s="6"/>
      <c r="E504" s="6"/>
      <c r="F504" s="7"/>
      <c r="G504" s="6"/>
      <c r="H504" s="6"/>
      <c r="I504" s="7"/>
      <c r="J504" s="6"/>
      <c r="K504" s="7"/>
      <c r="L504" s="6"/>
      <c r="M504" s="6"/>
      <c r="N504" s="7"/>
      <c r="O504" s="6"/>
      <c r="P504" s="6"/>
      <c r="Q504" s="7"/>
      <c r="R504" s="6" t="str">
        <f aca="false">IF(AND($A504="",$B504=""),"",IF(Q504="Complete","Onboarded",IF(OR(M504="Member",M504="Ambassador"),"Sponsored",IF(K504&lt;&gt;"","Follow-Up",IF(I504&lt;&gt;"","Presented",IF(F504&lt;&gt;"","Contacted","New Lead"))))))</f>
        <v/>
      </c>
      <c r="S504" s="6"/>
      <c r="T504" s="6" t="str">
        <f aca="true">IF(MAX(F504,I504,K504)=0,"",TODAY()-MAX(F504,I504,K504))</f>
        <v/>
      </c>
      <c r="U504" s="6"/>
      <c r="V504" s="6"/>
      <c r="W504" s="6" t="str">
        <f aca="false">IF(AND($A504="",$B504=""),"",IF(M504="Ambassador","1 - Ambassador",IF(M504="Member","2 - Member",IF(J504="Completed","3 - Presented",IF(H504&lt;&gt;"","4 - Shared",IF(F504&lt;&gt;"","5 - Contacted","6 - No Activity"))))))</f>
        <v/>
      </c>
      <c r="X504" s="6" t="n">
        <f aca="false">IF(AND($A504="",$B504=""),9999999+(ROW()-4),VALUE(LEFT($W504,1))*10000+(ROW()-4))</f>
        <v>10000499</v>
      </c>
    </row>
    <row r="505" customFormat="false" ht="15" hidden="false" customHeight="true" outlineLevel="0" collapsed="false">
      <c r="A505" s="6"/>
      <c r="B505" s="6"/>
      <c r="C505" s="6"/>
      <c r="D505" s="6"/>
      <c r="E505" s="6"/>
      <c r="F505" s="7"/>
      <c r="G505" s="6"/>
      <c r="H505" s="6"/>
      <c r="I505" s="7"/>
      <c r="J505" s="6"/>
      <c r="K505" s="7"/>
      <c r="L505" s="6"/>
      <c r="M505" s="6"/>
      <c r="N505" s="7"/>
      <c r="O505" s="6"/>
      <c r="P505" s="6"/>
      <c r="Q505" s="7"/>
      <c r="R505" s="6" t="str">
        <f aca="false">IF(AND($A505="",$B505=""),"",IF(Q505="Complete","Onboarded",IF(OR(M505="Member",M505="Ambassador"),"Sponsored",IF(K505&lt;&gt;"","Follow-Up",IF(I505&lt;&gt;"","Presented",IF(F505&lt;&gt;"","Contacted","New Lead"))))))</f>
        <v/>
      </c>
      <c r="S505" s="6"/>
      <c r="T505" s="6" t="str">
        <f aca="true">IF(MAX(F505,I505,K505)=0,"",TODAY()-MAX(F505,I505,K505))</f>
        <v/>
      </c>
      <c r="U505" s="6"/>
      <c r="V505" s="6"/>
      <c r="W505" s="6" t="str">
        <f aca="false">IF(AND($A505="",$B505=""),"",IF(M505="Ambassador","1 - Ambassador",IF(M505="Member","2 - Member",IF(J505="Completed","3 - Presented",IF(H505&lt;&gt;"","4 - Shared",IF(F505&lt;&gt;"","5 - Contacted","6 - No Activity"))))))</f>
        <v/>
      </c>
      <c r="X505" s="6" t="n">
        <f aca="false">IF(AND($A505="",$B505=""),9999999+(ROW()-4),VALUE(LEFT($W505,1))*10000+(ROW()-4))</f>
        <v>10000500</v>
      </c>
    </row>
    <row r="506" customFormat="false" ht="15" hidden="false" customHeight="true" outlineLevel="0" collapsed="false">
      <c r="A506" s="6"/>
      <c r="B506" s="6"/>
      <c r="C506" s="6"/>
      <c r="D506" s="6"/>
      <c r="E506" s="6"/>
      <c r="F506" s="7"/>
      <c r="G506" s="6"/>
      <c r="H506" s="6"/>
      <c r="I506" s="7"/>
      <c r="J506" s="6"/>
      <c r="K506" s="7"/>
      <c r="L506" s="6"/>
      <c r="M506" s="6"/>
      <c r="N506" s="7"/>
      <c r="O506" s="6"/>
      <c r="P506" s="6"/>
      <c r="Q506" s="7"/>
      <c r="R506" s="6" t="str">
        <f aca="false">IF(AND($A506="",$B506=""),"",IF(Q506="Complete","Onboarded",IF(OR(M506="Member",M506="Ambassador"),"Sponsored",IF(K506&lt;&gt;"","Follow-Up",IF(I506&lt;&gt;"","Presented",IF(F506&lt;&gt;"","Contacted","New Lead"))))))</f>
        <v/>
      </c>
      <c r="S506" s="6"/>
      <c r="T506" s="6" t="str">
        <f aca="true">IF(MAX(F506,I506,K506)=0,"",TODAY()-MAX(F506,I506,K506))</f>
        <v/>
      </c>
      <c r="U506" s="6"/>
      <c r="V506" s="6"/>
      <c r="W506" s="6" t="str">
        <f aca="false">IF(AND($A506="",$B506=""),"",IF(M506="Ambassador","1 - Ambassador",IF(M506="Member","2 - Member",IF(J506="Completed","3 - Presented",IF(H506&lt;&gt;"","4 - Shared",IF(F506&lt;&gt;"","5 - Contacted","6 - No Activity"))))))</f>
        <v/>
      </c>
      <c r="X506" s="6" t="n">
        <f aca="false">IF(AND($A506="",$B506=""),9999999+(ROW()-4),VALUE(LEFT($W506,1))*10000+(ROW()-4))</f>
        <v>10000501</v>
      </c>
    </row>
    <row r="507" customFormat="false" ht="15" hidden="false" customHeight="true" outlineLevel="0" collapsed="false">
      <c r="A507" s="6"/>
      <c r="B507" s="6"/>
      <c r="C507" s="6"/>
      <c r="D507" s="6"/>
      <c r="E507" s="6"/>
      <c r="F507" s="7"/>
      <c r="G507" s="6"/>
      <c r="H507" s="6"/>
      <c r="I507" s="7"/>
      <c r="J507" s="6"/>
      <c r="K507" s="7"/>
      <c r="L507" s="6"/>
      <c r="M507" s="6"/>
      <c r="N507" s="7"/>
      <c r="O507" s="6"/>
      <c r="P507" s="6"/>
      <c r="Q507" s="7"/>
      <c r="R507" s="6" t="str">
        <f aca="false">IF(AND($A507="",$B507=""),"",IF(Q507="Complete","Onboarded",IF(OR(M507="Member",M507="Ambassador"),"Sponsored",IF(K507&lt;&gt;"","Follow-Up",IF(I507&lt;&gt;"","Presented",IF(F507&lt;&gt;"","Contacted","New Lead"))))))</f>
        <v/>
      </c>
      <c r="S507" s="6"/>
      <c r="T507" s="6" t="str">
        <f aca="true">IF(MAX(F507,I507,K507)=0,"",TODAY()-MAX(F507,I507,K507))</f>
        <v/>
      </c>
      <c r="U507" s="6"/>
      <c r="V507" s="6"/>
      <c r="W507" s="6" t="str">
        <f aca="false">IF(AND($A507="",$B507=""),"",IF(M507="Ambassador","1 - Ambassador",IF(M507="Member","2 - Member",IF(J507="Completed","3 - Presented",IF(H507&lt;&gt;"","4 - Shared",IF(F507&lt;&gt;"","5 - Contacted","6 - No Activity"))))))</f>
        <v/>
      </c>
      <c r="X507" s="6" t="n">
        <f aca="false">IF(AND($A507="",$B507=""),9999999+(ROW()-4),VALUE(LEFT($W507,1))*10000+(ROW()-4))</f>
        <v>10000502</v>
      </c>
    </row>
    <row r="508" customFormat="false" ht="15" hidden="false" customHeight="true" outlineLevel="0" collapsed="false">
      <c r="A508" s="6"/>
      <c r="B508" s="6"/>
      <c r="C508" s="6"/>
      <c r="D508" s="6"/>
      <c r="E508" s="6"/>
      <c r="F508" s="7"/>
      <c r="G508" s="6"/>
      <c r="H508" s="6"/>
      <c r="I508" s="7"/>
      <c r="J508" s="6"/>
      <c r="K508" s="7"/>
      <c r="L508" s="6"/>
      <c r="M508" s="6"/>
      <c r="N508" s="7"/>
      <c r="O508" s="6"/>
      <c r="P508" s="6"/>
      <c r="Q508" s="7"/>
      <c r="R508" s="6" t="str">
        <f aca="false">IF(AND($A508="",$B508=""),"",IF(Q508="Complete","Onboarded",IF(OR(M508="Member",M508="Ambassador"),"Sponsored",IF(K508&lt;&gt;"","Follow-Up",IF(I508&lt;&gt;"","Presented",IF(F508&lt;&gt;"","Contacted","New Lead"))))))</f>
        <v/>
      </c>
      <c r="S508" s="6"/>
      <c r="T508" s="6" t="str">
        <f aca="true">IF(MAX(F508,I508,K508)=0,"",TODAY()-MAX(F508,I508,K508))</f>
        <v/>
      </c>
      <c r="U508" s="6"/>
      <c r="V508" s="6"/>
      <c r="W508" s="6" t="str">
        <f aca="false">IF(AND($A508="",$B508=""),"",IF(M508="Ambassador","1 - Ambassador",IF(M508="Member","2 - Member",IF(J508="Completed","3 - Presented",IF(H508&lt;&gt;"","4 - Shared",IF(F508&lt;&gt;"","5 - Contacted","6 - No Activity"))))))</f>
        <v/>
      </c>
      <c r="X508" s="6" t="n">
        <f aca="false">IF(AND($A508="",$B508=""),9999999+(ROW()-4),VALUE(LEFT($W508,1))*10000+(ROW()-4))</f>
        <v>10000503</v>
      </c>
    </row>
    <row r="509" customFormat="false" ht="15" hidden="false" customHeight="true" outlineLevel="0" collapsed="false">
      <c r="A509" s="6"/>
      <c r="B509" s="6"/>
      <c r="C509" s="6"/>
      <c r="D509" s="6"/>
      <c r="E509" s="6"/>
      <c r="F509" s="7"/>
      <c r="G509" s="6"/>
      <c r="H509" s="6"/>
      <c r="I509" s="7"/>
      <c r="J509" s="6"/>
      <c r="K509" s="7"/>
      <c r="L509" s="6"/>
      <c r="M509" s="6"/>
      <c r="N509" s="7"/>
      <c r="O509" s="6"/>
      <c r="P509" s="6"/>
      <c r="Q509" s="7"/>
      <c r="R509" s="6" t="str">
        <f aca="false">IF(AND($A509="",$B509=""),"",IF(Q509="Complete","Onboarded",IF(OR(M509="Member",M509="Ambassador"),"Sponsored",IF(K509&lt;&gt;"","Follow-Up",IF(I509&lt;&gt;"","Presented",IF(F509&lt;&gt;"","Contacted","New Lead"))))))</f>
        <v/>
      </c>
      <c r="S509" s="6"/>
      <c r="T509" s="6" t="str">
        <f aca="true">IF(MAX(F509,I509,K509)=0,"",TODAY()-MAX(F509,I509,K509))</f>
        <v/>
      </c>
      <c r="U509" s="6"/>
      <c r="V509" s="6"/>
      <c r="W509" s="6" t="str">
        <f aca="false">IF(AND($A509="",$B509=""),"",IF(M509="Ambassador","1 - Ambassador",IF(M509="Member","2 - Member",IF(J509="Completed","3 - Presented",IF(H509&lt;&gt;"","4 - Shared",IF(F509&lt;&gt;"","5 - Contacted","6 - No Activity"))))))</f>
        <v/>
      </c>
      <c r="X509" s="6" t="n">
        <f aca="false">IF(AND($A509="",$B509=""),9999999+(ROW()-4),VALUE(LEFT($W509,1))*10000+(ROW()-4))</f>
        <v>10000504</v>
      </c>
    </row>
    <row r="510" customFormat="false" ht="15" hidden="false" customHeight="true" outlineLevel="0" collapsed="false">
      <c r="A510" s="6"/>
      <c r="B510" s="6"/>
      <c r="C510" s="6"/>
      <c r="D510" s="6"/>
      <c r="E510" s="6"/>
      <c r="F510" s="7"/>
      <c r="G510" s="6"/>
      <c r="H510" s="6"/>
      <c r="I510" s="7"/>
      <c r="J510" s="6"/>
      <c r="K510" s="7"/>
      <c r="L510" s="6"/>
      <c r="M510" s="6"/>
      <c r="N510" s="7"/>
      <c r="O510" s="6"/>
      <c r="P510" s="6"/>
      <c r="Q510" s="7"/>
      <c r="R510" s="6" t="str">
        <f aca="false">IF(AND($A510="",$B510=""),"",IF(Q510="Complete","Onboarded",IF(OR(M510="Member",M510="Ambassador"),"Sponsored",IF(K510&lt;&gt;"","Follow-Up",IF(I510&lt;&gt;"","Presented",IF(F510&lt;&gt;"","Contacted","New Lead"))))))</f>
        <v/>
      </c>
      <c r="S510" s="6"/>
      <c r="T510" s="6" t="str">
        <f aca="true">IF(MAX(F510,I510,K510)=0,"",TODAY()-MAX(F510,I510,K510))</f>
        <v/>
      </c>
      <c r="U510" s="6"/>
      <c r="V510" s="6"/>
      <c r="W510" s="6" t="str">
        <f aca="false">IF(AND($A510="",$B510=""),"",IF(M510="Ambassador","1 - Ambassador",IF(M510="Member","2 - Member",IF(J510="Completed","3 - Presented",IF(H510&lt;&gt;"","4 - Shared",IF(F510&lt;&gt;"","5 - Contacted","6 - No Activity"))))))</f>
        <v/>
      </c>
      <c r="X510" s="6" t="n">
        <f aca="false">IF(AND($A510="",$B510=""),9999999+(ROW()-4),VALUE(LEFT($W510,1))*10000+(ROW()-4))</f>
        <v>10000505</v>
      </c>
    </row>
    <row r="511" customFormat="false" ht="15" hidden="false" customHeight="true" outlineLevel="0" collapsed="false">
      <c r="A511" s="6"/>
      <c r="B511" s="6"/>
      <c r="C511" s="6"/>
      <c r="D511" s="6"/>
      <c r="E511" s="6"/>
      <c r="F511" s="7"/>
      <c r="G511" s="6"/>
      <c r="H511" s="6"/>
      <c r="I511" s="7"/>
      <c r="J511" s="6"/>
      <c r="K511" s="7"/>
      <c r="L511" s="6"/>
      <c r="M511" s="6"/>
      <c r="N511" s="7"/>
      <c r="O511" s="6"/>
      <c r="P511" s="6"/>
      <c r="Q511" s="7"/>
      <c r="R511" s="6" t="str">
        <f aca="false">IF(AND($A511="",$B511=""),"",IF(Q511="Complete","Onboarded",IF(OR(M511="Member",M511="Ambassador"),"Sponsored",IF(K511&lt;&gt;"","Follow-Up",IF(I511&lt;&gt;"","Presented",IF(F511&lt;&gt;"","Contacted","New Lead"))))))</f>
        <v/>
      </c>
      <c r="S511" s="6"/>
      <c r="T511" s="6" t="str">
        <f aca="true">IF(MAX(F511,I511,K511)=0,"",TODAY()-MAX(F511,I511,K511))</f>
        <v/>
      </c>
      <c r="U511" s="6"/>
      <c r="V511" s="6"/>
      <c r="W511" s="6" t="str">
        <f aca="false">IF(AND($A511="",$B511=""),"",IF(M511="Ambassador","1 - Ambassador",IF(M511="Member","2 - Member",IF(J511="Completed","3 - Presented",IF(H511&lt;&gt;"","4 - Shared",IF(F511&lt;&gt;"","5 - Contacted","6 - No Activity"))))))</f>
        <v/>
      </c>
      <c r="X511" s="6" t="n">
        <f aca="false">IF(AND($A511="",$B511=""),9999999+(ROW()-4),VALUE(LEFT($W511,1))*10000+(ROW()-4))</f>
        <v>10000506</v>
      </c>
    </row>
    <row r="512" customFormat="false" ht="15" hidden="false" customHeight="true" outlineLevel="0" collapsed="false">
      <c r="A512" s="6"/>
      <c r="B512" s="6"/>
      <c r="C512" s="6"/>
      <c r="D512" s="6"/>
      <c r="E512" s="6"/>
      <c r="F512" s="7"/>
      <c r="G512" s="6"/>
      <c r="H512" s="6"/>
      <c r="I512" s="7"/>
      <c r="J512" s="6"/>
      <c r="K512" s="7"/>
      <c r="L512" s="6"/>
      <c r="M512" s="6"/>
      <c r="N512" s="7"/>
      <c r="O512" s="6"/>
      <c r="P512" s="6"/>
      <c r="Q512" s="7"/>
      <c r="R512" s="6" t="str">
        <f aca="false">IF(AND($A512="",$B512=""),"",IF(Q512="Complete","Onboarded",IF(OR(M512="Member",M512="Ambassador"),"Sponsored",IF(K512&lt;&gt;"","Follow-Up",IF(I512&lt;&gt;"","Presented",IF(F512&lt;&gt;"","Contacted","New Lead"))))))</f>
        <v/>
      </c>
      <c r="S512" s="6"/>
      <c r="T512" s="6" t="str">
        <f aca="true">IF(MAX(F512,I512,K512)=0,"",TODAY()-MAX(F512,I512,K512))</f>
        <v/>
      </c>
      <c r="U512" s="6"/>
      <c r="V512" s="6"/>
      <c r="W512" s="6" t="str">
        <f aca="false">IF(AND($A512="",$B512=""),"",IF(M512="Ambassador","1 - Ambassador",IF(M512="Member","2 - Member",IF(J512="Completed","3 - Presented",IF(H512&lt;&gt;"","4 - Shared",IF(F512&lt;&gt;"","5 - Contacted","6 - No Activity"))))))</f>
        <v/>
      </c>
      <c r="X512" s="6" t="n">
        <f aca="false">IF(AND($A512="",$B512=""),9999999+(ROW()-4),VALUE(LEFT($W512,1))*10000+(ROW()-4))</f>
        <v>10000507</v>
      </c>
    </row>
    <row r="513" customFormat="false" ht="15" hidden="false" customHeight="true" outlineLevel="0" collapsed="false">
      <c r="A513" s="6"/>
      <c r="B513" s="6"/>
      <c r="C513" s="6"/>
      <c r="D513" s="6"/>
      <c r="E513" s="6"/>
      <c r="F513" s="7"/>
      <c r="G513" s="6"/>
      <c r="H513" s="6"/>
      <c r="I513" s="7"/>
      <c r="J513" s="6"/>
      <c r="K513" s="7"/>
      <c r="L513" s="6"/>
      <c r="M513" s="6"/>
      <c r="N513" s="7"/>
      <c r="O513" s="6"/>
      <c r="P513" s="6"/>
      <c r="Q513" s="7"/>
      <c r="R513" s="6" t="str">
        <f aca="false">IF(AND($A513="",$B513=""),"",IF(Q513="Complete","Onboarded",IF(OR(M513="Member",M513="Ambassador"),"Sponsored",IF(K513&lt;&gt;"","Follow-Up",IF(I513&lt;&gt;"","Presented",IF(F513&lt;&gt;"","Contacted","New Lead"))))))</f>
        <v/>
      </c>
      <c r="S513" s="6"/>
      <c r="T513" s="6" t="str">
        <f aca="true">IF(MAX(F513,I513,K513)=0,"",TODAY()-MAX(F513,I513,K513))</f>
        <v/>
      </c>
      <c r="U513" s="6"/>
      <c r="V513" s="6"/>
      <c r="W513" s="6" t="str">
        <f aca="false">IF(AND($A513="",$B513=""),"",IF(M513="Ambassador","1 - Ambassador",IF(M513="Member","2 - Member",IF(J513="Completed","3 - Presented",IF(H513&lt;&gt;"","4 - Shared",IF(F513&lt;&gt;"","5 - Contacted","6 - No Activity"))))))</f>
        <v/>
      </c>
      <c r="X513" s="6" t="n">
        <f aca="false">IF(AND($A513="",$B513=""),9999999+(ROW()-4),VALUE(LEFT($W513,1))*10000+(ROW()-4))</f>
        <v>10000508</v>
      </c>
    </row>
    <row r="514" customFormat="false" ht="15" hidden="false" customHeight="true" outlineLevel="0" collapsed="false">
      <c r="A514" s="6"/>
      <c r="B514" s="6"/>
      <c r="C514" s="6"/>
      <c r="D514" s="6"/>
      <c r="E514" s="6"/>
      <c r="F514" s="7"/>
      <c r="G514" s="6"/>
      <c r="H514" s="6"/>
      <c r="I514" s="7"/>
      <c r="J514" s="6"/>
      <c r="K514" s="7"/>
      <c r="L514" s="6"/>
      <c r="M514" s="6"/>
      <c r="N514" s="7"/>
      <c r="O514" s="6"/>
      <c r="P514" s="6"/>
      <c r="Q514" s="7"/>
      <c r="R514" s="6" t="str">
        <f aca="false">IF(AND($A514="",$B514=""),"",IF(Q514="Complete","Onboarded",IF(OR(M514="Member",M514="Ambassador"),"Sponsored",IF(K514&lt;&gt;"","Follow-Up",IF(I514&lt;&gt;"","Presented",IF(F514&lt;&gt;"","Contacted","New Lead"))))))</f>
        <v/>
      </c>
      <c r="S514" s="6"/>
      <c r="T514" s="6" t="str">
        <f aca="true">IF(MAX(F514,I514,K514)=0,"",TODAY()-MAX(F514,I514,K514))</f>
        <v/>
      </c>
      <c r="U514" s="6"/>
      <c r="V514" s="6"/>
      <c r="W514" s="6" t="str">
        <f aca="false">IF(AND($A514="",$B514=""),"",IF(M514="Ambassador","1 - Ambassador",IF(M514="Member","2 - Member",IF(J514="Completed","3 - Presented",IF(H514&lt;&gt;"","4 - Shared",IF(F514&lt;&gt;"","5 - Contacted","6 - No Activity"))))))</f>
        <v/>
      </c>
      <c r="X514" s="6" t="n">
        <f aca="false">IF(AND($A514="",$B514=""),9999999+(ROW()-4),VALUE(LEFT($W514,1))*10000+(ROW()-4))</f>
        <v>10000509</v>
      </c>
    </row>
    <row r="515" customFormat="false" ht="15" hidden="false" customHeight="true" outlineLevel="0" collapsed="false">
      <c r="A515" s="6"/>
      <c r="B515" s="6"/>
      <c r="C515" s="6"/>
      <c r="D515" s="6"/>
      <c r="E515" s="6"/>
      <c r="F515" s="7"/>
      <c r="G515" s="6"/>
      <c r="H515" s="6"/>
      <c r="I515" s="7"/>
      <c r="J515" s="6"/>
      <c r="K515" s="7"/>
      <c r="L515" s="6"/>
      <c r="M515" s="6"/>
      <c r="N515" s="7"/>
      <c r="O515" s="6"/>
      <c r="P515" s="6"/>
      <c r="Q515" s="7"/>
      <c r="R515" s="6" t="str">
        <f aca="false">IF(AND($A515="",$B515=""),"",IF(Q515="Complete","Onboarded",IF(OR(M515="Member",M515="Ambassador"),"Sponsored",IF(K515&lt;&gt;"","Follow-Up",IF(I515&lt;&gt;"","Presented",IF(F515&lt;&gt;"","Contacted","New Lead"))))))</f>
        <v/>
      </c>
      <c r="S515" s="6"/>
      <c r="T515" s="6" t="str">
        <f aca="true">IF(MAX(F515,I515,K515)=0,"",TODAY()-MAX(F515,I515,K515))</f>
        <v/>
      </c>
      <c r="U515" s="6"/>
      <c r="V515" s="6"/>
      <c r="W515" s="6" t="str">
        <f aca="false">IF(AND($A515="",$B515=""),"",IF(M515="Ambassador","1 - Ambassador",IF(M515="Member","2 - Member",IF(J515="Completed","3 - Presented",IF(H515&lt;&gt;"","4 - Shared",IF(F515&lt;&gt;"","5 - Contacted","6 - No Activity"))))))</f>
        <v/>
      </c>
      <c r="X515" s="6" t="n">
        <f aca="false">IF(AND($A515="",$B515=""),9999999+(ROW()-4),VALUE(LEFT($W515,1))*10000+(ROW()-4))</f>
        <v>10000510</v>
      </c>
    </row>
    <row r="516" customFormat="false" ht="15" hidden="false" customHeight="true" outlineLevel="0" collapsed="false">
      <c r="A516" s="6"/>
      <c r="B516" s="6"/>
      <c r="C516" s="6"/>
      <c r="D516" s="6"/>
      <c r="E516" s="6"/>
      <c r="F516" s="7"/>
      <c r="G516" s="6"/>
      <c r="H516" s="6"/>
      <c r="I516" s="7"/>
      <c r="J516" s="6"/>
      <c r="K516" s="7"/>
      <c r="L516" s="6"/>
      <c r="M516" s="6"/>
      <c r="N516" s="7"/>
      <c r="O516" s="6"/>
      <c r="P516" s="6"/>
      <c r="Q516" s="7"/>
      <c r="R516" s="6" t="str">
        <f aca="false">IF(AND($A516="",$B516=""),"",IF(Q516="Complete","Onboarded",IF(OR(M516="Member",M516="Ambassador"),"Sponsored",IF(K516&lt;&gt;"","Follow-Up",IF(I516&lt;&gt;"","Presented",IF(F516&lt;&gt;"","Contacted","New Lead"))))))</f>
        <v/>
      </c>
      <c r="S516" s="6"/>
      <c r="T516" s="6" t="str">
        <f aca="true">IF(MAX(F516,I516,K516)=0,"",TODAY()-MAX(F516,I516,K516))</f>
        <v/>
      </c>
      <c r="U516" s="6"/>
      <c r="V516" s="6"/>
      <c r="W516" s="6" t="str">
        <f aca="false">IF(AND($A516="",$B516=""),"",IF(M516="Ambassador","1 - Ambassador",IF(M516="Member","2 - Member",IF(J516="Completed","3 - Presented",IF(H516&lt;&gt;"","4 - Shared",IF(F516&lt;&gt;"","5 - Contacted","6 - No Activity"))))))</f>
        <v/>
      </c>
      <c r="X516" s="6" t="n">
        <f aca="false">IF(AND($A516="",$B516=""),9999999+(ROW()-4),VALUE(LEFT($W516,1))*10000+(ROW()-4))</f>
        <v>10000511</v>
      </c>
    </row>
    <row r="517" customFormat="false" ht="15" hidden="false" customHeight="true" outlineLevel="0" collapsed="false">
      <c r="A517" s="6"/>
      <c r="B517" s="6"/>
      <c r="C517" s="6"/>
      <c r="D517" s="6"/>
      <c r="E517" s="6"/>
      <c r="F517" s="7"/>
      <c r="G517" s="6"/>
      <c r="H517" s="6"/>
      <c r="I517" s="7"/>
      <c r="J517" s="6"/>
      <c r="K517" s="7"/>
      <c r="L517" s="6"/>
      <c r="M517" s="6"/>
      <c r="N517" s="7"/>
      <c r="O517" s="6"/>
      <c r="P517" s="6"/>
      <c r="Q517" s="7"/>
      <c r="R517" s="6" t="str">
        <f aca="false">IF(AND($A517="",$B517=""),"",IF(Q517="Complete","Onboarded",IF(OR(M517="Member",M517="Ambassador"),"Sponsored",IF(K517&lt;&gt;"","Follow-Up",IF(I517&lt;&gt;"","Presented",IF(F517&lt;&gt;"","Contacted","New Lead"))))))</f>
        <v/>
      </c>
      <c r="S517" s="6"/>
      <c r="T517" s="6" t="str">
        <f aca="true">IF(MAX(F517,I517,K517)=0,"",TODAY()-MAX(F517,I517,K517))</f>
        <v/>
      </c>
      <c r="U517" s="6"/>
      <c r="V517" s="6"/>
      <c r="W517" s="6" t="str">
        <f aca="false">IF(AND($A517="",$B517=""),"",IF(M517="Ambassador","1 - Ambassador",IF(M517="Member","2 - Member",IF(J517="Completed","3 - Presented",IF(H517&lt;&gt;"","4 - Shared",IF(F517&lt;&gt;"","5 - Contacted","6 - No Activity"))))))</f>
        <v/>
      </c>
      <c r="X517" s="6" t="n">
        <f aca="false">IF(AND($A517="",$B517=""),9999999+(ROW()-4),VALUE(LEFT($W517,1))*10000+(ROW()-4))</f>
        <v>10000512</v>
      </c>
    </row>
    <row r="518" customFormat="false" ht="15" hidden="false" customHeight="true" outlineLevel="0" collapsed="false">
      <c r="A518" s="6"/>
      <c r="B518" s="6"/>
      <c r="C518" s="6"/>
      <c r="D518" s="6"/>
      <c r="E518" s="6"/>
      <c r="F518" s="7"/>
      <c r="G518" s="6"/>
      <c r="H518" s="6"/>
      <c r="I518" s="7"/>
      <c r="J518" s="6"/>
      <c r="K518" s="7"/>
      <c r="L518" s="6"/>
      <c r="M518" s="6"/>
      <c r="N518" s="7"/>
      <c r="O518" s="6"/>
      <c r="P518" s="6"/>
      <c r="Q518" s="7"/>
      <c r="R518" s="6" t="str">
        <f aca="false">IF(AND($A518="",$B518=""),"",IF(Q518="Complete","Onboarded",IF(OR(M518="Member",M518="Ambassador"),"Sponsored",IF(K518&lt;&gt;"","Follow-Up",IF(I518&lt;&gt;"","Presented",IF(F518&lt;&gt;"","Contacted","New Lead"))))))</f>
        <v/>
      </c>
      <c r="S518" s="6"/>
      <c r="T518" s="6" t="str">
        <f aca="true">IF(MAX(F518,I518,K518)=0,"",TODAY()-MAX(F518,I518,K518))</f>
        <v/>
      </c>
      <c r="U518" s="6"/>
      <c r="V518" s="6"/>
      <c r="W518" s="6" t="str">
        <f aca="false">IF(AND($A518="",$B518=""),"",IF(M518="Ambassador","1 - Ambassador",IF(M518="Member","2 - Member",IF(J518="Completed","3 - Presented",IF(H518&lt;&gt;"","4 - Shared",IF(F518&lt;&gt;"","5 - Contacted","6 - No Activity"))))))</f>
        <v/>
      </c>
      <c r="X518" s="6" t="n">
        <f aca="false">IF(AND($A518="",$B518=""),9999999+(ROW()-4),VALUE(LEFT($W518,1))*10000+(ROW()-4))</f>
        <v>10000513</v>
      </c>
    </row>
    <row r="519" customFormat="false" ht="15" hidden="false" customHeight="true" outlineLevel="0" collapsed="false">
      <c r="A519" s="6"/>
      <c r="B519" s="6"/>
      <c r="C519" s="6"/>
      <c r="D519" s="6"/>
      <c r="E519" s="6"/>
      <c r="F519" s="7"/>
      <c r="G519" s="6"/>
      <c r="H519" s="6"/>
      <c r="I519" s="7"/>
      <c r="J519" s="6"/>
      <c r="K519" s="7"/>
      <c r="L519" s="6"/>
      <c r="M519" s="6"/>
      <c r="N519" s="7"/>
      <c r="O519" s="6"/>
      <c r="P519" s="6"/>
      <c r="Q519" s="7"/>
      <c r="R519" s="6" t="str">
        <f aca="false">IF(AND($A519="",$B519=""),"",IF(Q519="Complete","Onboarded",IF(OR(M519="Member",M519="Ambassador"),"Sponsored",IF(K519&lt;&gt;"","Follow-Up",IF(I519&lt;&gt;"","Presented",IF(F519&lt;&gt;"","Contacted","New Lead"))))))</f>
        <v/>
      </c>
      <c r="S519" s="6"/>
      <c r="T519" s="6" t="str">
        <f aca="true">IF(MAX(F519,I519,K519)=0,"",TODAY()-MAX(F519,I519,K519))</f>
        <v/>
      </c>
      <c r="U519" s="6"/>
      <c r="V519" s="6"/>
      <c r="W519" s="6" t="str">
        <f aca="false">IF(AND($A519="",$B519=""),"",IF(M519="Ambassador","1 - Ambassador",IF(M519="Member","2 - Member",IF(J519="Completed","3 - Presented",IF(H519&lt;&gt;"","4 - Shared",IF(F519&lt;&gt;"","5 - Contacted","6 - No Activity"))))))</f>
        <v/>
      </c>
      <c r="X519" s="6" t="n">
        <f aca="false">IF(AND($A519="",$B519=""),9999999+(ROW()-4),VALUE(LEFT($W519,1))*10000+(ROW()-4))</f>
        <v>10000514</v>
      </c>
    </row>
    <row r="520" customFormat="false" ht="15" hidden="false" customHeight="true" outlineLevel="0" collapsed="false">
      <c r="A520" s="6"/>
      <c r="B520" s="6"/>
      <c r="C520" s="6"/>
      <c r="D520" s="6"/>
      <c r="E520" s="6"/>
      <c r="F520" s="7"/>
      <c r="G520" s="6"/>
      <c r="H520" s="6"/>
      <c r="I520" s="7"/>
      <c r="J520" s="6"/>
      <c r="K520" s="7"/>
      <c r="L520" s="6"/>
      <c r="M520" s="6"/>
      <c r="N520" s="7"/>
      <c r="O520" s="6"/>
      <c r="P520" s="6"/>
      <c r="Q520" s="7"/>
      <c r="R520" s="6" t="str">
        <f aca="false">IF(AND($A520="",$B520=""),"",IF(Q520="Complete","Onboarded",IF(OR(M520="Member",M520="Ambassador"),"Sponsored",IF(K520&lt;&gt;"","Follow-Up",IF(I520&lt;&gt;"","Presented",IF(F520&lt;&gt;"","Contacted","New Lead"))))))</f>
        <v/>
      </c>
      <c r="S520" s="6"/>
      <c r="T520" s="6" t="str">
        <f aca="true">IF(MAX(F520,I520,K520)=0,"",TODAY()-MAX(F520,I520,K520))</f>
        <v/>
      </c>
      <c r="U520" s="6"/>
      <c r="V520" s="6"/>
      <c r="W520" s="6" t="str">
        <f aca="false">IF(AND($A520="",$B520=""),"",IF(M520="Ambassador","1 - Ambassador",IF(M520="Member","2 - Member",IF(J520="Completed","3 - Presented",IF(H520&lt;&gt;"","4 - Shared",IF(F520&lt;&gt;"","5 - Contacted","6 - No Activity"))))))</f>
        <v/>
      </c>
      <c r="X520" s="6" t="n">
        <f aca="false">IF(AND($A520="",$B520=""),9999999+(ROW()-4),VALUE(LEFT($W520,1))*10000+(ROW()-4))</f>
        <v>10000515</v>
      </c>
    </row>
    <row r="521" customFormat="false" ht="15" hidden="false" customHeight="true" outlineLevel="0" collapsed="false">
      <c r="A521" s="6"/>
      <c r="B521" s="6"/>
      <c r="C521" s="6"/>
      <c r="D521" s="6"/>
      <c r="E521" s="6"/>
      <c r="F521" s="7"/>
      <c r="G521" s="6"/>
      <c r="H521" s="6"/>
      <c r="I521" s="7"/>
      <c r="J521" s="6"/>
      <c r="K521" s="7"/>
      <c r="L521" s="6"/>
      <c r="M521" s="6"/>
      <c r="N521" s="7"/>
      <c r="O521" s="6"/>
      <c r="P521" s="6"/>
      <c r="Q521" s="7"/>
      <c r="R521" s="6" t="str">
        <f aca="false">IF(AND($A521="",$B521=""),"",IF(Q521="Complete","Onboarded",IF(OR(M521="Member",M521="Ambassador"),"Sponsored",IF(K521&lt;&gt;"","Follow-Up",IF(I521&lt;&gt;"","Presented",IF(F521&lt;&gt;"","Contacted","New Lead"))))))</f>
        <v/>
      </c>
      <c r="S521" s="6"/>
      <c r="T521" s="6" t="str">
        <f aca="true">IF(MAX(F521,I521,K521)=0,"",TODAY()-MAX(F521,I521,K521))</f>
        <v/>
      </c>
      <c r="U521" s="6"/>
      <c r="V521" s="6"/>
      <c r="W521" s="6" t="str">
        <f aca="false">IF(AND($A521="",$B521=""),"",IF(M521="Ambassador","1 - Ambassador",IF(M521="Member","2 - Member",IF(J521="Completed","3 - Presented",IF(H521&lt;&gt;"","4 - Shared",IF(F521&lt;&gt;"","5 - Contacted","6 - No Activity"))))))</f>
        <v/>
      </c>
      <c r="X521" s="6" t="n">
        <f aca="false">IF(AND($A521="",$B521=""),9999999+(ROW()-4),VALUE(LEFT($W521,1))*10000+(ROW()-4))</f>
        <v>10000516</v>
      </c>
    </row>
    <row r="522" customFormat="false" ht="15" hidden="false" customHeight="true" outlineLevel="0" collapsed="false">
      <c r="A522" s="6"/>
      <c r="B522" s="6"/>
      <c r="C522" s="6"/>
      <c r="D522" s="6"/>
      <c r="E522" s="6"/>
      <c r="F522" s="7"/>
      <c r="G522" s="6"/>
      <c r="H522" s="6"/>
      <c r="I522" s="7"/>
      <c r="J522" s="6"/>
      <c r="K522" s="7"/>
      <c r="L522" s="6"/>
      <c r="M522" s="6"/>
      <c r="N522" s="7"/>
      <c r="O522" s="6"/>
      <c r="P522" s="6"/>
      <c r="Q522" s="7"/>
      <c r="R522" s="6" t="str">
        <f aca="false">IF(AND($A522="",$B522=""),"",IF(Q522="Complete","Onboarded",IF(OR(M522="Member",M522="Ambassador"),"Sponsored",IF(K522&lt;&gt;"","Follow-Up",IF(I522&lt;&gt;"","Presented",IF(F522&lt;&gt;"","Contacted","New Lead"))))))</f>
        <v/>
      </c>
      <c r="S522" s="6"/>
      <c r="T522" s="6" t="str">
        <f aca="true">IF(MAX(F522,I522,K522)=0,"",TODAY()-MAX(F522,I522,K522))</f>
        <v/>
      </c>
      <c r="U522" s="6"/>
      <c r="V522" s="6"/>
      <c r="W522" s="6" t="str">
        <f aca="false">IF(AND($A522="",$B522=""),"",IF(M522="Ambassador","1 - Ambassador",IF(M522="Member","2 - Member",IF(J522="Completed","3 - Presented",IF(H522&lt;&gt;"","4 - Shared",IF(F522&lt;&gt;"","5 - Contacted","6 - No Activity"))))))</f>
        <v/>
      </c>
      <c r="X522" s="6" t="n">
        <f aca="false">IF(AND($A522="",$B522=""),9999999+(ROW()-4),VALUE(LEFT($W522,1))*10000+(ROW()-4))</f>
        <v>10000517</v>
      </c>
    </row>
    <row r="523" customFormat="false" ht="15" hidden="false" customHeight="true" outlineLevel="0" collapsed="false">
      <c r="A523" s="6"/>
      <c r="B523" s="6"/>
      <c r="C523" s="6"/>
      <c r="D523" s="6"/>
      <c r="E523" s="6"/>
      <c r="F523" s="7"/>
      <c r="G523" s="6"/>
      <c r="H523" s="6"/>
      <c r="I523" s="7"/>
      <c r="J523" s="6"/>
      <c r="K523" s="7"/>
      <c r="L523" s="6"/>
      <c r="M523" s="6"/>
      <c r="N523" s="7"/>
      <c r="O523" s="6"/>
      <c r="P523" s="6"/>
      <c r="Q523" s="7"/>
      <c r="R523" s="6" t="str">
        <f aca="false">IF(AND($A523="",$B523=""),"",IF(Q523="Complete","Onboarded",IF(OR(M523="Member",M523="Ambassador"),"Sponsored",IF(K523&lt;&gt;"","Follow-Up",IF(I523&lt;&gt;"","Presented",IF(F523&lt;&gt;"","Contacted","New Lead"))))))</f>
        <v/>
      </c>
      <c r="S523" s="6"/>
      <c r="T523" s="6" t="str">
        <f aca="true">IF(MAX(F523,I523,K523)=0,"",TODAY()-MAX(F523,I523,K523))</f>
        <v/>
      </c>
      <c r="U523" s="6"/>
      <c r="V523" s="6"/>
      <c r="W523" s="6" t="str">
        <f aca="false">IF(AND($A523="",$B523=""),"",IF(M523="Ambassador","1 - Ambassador",IF(M523="Member","2 - Member",IF(J523="Completed","3 - Presented",IF(H523&lt;&gt;"","4 - Shared",IF(F523&lt;&gt;"","5 - Contacted","6 - No Activity"))))))</f>
        <v/>
      </c>
      <c r="X523" s="6" t="n">
        <f aca="false">IF(AND($A523="",$B523=""),9999999+(ROW()-4),VALUE(LEFT($W523,1))*10000+(ROW()-4))</f>
        <v>10000518</v>
      </c>
    </row>
    <row r="524" customFormat="false" ht="15" hidden="false" customHeight="true" outlineLevel="0" collapsed="false">
      <c r="A524" s="6"/>
      <c r="B524" s="6"/>
      <c r="C524" s="6"/>
      <c r="D524" s="6"/>
      <c r="E524" s="6"/>
      <c r="F524" s="7"/>
      <c r="G524" s="6"/>
      <c r="H524" s="6"/>
      <c r="I524" s="7"/>
      <c r="J524" s="6"/>
      <c r="K524" s="7"/>
      <c r="L524" s="6"/>
      <c r="M524" s="6"/>
      <c r="N524" s="7"/>
      <c r="O524" s="6"/>
      <c r="P524" s="6"/>
      <c r="Q524" s="7"/>
      <c r="R524" s="6" t="str">
        <f aca="false">IF(AND($A524="",$B524=""),"",IF(Q524="Complete","Onboarded",IF(OR(M524="Member",M524="Ambassador"),"Sponsored",IF(K524&lt;&gt;"","Follow-Up",IF(I524&lt;&gt;"","Presented",IF(F524&lt;&gt;"","Contacted","New Lead"))))))</f>
        <v/>
      </c>
      <c r="S524" s="6"/>
      <c r="T524" s="6" t="str">
        <f aca="true">IF(MAX(F524,I524,K524)=0,"",TODAY()-MAX(F524,I524,K524))</f>
        <v/>
      </c>
      <c r="U524" s="6"/>
      <c r="V524" s="6"/>
      <c r="W524" s="6" t="str">
        <f aca="false">IF(AND($A524="",$B524=""),"",IF(M524="Ambassador","1 - Ambassador",IF(M524="Member","2 - Member",IF(J524="Completed","3 - Presented",IF(H524&lt;&gt;"","4 - Shared",IF(F524&lt;&gt;"","5 - Contacted","6 - No Activity"))))))</f>
        <v/>
      </c>
      <c r="X524" s="6" t="n">
        <f aca="false">IF(AND($A524="",$B524=""),9999999+(ROW()-4),VALUE(LEFT($W524,1))*10000+(ROW()-4))</f>
        <v>10000519</v>
      </c>
    </row>
    <row r="525" customFormat="false" ht="15" hidden="false" customHeight="true" outlineLevel="0" collapsed="false">
      <c r="A525" s="6"/>
      <c r="B525" s="6"/>
      <c r="C525" s="6"/>
      <c r="D525" s="6"/>
      <c r="E525" s="6"/>
      <c r="F525" s="7"/>
      <c r="G525" s="6"/>
      <c r="H525" s="6"/>
      <c r="I525" s="7"/>
      <c r="J525" s="6"/>
      <c r="K525" s="7"/>
      <c r="L525" s="6"/>
      <c r="M525" s="6"/>
      <c r="N525" s="7"/>
      <c r="O525" s="6"/>
      <c r="P525" s="6"/>
      <c r="Q525" s="7"/>
      <c r="R525" s="6" t="str">
        <f aca="false">IF(AND($A525="",$B525=""),"",IF(Q525="Complete","Onboarded",IF(OR(M525="Member",M525="Ambassador"),"Sponsored",IF(K525&lt;&gt;"","Follow-Up",IF(I525&lt;&gt;"","Presented",IF(F525&lt;&gt;"","Contacted","New Lead"))))))</f>
        <v/>
      </c>
      <c r="S525" s="6"/>
      <c r="T525" s="6" t="str">
        <f aca="true">IF(MAX(F525,I525,K525)=0,"",TODAY()-MAX(F525,I525,K525))</f>
        <v/>
      </c>
      <c r="U525" s="6"/>
      <c r="V525" s="6"/>
      <c r="W525" s="6" t="str">
        <f aca="false">IF(AND($A525="",$B525=""),"",IF(M525="Ambassador","1 - Ambassador",IF(M525="Member","2 - Member",IF(J525="Completed","3 - Presented",IF(H525&lt;&gt;"","4 - Shared",IF(F525&lt;&gt;"","5 - Contacted","6 - No Activity"))))))</f>
        <v/>
      </c>
      <c r="X525" s="6" t="n">
        <f aca="false">IF(AND($A525="",$B525=""),9999999+(ROW()-4),VALUE(LEFT($W525,1))*10000+(ROW()-4))</f>
        <v>10000520</v>
      </c>
    </row>
    <row r="526" customFormat="false" ht="15" hidden="false" customHeight="true" outlineLevel="0" collapsed="false">
      <c r="A526" s="6"/>
      <c r="B526" s="6"/>
      <c r="C526" s="6"/>
      <c r="D526" s="6"/>
      <c r="E526" s="6"/>
      <c r="F526" s="7"/>
      <c r="G526" s="6"/>
      <c r="H526" s="6"/>
      <c r="I526" s="7"/>
      <c r="J526" s="6"/>
      <c r="K526" s="7"/>
      <c r="L526" s="6"/>
      <c r="M526" s="6"/>
      <c r="N526" s="7"/>
      <c r="O526" s="6"/>
      <c r="P526" s="6"/>
      <c r="Q526" s="7"/>
      <c r="R526" s="6" t="str">
        <f aca="false">IF(AND($A526="",$B526=""),"",IF(Q526="Complete","Onboarded",IF(OR(M526="Member",M526="Ambassador"),"Sponsored",IF(K526&lt;&gt;"","Follow-Up",IF(I526&lt;&gt;"","Presented",IF(F526&lt;&gt;"","Contacted","New Lead"))))))</f>
        <v/>
      </c>
      <c r="S526" s="6"/>
      <c r="T526" s="6" t="str">
        <f aca="true">IF(MAX(F526,I526,K526)=0,"",TODAY()-MAX(F526,I526,K526))</f>
        <v/>
      </c>
      <c r="U526" s="6"/>
      <c r="V526" s="6"/>
      <c r="W526" s="6" t="str">
        <f aca="false">IF(AND($A526="",$B526=""),"",IF(M526="Ambassador","1 - Ambassador",IF(M526="Member","2 - Member",IF(J526="Completed","3 - Presented",IF(H526&lt;&gt;"","4 - Shared",IF(F526&lt;&gt;"","5 - Contacted","6 - No Activity"))))))</f>
        <v/>
      </c>
      <c r="X526" s="6" t="n">
        <f aca="false">IF(AND($A526="",$B526=""),9999999+(ROW()-4),VALUE(LEFT($W526,1))*10000+(ROW()-4))</f>
        <v>10000521</v>
      </c>
    </row>
    <row r="527" customFormat="false" ht="15" hidden="false" customHeight="true" outlineLevel="0" collapsed="false">
      <c r="A527" s="6"/>
      <c r="B527" s="6"/>
      <c r="C527" s="6"/>
      <c r="D527" s="6"/>
      <c r="E527" s="6"/>
      <c r="F527" s="7"/>
      <c r="G527" s="6"/>
      <c r="H527" s="6"/>
      <c r="I527" s="7"/>
      <c r="J527" s="6"/>
      <c r="K527" s="7"/>
      <c r="L527" s="6"/>
      <c r="M527" s="6"/>
      <c r="N527" s="7"/>
      <c r="O527" s="6"/>
      <c r="P527" s="6"/>
      <c r="Q527" s="7"/>
      <c r="R527" s="6" t="str">
        <f aca="false">IF(AND($A527="",$B527=""),"",IF(Q527="Complete","Onboarded",IF(OR(M527="Member",M527="Ambassador"),"Sponsored",IF(K527&lt;&gt;"","Follow-Up",IF(I527&lt;&gt;"","Presented",IF(F527&lt;&gt;"","Contacted","New Lead"))))))</f>
        <v/>
      </c>
      <c r="S527" s="6"/>
      <c r="T527" s="6" t="str">
        <f aca="true">IF(MAX(F527,I527,K527)=0,"",TODAY()-MAX(F527,I527,K527))</f>
        <v/>
      </c>
      <c r="U527" s="6"/>
      <c r="V527" s="6"/>
      <c r="W527" s="6" t="str">
        <f aca="false">IF(AND($A527="",$B527=""),"",IF(M527="Ambassador","1 - Ambassador",IF(M527="Member","2 - Member",IF(J527="Completed","3 - Presented",IF(H527&lt;&gt;"","4 - Shared",IF(F527&lt;&gt;"","5 - Contacted","6 - No Activity"))))))</f>
        <v/>
      </c>
      <c r="X527" s="6" t="n">
        <f aca="false">IF(AND($A527="",$B527=""),9999999+(ROW()-4),VALUE(LEFT($W527,1))*10000+(ROW()-4))</f>
        <v>10000522</v>
      </c>
    </row>
    <row r="528" customFormat="false" ht="15" hidden="false" customHeight="true" outlineLevel="0" collapsed="false">
      <c r="A528" s="6"/>
      <c r="B528" s="6"/>
      <c r="C528" s="6"/>
      <c r="D528" s="6"/>
      <c r="E528" s="6"/>
      <c r="F528" s="7"/>
      <c r="G528" s="6"/>
      <c r="H528" s="6"/>
      <c r="I528" s="7"/>
      <c r="J528" s="6"/>
      <c r="K528" s="7"/>
      <c r="L528" s="6"/>
      <c r="M528" s="6"/>
      <c r="N528" s="7"/>
      <c r="O528" s="6"/>
      <c r="P528" s="6"/>
      <c r="Q528" s="7"/>
      <c r="R528" s="6" t="str">
        <f aca="false">IF(AND($A528="",$B528=""),"",IF(Q528="Complete","Onboarded",IF(OR(M528="Member",M528="Ambassador"),"Sponsored",IF(K528&lt;&gt;"","Follow-Up",IF(I528&lt;&gt;"","Presented",IF(F528&lt;&gt;"","Contacted","New Lead"))))))</f>
        <v/>
      </c>
      <c r="S528" s="6"/>
      <c r="T528" s="6" t="str">
        <f aca="true">IF(MAX(F528,I528,K528)=0,"",TODAY()-MAX(F528,I528,K528))</f>
        <v/>
      </c>
      <c r="U528" s="6"/>
      <c r="V528" s="6"/>
      <c r="W528" s="6" t="str">
        <f aca="false">IF(AND($A528="",$B528=""),"",IF(M528="Ambassador","1 - Ambassador",IF(M528="Member","2 - Member",IF(J528="Completed","3 - Presented",IF(H528&lt;&gt;"","4 - Shared",IF(F528&lt;&gt;"","5 - Contacted","6 - No Activity"))))))</f>
        <v/>
      </c>
      <c r="X528" s="6" t="n">
        <f aca="false">IF(AND($A528="",$B528=""),9999999+(ROW()-4),VALUE(LEFT($W528,1))*10000+(ROW()-4))</f>
        <v>10000523</v>
      </c>
    </row>
    <row r="529" customFormat="false" ht="15" hidden="false" customHeight="true" outlineLevel="0" collapsed="false">
      <c r="A529" s="6"/>
      <c r="B529" s="6"/>
      <c r="C529" s="6"/>
      <c r="D529" s="6"/>
      <c r="E529" s="6"/>
      <c r="F529" s="7"/>
      <c r="G529" s="6"/>
      <c r="H529" s="6"/>
      <c r="I529" s="7"/>
      <c r="J529" s="6"/>
      <c r="K529" s="7"/>
      <c r="L529" s="6"/>
      <c r="M529" s="6"/>
      <c r="N529" s="7"/>
      <c r="O529" s="6"/>
      <c r="P529" s="6"/>
      <c r="Q529" s="7"/>
      <c r="R529" s="6" t="str">
        <f aca="false">IF(AND($A529="",$B529=""),"",IF(Q529="Complete","Onboarded",IF(OR(M529="Member",M529="Ambassador"),"Sponsored",IF(K529&lt;&gt;"","Follow-Up",IF(I529&lt;&gt;"","Presented",IF(F529&lt;&gt;"","Contacted","New Lead"))))))</f>
        <v/>
      </c>
      <c r="S529" s="6"/>
      <c r="T529" s="6" t="str">
        <f aca="true">IF(MAX(F529,I529,K529)=0,"",TODAY()-MAX(F529,I529,K529))</f>
        <v/>
      </c>
      <c r="U529" s="6"/>
      <c r="V529" s="6"/>
      <c r="W529" s="6" t="str">
        <f aca="false">IF(AND($A529="",$B529=""),"",IF(M529="Ambassador","1 - Ambassador",IF(M529="Member","2 - Member",IF(J529="Completed","3 - Presented",IF(H529&lt;&gt;"","4 - Shared",IF(F529&lt;&gt;"","5 - Contacted","6 - No Activity"))))))</f>
        <v/>
      </c>
      <c r="X529" s="6" t="n">
        <f aca="false">IF(AND($A529="",$B529=""),9999999+(ROW()-4),VALUE(LEFT($W529,1))*10000+(ROW()-4))</f>
        <v>10000524</v>
      </c>
    </row>
    <row r="530" customFormat="false" ht="15" hidden="false" customHeight="true" outlineLevel="0" collapsed="false">
      <c r="A530" s="6"/>
      <c r="B530" s="6"/>
      <c r="C530" s="6"/>
      <c r="D530" s="6"/>
      <c r="E530" s="6"/>
      <c r="F530" s="7"/>
      <c r="G530" s="6"/>
      <c r="H530" s="6"/>
      <c r="I530" s="7"/>
      <c r="J530" s="6"/>
      <c r="K530" s="7"/>
      <c r="L530" s="6"/>
      <c r="M530" s="6"/>
      <c r="N530" s="7"/>
      <c r="O530" s="6"/>
      <c r="P530" s="6"/>
      <c r="Q530" s="7"/>
      <c r="R530" s="6" t="str">
        <f aca="false">IF(AND($A530="",$B530=""),"",IF(Q530="Complete","Onboarded",IF(OR(M530="Member",M530="Ambassador"),"Sponsored",IF(K530&lt;&gt;"","Follow-Up",IF(I530&lt;&gt;"","Presented",IF(F530&lt;&gt;"","Contacted","New Lead"))))))</f>
        <v/>
      </c>
      <c r="S530" s="6"/>
      <c r="T530" s="6" t="str">
        <f aca="true">IF(MAX(F530,I530,K530)=0,"",TODAY()-MAX(F530,I530,K530))</f>
        <v/>
      </c>
      <c r="U530" s="6"/>
      <c r="V530" s="6"/>
      <c r="W530" s="6" t="str">
        <f aca="false">IF(AND($A530="",$B530=""),"",IF(M530="Ambassador","1 - Ambassador",IF(M530="Member","2 - Member",IF(J530="Completed","3 - Presented",IF(H530&lt;&gt;"","4 - Shared",IF(F530&lt;&gt;"","5 - Contacted","6 - No Activity"))))))</f>
        <v/>
      </c>
      <c r="X530" s="6" t="n">
        <f aca="false">IF(AND($A530="",$B530=""),9999999+(ROW()-4),VALUE(LEFT($W530,1))*10000+(ROW()-4))</f>
        <v>10000525</v>
      </c>
    </row>
    <row r="531" customFormat="false" ht="15" hidden="false" customHeight="true" outlineLevel="0" collapsed="false">
      <c r="A531" s="6"/>
      <c r="B531" s="6"/>
      <c r="C531" s="6"/>
      <c r="D531" s="6"/>
      <c r="E531" s="6"/>
      <c r="F531" s="7"/>
      <c r="G531" s="6"/>
      <c r="H531" s="6"/>
      <c r="I531" s="7"/>
      <c r="J531" s="6"/>
      <c r="K531" s="7"/>
      <c r="L531" s="6"/>
      <c r="M531" s="6"/>
      <c r="N531" s="7"/>
      <c r="O531" s="6"/>
      <c r="P531" s="6"/>
      <c r="Q531" s="7"/>
      <c r="R531" s="6" t="str">
        <f aca="false">IF(AND($A531="",$B531=""),"",IF(Q531="Complete","Onboarded",IF(OR(M531="Member",M531="Ambassador"),"Sponsored",IF(K531&lt;&gt;"","Follow-Up",IF(I531&lt;&gt;"","Presented",IF(F531&lt;&gt;"","Contacted","New Lead"))))))</f>
        <v/>
      </c>
      <c r="S531" s="6"/>
      <c r="T531" s="6" t="str">
        <f aca="true">IF(MAX(F531,I531,K531)=0,"",TODAY()-MAX(F531,I531,K531))</f>
        <v/>
      </c>
      <c r="U531" s="6"/>
      <c r="V531" s="6"/>
      <c r="W531" s="6" t="str">
        <f aca="false">IF(AND($A531="",$B531=""),"",IF(M531="Ambassador","1 - Ambassador",IF(M531="Member","2 - Member",IF(J531="Completed","3 - Presented",IF(H531&lt;&gt;"","4 - Shared",IF(F531&lt;&gt;"","5 - Contacted","6 - No Activity"))))))</f>
        <v/>
      </c>
      <c r="X531" s="6" t="n">
        <f aca="false">IF(AND($A531="",$B531=""),9999999+(ROW()-4),VALUE(LEFT($W531,1))*10000+(ROW()-4))</f>
        <v>10000526</v>
      </c>
    </row>
    <row r="532" customFormat="false" ht="15" hidden="false" customHeight="true" outlineLevel="0" collapsed="false">
      <c r="A532" s="6"/>
      <c r="B532" s="6"/>
      <c r="C532" s="6"/>
      <c r="D532" s="6"/>
      <c r="E532" s="6"/>
      <c r="F532" s="7"/>
      <c r="G532" s="6"/>
      <c r="H532" s="6"/>
      <c r="I532" s="7"/>
      <c r="J532" s="6"/>
      <c r="K532" s="7"/>
      <c r="L532" s="6"/>
      <c r="M532" s="6"/>
      <c r="N532" s="7"/>
      <c r="O532" s="6"/>
      <c r="P532" s="6"/>
      <c r="Q532" s="7"/>
      <c r="R532" s="6" t="str">
        <f aca="false">IF(AND($A532="",$B532=""),"",IF(Q532="Complete","Onboarded",IF(OR(M532="Member",M532="Ambassador"),"Sponsored",IF(K532&lt;&gt;"","Follow-Up",IF(I532&lt;&gt;"","Presented",IF(F532&lt;&gt;"","Contacted","New Lead"))))))</f>
        <v/>
      </c>
      <c r="S532" s="6"/>
      <c r="T532" s="6" t="str">
        <f aca="true">IF(MAX(F532,I532,K532)=0,"",TODAY()-MAX(F532,I532,K532))</f>
        <v/>
      </c>
      <c r="U532" s="6"/>
      <c r="V532" s="6"/>
      <c r="W532" s="6" t="str">
        <f aca="false">IF(AND($A532="",$B532=""),"",IF(M532="Ambassador","1 - Ambassador",IF(M532="Member","2 - Member",IF(J532="Completed","3 - Presented",IF(H532&lt;&gt;"","4 - Shared",IF(F532&lt;&gt;"","5 - Contacted","6 - No Activity"))))))</f>
        <v/>
      </c>
      <c r="X532" s="6" t="n">
        <f aca="false">IF(AND($A532="",$B532=""),9999999+(ROW()-4),VALUE(LEFT($W532,1))*10000+(ROW()-4))</f>
        <v>10000527</v>
      </c>
    </row>
    <row r="533" customFormat="false" ht="15" hidden="false" customHeight="true" outlineLevel="0" collapsed="false">
      <c r="A533" s="6"/>
      <c r="B533" s="6"/>
      <c r="C533" s="6"/>
      <c r="D533" s="6"/>
      <c r="E533" s="6"/>
      <c r="F533" s="7"/>
      <c r="G533" s="6"/>
      <c r="H533" s="6"/>
      <c r="I533" s="7"/>
      <c r="J533" s="6"/>
      <c r="K533" s="7"/>
      <c r="L533" s="6"/>
      <c r="M533" s="6"/>
      <c r="N533" s="7"/>
      <c r="O533" s="6"/>
      <c r="P533" s="6"/>
      <c r="Q533" s="7"/>
      <c r="R533" s="6" t="str">
        <f aca="false">IF(AND($A533="",$B533=""),"",IF(Q533="Complete","Onboarded",IF(OR(M533="Member",M533="Ambassador"),"Sponsored",IF(K533&lt;&gt;"","Follow-Up",IF(I533&lt;&gt;"","Presented",IF(F533&lt;&gt;"","Contacted","New Lead"))))))</f>
        <v/>
      </c>
      <c r="S533" s="6"/>
      <c r="T533" s="6" t="str">
        <f aca="true">IF(MAX(F533,I533,K533)=0,"",TODAY()-MAX(F533,I533,K533))</f>
        <v/>
      </c>
      <c r="U533" s="6"/>
      <c r="V533" s="6"/>
      <c r="W533" s="6" t="str">
        <f aca="false">IF(AND($A533="",$B533=""),"",IF(M533="Ambassador","1 - Ambassador",IF(M533="Member","2 - Member",IF(J533="Completed","3 - Presented",IF(H533&lt;&gt;"","4 - Shared",IF(F533&lt;&gt;"","5 - Contacted","6 - No Activity"))))))</f>
        <v/>
      </c>
      <c r="X533" s="6" t="n">
        <f aca="false">IF(AND($A533="",$B533=""),9999999+(ROW()-4),VALUE(LEFT($W533,1))*10000+(ROW()-4))</f>
        <v>10000528</v>
      </c>
    </row>
    <row r="534" customFormat="false" ht="15" hidden="false" customHeight="true" outlineLevel="0" collapsed="false">
      <c r="A534" s="6"/>
      <c r="B534" s="6"/>
      <c r="C534" s="6"/>
      <c r="D534" s="6"/>
      <c r="E534" s="6"/>
      <c r="F534" s="7"/>
      <c r="G534" s="6"/>
      <c r="H534" s="6"/>
      <c r="I534" s="7"/>
      <c r="J534" s="6"/>
      <c r="K534" s="7"/>
      <c r="L534" s="6"/>
      <c r="M534" s="6"/>
      <c r="N534" s="7"/>
      <c r="O534" s="6"/>
      <c r="P534" s="6"/>
      <c r="Q534" s="7"/>
      <c r="R534" s="6" t="str">
        <f aca="false">IF(AND($A534="",$B534=""),"",IF(Q534="Complete","Onboarded",IF(OR(M534="Member",M534="Ambassador"),"Sponsored",IF(K534&lt;&gt;"","Follow-Up",IF(I534&lt;&gt;"","Presented",IF(F534&lt;&gt;"","Contacted","New Lead"))))))</f>
        <v/>
      </c>
      <c r="S534" s="6"/>
      <c r="T534" s="6" t="str">
        <f aca="true">IF(MAX(F534,I534,K534)=0,"",TODAY()-MAX(F534,I534,K534))</f>
        <v/>
      </c>
      <c r="U534" s="6"/>
      <c r="V534" s="6"/>
      <c r="W534" s="6" t="str">
        <f aca="false">IF(AND($A534="",$B534=""),"",IF(M534="Ambassador","1 - Ambassador",IF(M534="Member","2 - Member",IF(J534="Completed","3 - Presented",IF(H534&lt;&gt;"","4 - Shared",IF(F534&lt;&gt;"","5 - Contacted","6 - No Activity"))))))</f>
        <v/>
      </c>
      <c r="X534" s="6" t="n">
        <f aca="false">IF(AND($A534="",$B534=""),9999999+(ROW()-4),VALUE(LEFT($W534,1))*10000+(ROW()-4))</f>
        <v>10000529</v>
      </c>
    </row>
    <row r="535" customFormat="false" ht="15" hidden="false" customHeight="true" outlineLevel="0" collapsed="false">
      <c r="A535" s="6"/>
      <c r="B535" s="6"/>
      <c r="C535" s="6"/>
      <c r="D535" s="6"/>
      <c r="E535" s="6"/>
      <c r="F535" s="7"/>
      <c r="G535" s="6"/>
      <c r="H535" s="6"/>
      <c r="I535" s="7"/>
      <c r="J535" s="6"/>
      <c r="K535" s="7"/>
      <c r="L535" s="6"/>
      <c r="M535" s="6"/>
      <c r="N535" s="7"/>
      <c r="O535" s="6"/>
      <c r="P535" s="6"/>
      <c r="Q535" s="7"/>
      <c r="R535" s="6" t="str">
        <f aca="false">IF(AND($A535="",$B535=""),"",IF(Q535="Complete","Onboarded",IF(OR(M535="Member",M535="Ambassador"),"Sponsored",IF(K535&lt;&gt;"","Follow-Up",IF(I535&lt;&gt;"","Presented",IF(F535&lt;&gt;"","Contacted","New Lead"))))))</f>
        <v/>
      </c>
      <c r="S535" s="6"/>
      <c r="T535" s="6" t="str">
        <f aca="true">IF(MAX(F535,I535,K535)=0,"",TODAY()-MAX(F535,I535,K535))</f>
        <v/>
      </c>
      <c r="U535" s="6"/>
      <c r="V535" s="6"/>
      <c r="W535" s="6" t="str">
        <f aca="false">IF(AND($A535="",$B535=""),"",IF(M535="Ambassador","1 - Ambassador",IF(M535="Member","2 - Member",IF(J535="Completed","3 - Presented",IF(H535&lt;&gt;"","4 - Shared",IF(F535&lt;&gt;"","5 - Contacted","6 - No Activity"))))))</f>
        <v/>
      </c>
      <c r="X535" s="6" t="n">
        <f aca="false">IF(AND($A535="",$B535=""),9999999+(ROW()-4),VALUE(LEFT($W535,1))*10000+(ROW()-4))</f>
        <v>10000530</v>
      </c>
    </row>
    <row r="536" customFormat="false" ht="15" hidden="false" customHeight="true" outlineLevel="0" collapsed="false">
      <c r="A536" s="6"/>
      <c r="B536" s="6"/>
      <c r="C536" s="6"/>
      <c r="D536" s="6"/>
      <c r="E536" s="6"/>
      <c r="F536" s="7"/>
      <c r="G536" s="6"/>
      <c r="H536" s="6"/>
      <c r="I536" s="7"/>
      <c r="J536" s="6"/>
      <c r="K536" s="7"/>
      <c r="L536" s="6"/>
      <c r="M536" s="6"/>
      <c r="N536" s="7"/>
      <c r="O536" s="6"/>
      <c r="P536" s="6"/>
      <c r="Q536" s="7"/>
      <c r="R536" s="6" t="str">
        <f aca="false">IF(AND($A536="",$B536=""),"",IF(Q536="Complete","Onboarded",IF(OR(M536="Member",M536="Ambassador"),"Sponsored",IF(K536&lt;&gt;"","Follow-Up",IF(I536&lt;&gt;"","Presented",IF(F536&lt;&gt;"","Contacted","New Lead"))))))</f>
        <v/>
      </c>
      <c r="S536" s="6"/>
      <c r="T536" s="6" t="str">
        <f aca="true">IF(MAX(F536,I536,K536)=0,"",TODAY()-MAX(F536,I536,K536))</f>
        <v/>
      </c>
      <c r="U536" s="6"/>
      <c r="V536" s="6"/>
      <c r="W536" s="6" t="str">
        <f aca="false">IF(AND($A536="",$B536=""),"",IF(M536="Ambassador","1 - Ambassador",IF(M536="Member","2 - Member",IF(J536="Completed","3 - Presented",IF(H536&lt;&gt;"","4 - Shared",IF(F536&lt;&gt;"","5 - Contacted","6 - No Activity"))))))</f>
        <v/>
      </c>
      <c r="X536" s="6" t="n">
        <f aca="false">IF(AND($A536="",$B536=""),9999999+(ROW()-4),VALUE(LEFT($W536,1))*10000+(ROW()-4))</f>
        <v>10000531</v>
      </c>
    </row>
    <row r="537" customFormat="false" ht="15" hidden="false" customHeight="true" outlineLevel="0" collapsed="false">
      <c r="A537" s="6"/>
      <c r="B537" s="6"/>
      <c r="C537" s="6"/>
      <c r="D537" s="6"/>
      <c r="E537" s="6"/>
      <c r="F537" s="7"/>
      <c r="G537" s="6"/>
      <c r="H537" s="6"/>
      <c r="I537" s="7"/>
      <c r="J537" s="6"/>
      <c r="K537" s="7"/>
      <c r="L537" s="6"/>
      <c r="M537" s="6"/>
      <c r="N537" s="7"/>
      <c r="O537" s="6"/>
      <c r="P537" s="6"/>
      <c r="Q537" s="7"/>
      <c r="R537" s="6" t="str">
        <f aca="false">IF(AND($A537="",$B537=""),"",IF(Q537="Complete","Onboarded",IF(OR(M537="Member",M537="Ambassador"),"Sponsored",IF(K537&lt;&gt;"","Follow-Up",IF(I537&lt;&gt;"","Presented",IF(F537&lt;&gt;"","Contacted","New Lead"))))))</f>
        <v/>
      </c>
      <c r="S537" s="6"/>
      <c r="T537" s="6" t="str">
        <f aca="true">IF(MAX(F537,I537,K537)=0,"",TODAY()-MAX(F537,I537,K537))</f>
        <v/>
      </c>
      <c r="U537" s="6"/>
      <c r="V537" s="6"/>
      <c r="W537" s="6" t="str">
        <f aca="false">IF(AND($A537="",$B537=""),"",IF(M537="Ambassador","1 - Ambassador",IF(M537="Member","2 - Member",IF(J537="Completed","3 - Presented",IF(H537&lt;&gt;"","4 - Shared",IF(F537&lt;&gt;"","5 - Contacted","6 - No Activity"))))))</f>
        <v/>
      </c>
      <c r="X537" s="6" t="n">
        <f aca="false">IF(AND($A537="",$B537=""),9999999+(ROW()-4),VALUE(LEFT($W537,1))*10000+(ROW()-4))</f>
        <v>10000532</v>
      </c>
    </row>
    <row r="538" customFormat="false" ht="15" hidden="false" customHeight="true" outlineLevel="0" collapsed="false">
      <c r="A538" s="6"/>
      <c r="B538" s="6"/>
      <c r="C538" s="6"/>
      <c r="D538" s="6"/>
      <c r="E538" s="6"/>
      <c r="F538" s="7"/>
      <c r="G538" s="6"/>
      <c r="H538" s="6"/>
      <c r="I538" s="7"/>
      <c r="J538" s="6"/>
      <c r="K538" s="7"/>
      <c r="L538" s="6"/>
      <c r="M538" s="6"/>
      <c r="N538" s="7"/>
      <c r="O538" s="6"/>
      <c r="P538" s="6"/>
      <c r="Q538" s="7"/>
      <c r="R538" s="6" t="str">
        <f aca="false">IF(AND($A538="",$B538=""),"",IF(Q538="Complete","Onboarded",IF(OR(M538="Member",M538="Ambassador"),"Sponsored",IF(K538&lt;&gt;"","Follow-Up",IF(I538&lt;&gt;"","Presented",IF(F538&lt;&gt;"","Contacted","New Lead"))))))</f>
        <v/>
      </c>
      <c r="S538" s="6"/>
      <c r="T538" s="6" t="str">
        <f aca="true">IF(MAX(F538,I538,K538)=0,"",TODAY()-MAX(F538,I538,K538))</f>
        <v/>
      </c>
      <c r="U538" s="6"/>
      <c r="V538" s="6"/>
      <c r="W538" s="6" t="str">
        <f aca="false">IF(AND($A538="",$B538=""),"",IF(M538="Ambassador","1 - Ambassador",IF(M538="Member","2 - Member",IF(J538="Completed","3 - Presented",IF(H538&lt;&gt;"","4 - Shared",IF(F538&lt;&gt;"","5 - Contacted","6 - No Activity"))))))</f>
        <v/>
      </c>
      <c r="X538" s="6" t="n">
        <f aca="false">IF(AND($A538="",$B538=""),9999999+(ROW()-4),VALUE(LEFT($W538,1))*10000+(ROW()-4))</f>
        <v>10000533</v>
      </c>
    </row>
    <row r="539" customFormat="false" ht="15" hidden="false" customHeight="true" outlineLevel="0" collapsed="false">
      <c r="A539" s="6"/>
      <c r="B539" s="6"/>
      <c r="C539" s="6"/>
      <c r="D539" s="6"/>
      <c r="E539" s="6"/>
      <c r="F539" s="7"/>
      <c r="G539" s="6"/>
      <c r="H539" s="6"/>
      <c r="I539" s="7"/>
      <c r="J539" s="6"/>
      <c r="K539" s="7"/>
      <c r="L539" s="6"/>
      <c r="M539" s="6"/>
      <c r="N539" s="7"/>
      <c r="O539" s="6"/>
      <c r="P539" s="6"/>
      <c r="Q539" s="7"/>
      <c r="R539" s="6" t="str">
        <f aca="false">IF(AND($A539="",$B539=""),"",IF(Q539="Complete","Onboarded",IF(OR(M539="Member",M539="Ambassador"),"Sponsored",IF(K539&lt;&gt;"","Follow-Up",IF(I539&lt;&gt;"","Presented",IF(F539&lt;&gt;"","Contacted","New Lead"))))))</f>
        <v/>
      </c>
      <c r="S539" s="6"/>
      <c r="T539" s="6" t="str">
        <f aca="true">IF(MAX(F539,I539,K539)=0,"",TODAY()-MAX(F539,I539,K539))</f>
        <v/>
      </c>
      <c r="U539" s="6"/>
      <c r="V539" s="6"/>
      <c r="W539" s="6" t="str">
        <f aca="false">IF(AND($A539="",$B539=""),"",IF(M539="Ambassador","1 - Ambassador",IF(M539="Member","2 - Member",IF(J539="Completed","3 - Presented",IF(H539&lt;&gt;"","4 - Shared",IF(F539&lt;&gt;"","5 - Contacted","6 - No Activity"))))))</f>
        <v/>
      </c>
      <c r="X539" s="6" t="n">
        <f aca="false">IF(AND($A539="",$B539=""),9999999+(ROW()-4),VALUE(LEFT($W539,1))*10000+(ROW()-4))</f>
        <v>10000534</v>
      </c>
    </row>
    <row r="540" customFormat="false" ht="15" hidden="false" customHeight="true" outlineLevel="0" collapsed="false">
      <c r="A540" s="6"/>
      <c r="B540" s="6"/>
      <c r="C540" s="6"/>
      <c r="D540" s="6"/>
      <c r="E540" s="6"/>
      <c r="F540" s="7"/>
      <c r="G540" s="6"/>
      <c r="H540" s="6"/>
      <c r="I540" s="7"/>
      <c r="J540" s="6"/>
      <c r="K540" s="7"/>
      <c r="L540" s="6"/>
      <c r="M540" s="6"/>
      <c r="N540" s="7"/>
      <c r="O540" s="6"/>
      <c r="P540" s="6"/>
      <c r="Q540" s="7"/>
      <c r="R540" s="6" t="str">
        <f aca="false">IF(AND($A540="",$B540=""),"",IF(Q540="Complete","Onboarded",IF(OR(M540="Member",M540="Ambassador"),"Sponsored",IF(K540&lt;&gt;"","Follow-Up",IF(I540&lt;&gt;"","Presented",IF(F540&lt;&gt;"","Contacted","New Lead"))))))</f>
        <v/>
      </c>
      <c r="S540" s="6"/>
      <c r="T540" s="6" t="str">
        <f aca="true">IF(MAX(F540,I540,K540)=0,"",TODAY()-MAX(F540,I540,K540))</f>
        <v/>
      </c>
      <c r="U540" s="6"/>
      <c r="V540" s="6"/>
      <c r="W540" s="6" t="str">
        <f aca="false">IF(AND($A540="",$B540=""),"",IF(M540="Ambassador","1 - Ambassador",IF(M540="Member","2 - Member",IF(J540="Completed","3 - Presented",IF(H540&lt;&gt;"","4 - Shared",IF(F540&lt;&gt;"","5 - Contacted","6 - No Activity"))))))</f>
        <v/>
      </c>
      <c r="X540" s="6" t="n">
        <f aca="false">IF(AND($A540="",$B540=""),9999999+(ROW()-4),VALUE(LEFT($W540,1))*10000+(ROW()-4))</f>
        <v>10000535</v>
      </c>
    </row>
    <row r="541" customFormat="false" ht="15" hidden="false" customHeight="true" outlineLevel="0" collapsed="false">
      <c r="A541" s="6"/>
      <c r="B541" s="6"/>
      <c r="C541" s="6"/>
      <c r="D541" s="6"/>
      <c r="E541" s="6"/>
      <c r="F541" s="7"/>
      <c r="G541" s="6"/>
      <c r="H541" s="6"/>
      <c r="I541" s="7"/>
      <c r="J541" s="6"/>
      <c r="K541" s="7"/>
      <c r="L541" s="6"/>
      <c r="M541" s="6"/>
      <c r="N541" s="7"/>
      <c r="O541" s="6"/>
      <c r="P541" s="6"/>
      <c r="Q541" s="7"/>
      <c r="R541" s="6" t="str">
        <f aca="false">IF(AND($A541="",$B541=""),"",IF(Q541="Complete","Onboarded",IF(OR(M541="Member",M541="Ambassador"),"Sponsored",IF(K541&lt;&gt;"","Follow-Up",IF(I541&lt;&gt;"","Presented",IF(F541&lt;&gt;"","Contacted","New Lead"))))))</f>
        <v/>
      </c>
      <c r="S541" s="6"/>
      <c r="T541" s="6" t="str">
        <f aca="true">IF(MAX(F541,I541,K541)=0,"",TODAY()-MAX(F541,I541,K541))</f>
        <v/>
      </c>
      <c r="U541" s="6"/>
      <c r="V541" s="6"/>
      <c r="W541" s="6" t="str">
        <f aca="false">IF(AND($A541="",$B541=""),"",IF(M541="Ambassador","1 - Ambassador",IF(M541="Member","2 - Member",IF(J541="Completed","3 - Presented",IF(H541&lt;&gt;"","4 - Shared",IF(F541&lt;&gt;"","5 - Contacted","6 - No Activity"))))))</f>
        <v/>
      </c>
      <c r="X541" s="6" t="n">
        <f aca="false">IF(AND($A541="",$B541=""),9999999+(ROW()-4),VALUE(LEFT($W541,1))*10000+(ROW()-4))</f>
        <v>10000536</v>
      </c>
    </row>
    <row r="542" customFormat="false" ht="15" hidden="false" customHeight="true" outlineLevel="0" collapsed="false">
      <c r="A542" s="6"/>
      <c r="B542" s="6"/>
      <c r="C542" s="6"/>
      <c r="D542" s="6"/>
      <c r="E542" s="6"/>
      <c r="F542" s="7"/>
      <c r="G542" s="6"/>
      <c r="H542" s="6"/>
      <c r="I542" s="7"/>
      <c r="J542" s="6"/>
      <c r="K542" s="7"/>
      <c r="L542" s="6"/>
      <c r="M542" s="6"/>
      <c r="N542" s="7"/>
      <c r="O542" s="6"/>
      <c r="P542" s="6"/>
      <c r="Q542" s="7"/>
      <c r="R542" s="6" t="str">
        <f aca="false">IF(AND($A542="",$B542=""),"",IF(Q542="Complete","Onboarded",IF(OR(M542="Member",M542="Ambassador"),"Sponsored",IF(K542&lt;&gt;"","Follow-Up",IF(I542&lt;&gt;"","Presented",IF(F542&lt;&gt;"","Contacted","New Lead"))))))</f>
        <v/>
      </c>
      <c r="S542" s="6"/>
      <c r="T542" s="6" t="str">
        <f aca="true">IF(MAX(F542,I542,K542)=0,"",TODAY()-MAX(F542,I542,K542))</f>
        <v/>
      </c>
      <c r="U542" s="6"/>
      <c r="V542" s="6"/>
      <c r="W542" s="6" t="str">
        <f aca="false">IF(AND($A542="",$B542=""),"",IF(M542="Ambassador","1 - Ambassador",IF(M542="Member","2 - Member",IF(J542="Completed","3 - Presented",IF(H542&lt;&gt;"","4 - Shared",IF(F542&lt;&gt;"","5 - Contacted","6 - No Activity"))))))</f>
        <v/>
      </c>
      <c r="X542" s="6" t="n">
        <f aca="false">IF(AND($A542="",$B542=""),9999999+(ROW()-4),VALUE(LEFT($W542,1))*10000+(ROW()-4))</f>
        <v>10000537</v>
      </c>
    </row>
    <row r="543" customFormat="false" ht="15" hidden="false" customHeight="true" outlineLevel="0" collapsed="false">
      <c r="A543" s="6"/>
      <c r="B543" s="6"/>
      <c r="C543" s="6"/>
      <c r="D543" s="6"/>
      <c r="E543" s="6"/>
      <c r="F543" s="7"/>
      <c r="G543" s="6"/>
      <c r="H543" s="6"/>
      <c r="I543" s="7"/>
      <c r="J543" s="6"/>
      <c r="K543" s="7"/>
      <c r="L543" s="6"/>
      <c r="M543" s="6"/>
      <c r="N543" s="7"/>
      <c r="O543" s="6"/>
      <c r="P543" s="6"/>
      <c r="Q543" s="7"/>
      <c r="R543" s="6" t="str">
        <f aca="false">IF(AND($A543="",$B543=""),"",IF(Q543="Complete","Onboarded",IF(OR(M543="Member",M543="Ambassador"),"Sponsored",IF(K543&lt;&gt;"","Follow-Up",IF(I543&lt;&gt;"","Presented",IF(F543&lt;&gt;"","Contacted","New Lead"))))))</f>
        <v/>
      </c>
      <c r="S543" s="6"/>
      <c r="T543" s="6" t="str">
        <f aca="true">IF(MAX(F543,I543,K543)=0,"",TODAY()-MAX(F543,I543,K543))</f>
        <v/>
      </c>
      <c r="U543" s="6"/>
      <c r="V543" s="6"/>
      <c r="W543" s="6" t="str">
        <f aca="false">IF(AND($A543="",$B543=""),"",IF(M543="Ambassador","1 - Ambassador",IF(M543="Member","2 - Member",IF(J543="Completed","3 - Presented",IF(H543&lt;&gt;"","4 - Shared",IF(F543&lt;&gt;"","5 - Contacted","6 - No Activity"))))))</f>
        <v/>
      </c>
      <c r="X543" s="6" t="n">
        <f aca="false">IF(AND($A543="",$B543=""),9999999+(ROW()-4),VALUE(LEFT($W543,1))*10000+(ROW()-4))</f>
        <v>10000538</v>
      </c>
    </row>
    <row r="544" customFormat="false" ht="15" hidden="false" customHeight="true" outlineLevel="0" collapsed="false">
      <c r="A544" s="6"/>
      <c r="B544" s="6"/>
      <c r="C544" s="6"/>
      <c r="D544" s="6"/>
      <c r="E544" s="6"/>
      <c r="F544" s="7"/>
      <c r="G544" s="6"/>
      <c r="H544" s="6"/>
      <c r="I544" s="7"/>
      <c r="J544" s="6"/>
      <c r="K544" s="7"/>
      <c r="L544" s="6"/>
      <c r="M544" s="6"/>
      <c r="N544" s="7"/>
      <c r="O544" s="6"/>
      <c r="P544" s="6"/>
      <c r="Q544" s="7"/>
      <c r="R544" s="6" t="str">
        <f aca="false">IF(AND($A544="",$B544=""),"",IF(Q544="Complete","Onboarded",IF(OR(M544="Member",M544="Ambassador"),"Sponsored",IF(K544&lt;&gt;"","Follow-Up",IF(I544&lt;&gt;"","Presented",IF(F544&lt;&gt;"","Contacted","New Lead"))))))</f>
        <v/>
      </c>
      <c r="S544" s="6"/>
      <c r="T544" s="6" t="str">
        <f aca="true">IF(MAX(F544,I544,K544)=0,"",TODAY()-MAX(F544,I544,K544))</f>
        <v/>
      </c>
      <c r="U544" s="6"/>
      <c r="V544" s="6"/>
      <c r="W544" s="6" t="str">
        <f aca="false">IF(AND($A544="",$B544=""),"",IF(M544="Ambassador","1 - Ambassador",IF(M544="Member","2 - Member",IF(J544="Completed","3 - Presented",IF(H544&lt;&gt;"","4 - Shared",IF(F544&lt;&gt;"","5 - Contacted","6 - No Activity"))))))</f>
        <v/>
      </c>
      <c r="X544" s="6" t="n">
        <f aca="false">IF(AND($A544="",$B544=""),9999999+(ROW()-4),VALUE(LEFT($W544,1))*10000+(ROW()-4))</f>
        <v>10000539</v>
      </c>
    </row>
    <row r="545" customFormat="false" ht="15" hidden="false" customHeight="true" outlineLevel="0" collapsed="false">
      <c r="A545" s="6"/>
      <c r="B545" s="6"/>
      <c r="C545" s="6"/>
      <c r="D545" s="6"/>
      <c r="E545" s="6"/>
      <c r="F545" s="7"/>
      <c r="G545" s="6"/>
      <c r="H545" s="6"/>
      <c r="I545" s="7"/>
      <c r="J545" s="6"/>
      <c r="K545" s="7"/>
      <c r="L545" s="6"/>
      <c r="M545" s="6"/>
      <c r="N545" s="7"/>
      <c r="O545" s="6"/>
      <c r="P545" s="6"/>
      <c r="Q545" s="7"/>
      <c r="R545" s="6" t="str">
        <f aca="false">IF(AND($A545="",$B545=""),"",IF(Q545="Complete","Onboarded",IF(OR(M545="Member",M545="Ambassador"),"Sponsored",IF(K545&lt;&gt;"","Follow-Up",IF(I545&lt;&gt;"","Presented",IF(F545&lt;&gt;"","Contacted","New Lead"))))))</f>
        <v/>
      </c>
      <c r="S545" s="6"/>
      <c r="T545" s="6" t="str">
        <f aca="true">IF(MAX(F545,I545,K545)=0,"",TODAY()-MAX(F545,I545,K545))</f>
        <v/>
      </c>
      <c r="U545" s="6"/>
      <c r="V545" s="6"/>
      <c r="W545" s="6" t="str">
        <f aca="false">IF(AND($A545="",$B545=""),"",IF(M545="Ambassador","1 - Ambassador",IF(M545="Member","2 - Member",IF(J545="Completed","3 - Presented",IF(H545&lt;&gt;"","4 - Shared",IF(F545&lt;&gt;"","5 - Contacted","6 - No Activity"))))))</f>
        <v/>
      </c>
      <c r="X545" s="6" t="n">
        <f aca="false">IF(AND($A545="",$B545=""),9999999+(ROW()-4),VALUE(LEFT($W545,1))*10000+(ROW()-4))</f>
        <v>10000540</v>
      </c>
    </row>
    <row r="546" customFormat="false" ht="15" hidden="false" customHeight="true" outlineLevel="0" collapsed="false">
      <c r="A546" s="6"/>
      <c r="B546" s="6"/>
      <c r="C546" s="6"/>
      <c r="D546" s="6"/>
      <c r="E546" s="6"/>
      <c r="F546" s="7"/>
      <c r="G546" s="6"/>
      <c r="H546" s="6"/>
      <c r="I546" s="7"/>
      <c r="J546" s="6"/>
      <c r="K546" s="7"/>
      <c r="L546" s="6"/>
      <c r="M546" s="6"/>
      <c r="N546" s="7"/>
      <c r="O546" s="6"/>
      <c r="P546" s="6"/>
      <c r="Q546" s="7"/>
      <c r="R546" s="6" t="str">
        <f aca="false">IF(AND($A546="",$B546=""),"",IF(Q546="Complete","Onboarded",IF(OR(M546="Member",M546="Ambassador"),"Sponsored",IF(K546&lt;&gt;"","Follow-Up",IF(I546&lt;&gt;"","Presented",IF(F546&lt;&gt;"","Contacted","New Lead"))))))</f>
        <v/>
      </c>
      <c r="S546" s="6"/>
      <c r="T546" s="6" t="str">
        <f aca="true">IF(MAX(F546,I546,K546)=0,"",TODAY()-MAX(F546,I546,K546))</f>
        <v/>
      </c>
      <c r="U546" s="6"/>
      <c r="V546" s="6"/>
      <c r="W546" s="6" t="str">
        <f aca="false">IF(AND($A546="",$B546=""),"",IF(M546="Ambassador","1 - Ambassador",IF(M546="Member","2 - Member",IF(J546="Completed","3 - Presented",IF(H546&lt;&gt;"","4 - Shared",IF(F546&lt;&gt;"","5 - Contacted","6 - No Activity"))))))</f>
        <v/>
      </c>
      <c r="X546" s="6" t="n">
        <f aca="false">IF(AND($A546="",$B546=""),9999999+(ROW()-4),VALUE(LEFT($W546,1))*10000+(ROW()-4))</f>
        <v>10000541</v>
      </c>
    </row>
    <row r="547" customFormat="false" ht="15" hidden="false" customHeight="true" outlineLevel="0" collapsed="false">
      <c r="A547" s="6"/>
      <c r="B547" s="6"/>
      <c r="C547" s="6"/>
      <c r="D547" s="6"/>
      <c r="E547" s="6"/>
      <c r="F547" s="7"/>
      <c r="G547" s="6"/>
      <c r="H547" s="6"/>
      <c r="I547" s="7"/>
      <c r="J547" s="6"/>
      <c r="K547" s="7"/>
      <c r="L547" s="6"/>
      <c r="M547" s="6"/>
      <c r="N547" s="7"/>
      <c r="O547" s="6"/>
      <c r="P547" s="6"/>
      <c r="Q547" s="7"/>
      <c r="R547" s="6" t="str">
        <f aca="false">IF(AND($A547="",$B547=""),"",IF(Q547="Complete","Onboarded",IF(OR(M547="Member",M547="Ambassador"),"Sponsored",IF(K547&lt;&gt;"","Follow-Up",IF(I547&lt;&gt;"","Presented",IF(F547&lt;&gt;"","Contacted","New Lead"))))))</f>
        <v/>
      </c>
      <c r="S547" s="6"/>
      <c r="T547" s="6" t="str">
        <f aca="true">IF(MAX(F547,I547,K547)=0,"",TODAY()-MAX(F547,I547,K547))</f>
        <v/>
      </c>
      <c r="U547" s="6"/>
      <c r="V547" s="6"/>
      <c r="W547" s="6" t="str">
        <f aca="false">IF(AND($A547="",$B547=""),"",IF(M547="Ambassador","1 - Ambassador",IF(M547="Member","2 - Member",IF(J547="Completed","3 - Presented",IF(H547&lt;&gt;"","4 - Shared",IF(F547&lt;&gt;"","5 - Contacted","6 - No Activity"))))))</f>
        <v/>
      </c>
      <c r="X547" s="6" t="n">
        <f aca="false">IF(AND($A547="",$B547=""),9999999+(ROW()-4),VALUE(LEFT($W547,1))*10000+(ROW()-4))</f>
        <v>10000542</v>
      </c>
    </row>
    <row r="548" customFormat="false" ht="15" hidden="false" customHeight="true" outlineLevel="0" collapsed="false">
      <c r="A548" s="6"/>
      <c r="B548" s="6"/>
      <c r="C548" s="6"/>
      <c r="D548" s="6"/>
      <c r="E548" s="6"/>
      <c r="F548" s="7"/>
      <c r="G548" s="6"/>
      <c r="H548" s="6"/>
      <c r="I548" s="7"/>
      <c r="J548" s="6"/>
      <c r="K548" s="7"/>
      <c r="L548" s="6"/>
      <c r="M548" s="6"/>
      <c r="N548" s="7"/>
      <c r="O548" s="6"/>
      <c r="P548" s="6"/>
      <c r="Q548" s="7"/>
      <c r="R548" s="6" t="str">
        <f aca="false">IF(AND($A548="",$B548=""),"",IF(Q548="Complete","Onboarded",IF(OR(M548="Member",M548="Ambassador"),"Sponsored",IF(K548&lt;&gt;"","Follow-Up",IF(I548&lt;&gt;"","Presented",IF(F548&lt;&gt;"","Contacted","New Lead"))))))</f>
        <v/>
      </c>
      <c r="S548" s="6"/>
      <c r="T548" s="6" t="str">
        <f aca="true">IF(MAX(F548,I548,K548)=0,"",TODAY()-MAX(F548,I548,K548))</f>
        <v/>
      </c>
      <c r="U548" s="6"/>
      <c r="V548" s="6"/>
      <c r="W548" s="6" t="str">
        <f aca="false">IF(AND($A548="",$B548=""),"",IF(M548="Ambassador","1 - Ambassador",IF(M548="Member","2 - Member",IF(J548="Completed","3 - Presented",IF(H548&lt;&gt;"","4 - Shared",IF(F548&lt;&gt;"","5 - Contacted","6 - No Activity"))))))</f>
        <v/>
      </c>
      <c r="X548" s="6" t="n">
        <f aca="false">IF(AND($A548="",$B548=""),9999999+(ROW()-4),VALUE(LEFT($W548,1))*10000+(ROW()-4))</f>
        <v>10000543</v>
      </c>
    </row>
    <row r="549" customFormat="false" ht="15" hidden="false" customHeight="true" outlineLevel="0" collapsed="false">
      <c r="A549" s="6"/>
      <c r="B549" s="6"/>
      <c r="C549" s="6"/>
      <c r="D549" s="6"/>
      <c r="E549" s="6"/>
      <c r="F549" s="7"/>
      <c r="G549" s="6"/>
      <c r="H549" s="6"/>
      <c r="I549" s="7"/>
      <c r="J549" s="6"/>
      <c r="K549" s="7"/>
      <c r="L549" s="6"/>
      <c r="M549" s="6"/>
      <c r="N549" s="7"/>
      <c r="O549" s="6"/>
      <c r="P549" s="6"/>
      <c r="Q549" s="7"/>
      <c r="R549" s="6" t="str">
        <f aca="false">IF(AND($A549="",$B549=""),"",IF(Q549="Complete","Onboarded",IF(OR(M549="Member",M549="Ambassador"),"Sponsored",IF(K549&lt;&gt;"","Follow-Up",IF(I549&lt;&gt;"","Presented",IF(F549&lt;&gt;"","Contacted","New Lead"))))))</f>
        <v/>
      </c>
      <c r="S549" s="6"/>
      <c r="T549" s="6" t="str">
        <f aca="true">IF(MAX(F549,I549,K549)=0,"",TODAY()-MAX(F549,I549,K549))</f>
        <v/>
      </c>
      <c r="U549" s="6"/>
      <c r="V549" s="6"/>
      <c r="W549" s="6" t="str">
        <f aca="false">IF(AND($A549="",$B549=""),"",IF(M549="Ambassador","1 - Ambassador",IF(M549="Member","2 - Member",IF(J549="Completed","3 - Presented",IF(H549&lt;&gt;"","4 - Shared",IF(F549&lt;&gt;"","5 - Contacted","6 - No Activity"))))))</f>
        <v/>
      </c>
      <c r="X549" s="6" t="n">
        <f aca="false">IF(AND($A549="",$B549=""),9999999+(ROW()-4),VALUE(LEFT($W549,1))*10000+(ROW()-4))</f>
        <v>10000544</v>
      </c>
    </row>
    <row r="550" customFormat="false" ht="15" hidden="false" customHeight="true" outlineLevel="0" collapsed="false">
      <c r="A550" s="6"/>
      <c r="B550" s="6"/>
      <c r="C550" s="6"/>
      <c r="D550" s="6"/>
      <c r="E550" s="6"/>
      <c r="F550" s="7"/>
      <c r="G550" s="6"/>
      <c r="H550" s="6"/>
      <c r="I550" s="7"/>
      <c r="J550" s="6"/>
      <c r="K550" s="7"/>
      <c r="L550" s="6"/>
      <c r="M550" s="6"/>
      <c r="N550" s="7"/>
      <c r="O550" s="6"/>
      <c r="P550" s="6"/>
      <c r="Q550" s="7"/>
      <c r="R550" s="6" t="str">
        <f aca="false">IF(AND($A550="",$B550=""),"",IF(Q550="Complete","Onboarded",IF(OR(M550="Member",M550="Ambassador"),"Sponsored",IF(K550&lt;&gt;"","Follow-Up",IF(I550&lt;&gt;"","Presented",IF(F550&lt;&gt;"","Contacted","New Lead"))))))</f>
        <v/>
      </c>
      <c r="S550" s="6"/>
      <c r="T550" s="6" t="str">
        <f aca="true">IF(MAX(F550,I550,K550)=0,"",TODAY()-MAX(F550,I550,K550))</f>
        <v/>
      </c>
      <c r="U550" s="6"/>
      <c r="V550" s="6"/>
      <c r="W550" s="6" t="str">
        <f aca="false">IF(AND($A550="",$B550=""),"",IF(M550="Ambassador","1 - Ambassador",IF(M550="Member","2 - Member",IF(J550="Completed","3 - Presented",IF(H550&lt;&gt;"","4 - Shared",IF(F550&lt;&gt;"","5 - Contacted","6 - No Activity"))))))</f>
        <v/>
      </c>
      <c r="X550" s="6" t="n">
        <f aca="false">IF(AND($A550="",$B550=""),9999999+(ROW()-4),VALUE(LEFT($W550,1))*10000+(ROW()-4))</f>
        <v>10000545</v>
      </c>
    </row>
    <row r="551" customFormat="false" ht="15" hidden="false" customHeight="true" outlineLevel="0" collapsed="false">
      <c r="A551" s="6"/>
      <c r="B551" s="6"/>
      <c r="C551" s="6"/>
      <c r="D551" s="6"/>
      <c r="E551" s="6"/>
      <c r="F551" s="7"/>
      <c r="G551" s="6"/>
      <c r="H551" s="6"/>
      <c r="I551" s="7"/>
      <c r="J551" s="6"/>
      <c r="K551" s="7"/>
      <c r="L551" s="6"/>
      <c r="M551" s="6"/>
      <c r="N551" s="7"/>
      <c r="O551" s="6"/>
      <c r="P551" s="6"/>
      <c r="Q551" s="7"/>
      <c r="R551" s="6" t="str">
        <f aca="false">IF(AND($A551="",$B551=""),"",IF(Q551="Complete","Onboarded",IF(OR(M551="Member",M551="Ambassador"),"Sponsored",IF(K551&lt;&gt;"","Follow-Up",IF(I551&lt;&gt;"","Presented",IF(F551&lt;&gt;"","Contacted","New Lead"))))))</f>
        <v/>
      </c>
      <c r="S551" s="6"/>
      <c r="T551" s="6" t="str">
        <f aca="true">IF(MAX(F551,I551,K551)=0,"",TODAY()-MAX(F551,I551,K551))</f>
        <v/>
      </c>
      <c r="U551" s="6"/>
      <c r="V551" s="6"/>
      <c r="W551" s="6" t="str">
        <f aca="false">IF(AND($A551="",$B551=""),"",IF(M551="Ambassador","1 - Ambassador",IF(M551="Member","2 - Member",IF(J551="Completed","3 - Presented",IF(H551&lt;&gt;"","4 - Shared",IF(F551&lt;&gt;"","5 - Contacted","6 - No Activity"))))))</f>
        <v/>
      </c>
      <c r="X551" s="6" t="n">
        <f aca="false">IF(AND($A551="",$B551=""),9999999+(ROW()-4),VALUE(LEFT($W551,1))*10000+(ROW()-4))</f>
        <v>10000546</v>
      </c>
    </row>
    <row r="552" customFormat="false" ht="15" hidden="false" customHeight="true" outlineLevel="0" collapsed="false">
      <c r="A552" s="6"/>
      <c r="B552" s="6"/>
      <c r="C552" s="6"/>
      <c r="D552" s="6"/>
      <c r="E552" s="6"/>
      <c r="F552" s="7"/>
      <c r="G552" s="6"/>
      <c r="H552" s="6"/>
      <c r="I552" s="7"/>
      <c r="J552" s="6"/>
      <c r="K552" s="7"/>
      <c r="L552" s="6"/>
      <c r="M552" s="6"/>
      <c r="N552" s="7"/>
      <c r="O552" s="6"/>
      <c r="P552" s="6"/>
      <c r="Q552" s="7"/>
      <c r="R552" s="6" t="str">
        <f aca="false">IF(AND($A552="",$B552=""),"",IF(Q552="Complete","Onboarded",IF(OR(M552="Member",M552="Ambassador"),"Sponsored",IF(K552&lt;&gt;"","Follow-Up",IF(I552&lt;&gt;"","Presented",IF(F552&lt;&gt;"","Contacted","New Lead"))))))</f>
        <v/>
      </c>
      <c r="S552" s="6"/>
      <c r="T552" s="6" t="str">
        <f aca="true">IF(MAX(F552,I552,K552)=0,"",TODAY()-MAX(F552,I552,K552))</f>
        <v/>
      </c>
      <c r="U552" s="6"/>
      <c r="V552" s="6"/>
      <c r="W552" s="6" t="str">
        <f aca="false">IF(AND($A552="",$B552=""),"",IF(M552="Ambassador","1 - Ambassador",IF(M552="Member","2 - Member",IF(J552="Completed","3 - Presented",IF(H552&lt;&gt;"","4 - Shared",IF(F552&lt;&gt;"","5 - Contacted","6 - No Activity"))))))</f>
        <v/>
      </c>
      <c r="X552" s="6" t="n">
        <f aca="false">IF(AND($A552="",$B552=""),9999999+(ROW()-4),VALUE(LEFT($W552,1))*10000+(ROW()-4))</f>
        <v>10000547</v>
      </c>
    </row>
    <row r="553" customFormat="false" ht="15" hidden="false" customHeight="true" outlineLevel="0" collapsed="false">
      <c r="A553" s="6"/>
      <c r="B553" s="6"/>
      <c r="C553" s="6"/>
      <c r="D553" s="6"/>
      <c r="E553" s="6"/>
      <c r="F553" s="7"/>
      <c r="G553" s="6"/>
      <c r="H553" s="6"/>
      <c r="I553" s="7"/>
      <c r="J553" s="6"/>
      <c r="K553" s="7"/>
      <c r="L553" s="6"/>
      <c r="M553" s="6"/>
      <c r="N553" s="7"/>
      <c r="O553" s="6"/>
      <c r="P553" s="6"/>
      <c r="Q553" s="7"/>
      <c r="R553" s="6" t="str">
        <f aca="false">IF(AND($A553="",$B553=""),"",IF(Q553="Complete","Onboarded",IF(OR(M553="Member",M553="Ambassador"),"Sponsored",IF(K553&lt;&gt;"","Follow-Up",IF(I553&lt;&gt;"","Presented",IF(F553&lt;&gt;"","Contacted","New Lead"))))))</f>
        <v/>
      </c>
      <c r="S553" s="6"/>
      <c r="T553" s="6" t="str">
        <f aca="true">IF(MAX(F553,I553,K553)=0,"",TODAY()-MAX(F553,I553,K553))</f>
        <v/>
      </c>
      <c r="U553" s="6"/>
      <c r="V553" s="6"/>
      <c r="W553" s="6" t="str">
        <f aca="false">IF(AND($A553="",$B553=""),"",IF(M553="Ambassador","1 - Ambassador",IF(M553="Member","2 - Member",IF(J553="Completed","3 - Presented",IF(H553&lt;&gt;"","4 - Shared",IF(F553&lt;&gt;"","5 - Contacted","6 - No Activity"))))))</f>
        <v/>
      </c>
      <c r="X553" s="6" t="n">
        <f aca="false">IF(AND($A553="",$B553=""),9999999+(ROW()-4),VALUE(LEFT($W553,1))*10000+(ROW()-4))</f>
        <v>10000548</v>
      </c>
    </row>
    <row r="554" customFormat="false" ht="15" hidden="false" customHeight="true" outlineLevel="0" collapsed="false">
      <c r="A554" s="6"/>
      <c r="B554" s="6"/>
      <c r="C554" s="6"/>
      <c r="D554" s="6"/>
      <c r="E554" s="6"/>
      <c r="F554" s="7"/>
      <c r="G554" s="6"/>
      <c r="H554" s="6"/>
      <c r="I554" s="7"/>
      <c r="J554" s="6"/>
      <c r="K554" s="7"/>
      <c r="L554" s="6"/>
      <c r="M554" s="6"/>
      <c r="N554" s="7"/>
      <c r="O554" s="6"/>
      <c r="P554" s="6"/>
      <c r="Q554" s="7"/>
      <c r="R554" s="6" t="str">
        <f aca="false">IF(AND($A554="",$B554=""),"",IF(Q554="Complete","Onboarded",IF(OR(M554="Member",M554="Ambassador"),"Sponsored",IF(K554&lt;&gt;"","Follow-Up",IF(I554&lt;&gt;"","Presented",IF(F554&lt;&gt;"","Contacted","New Lead"))))))</f>
        <v/>
      </c>
      <c r="S554" s="6"/>
      <c r="T554" s="6" t="str">
        <f aca="true">IF(MAX(F554,I554,K554)=0,"",TODAY()-MAX(F554,I554,K554))</f>
        <v/>
      </c>
      <c r="U554" s="6"/>
      <c r="V554" s="6"/>
      <c r="W554" s="6" t="str">
        <f aca="false">IF(AND($A554="",$B554=""),"",IF(M554="Ambassador","1 - Ambassador",IF(M554="Member","2 - Member",IF(J554="Completed","3 - Presented",IF(H554&lt;&gt;"","4 - Shared",IF(F554&lt;&gt;"","5 - Contacted","6 - No Activity"))))))</f>
        <v/>
      </c>
      <c r="X554" s="6" t="n">
        <f aca="false">IF(AND($A554="",$B554=""),9999999+(ROW()-4),VALUE(LEFT($W554,1))*10000+(ROW()-4))</f>
        <v>10000549</v>
      </c>
    </row>
  </sheetData>
  <mergeCells count="3">
    <mergeCell ref="A1:X1"/>
    <mergeCell ref="A2:X2"/>
    <mergeCell ref="A3:X3"/>
  </mergeCells>
  <conditionalFormatting sqref="M5:M554">
    <cfRule type="expression" priority="2" aboveAverage="0" equalAverage="0" bottom="0" percent="0" rank="0" text="" dxfId="0">
      <formula>OR($M5="Member",$M5="Ambassador")</formula>
    </cfRule>
  </conditionalFormatting>
  <conditionalFormatting sqref="R5:R554">
    <cfRule type="expression" priority="3" aboveAverage="0" equalAverage="0" bottom="0" percent="0" rank="0" text="" dxfId="0">
      <formula>$R5="Onboarded"</formula>
    </cfRule>
  </conditionalFormatting>
  <conditionalFormatting sqref="T5:T554">
    <cfRule type="cellIs" priority="4" operator="greaterThan" aboveAverage="0" equalAverage="0" bottom="0" percent="0" rank="0" text="" dxfId="1">
      <formula>7</formula>
    </cfRule>
  </conditionalFormatting>
  <conditionalFormatting sqref="W5:W554">
    <cfRule type="expression" priority="5" aboveAverage="0" equalAverage="0" bottom="0" percent="0" rank="0" text="" dxfId="2">
      <formula>$W5="1 - Ambassador"</formula>
    </cfRule>
    <cfRule type="expression" priority="6" aboveAverage="0" equalAverage="0" bottom="0" percent="0" rank="0" text="" dxfId="3">
      <formula>$W5="2 - Member"</formula>
    </cfRule>
    <cfRule type="expression" priority="7" aboveAverage="0" equalAverage="0" bottom="0" percent="0" rank="0" text="" dxfId="4">
      <formula>$W5="3 - Presented"</formula>
    </cfRule>
    <cfRule type="expression" priority="8" aboveAverage="0" equalAverage="0" bottom="0" percent="0" rank="0" text="" dxfId="5">
      <formula>$W5="4 - Shared"</formula>
    </cfRule>
    <cfRule type="expression" priority="9" aboveAverage="0" equalAverage="0" bottom="0" percent="0" rank="0" text="" dxfId="6">
      <formula>$W5="5 - Contacted"</formula>
    </cfRule>
  </conditionalFormatting>
  <dataValidations count="6">
    <dataValidation allowBlank="true" errorStyle="stop" operator="between" showDropDown="false" showErrorMessage="false" showInputMessage="false" sqref="G5:G554" type="list">
      <formula1>"Phone Call,Text,Email,Facebook,In Person,Zoom,Messenger,Bump Into"</formula1>
      <formula2>0</formula2>
    </dataValidation>
    <dataValidation allowBlank="true" errorStyle="stop" operator="between" showDropDown="false" showErrorMessage="false" showInputMessage="false" sqref="H5:H554" type="list">
      <formula1>"Shared,In Person"</formula1>
      <formula2>0</formula2>
    </dataValidation>
    <dataValidation allowBlank="true" errorStyle="stop" operator="between" showDropDown="false" showErrorMessage="false" showInputMessage="false" sqref="J5:J554" type="list">
      <formula1>"Not Scheduled,Scheduled,Completed,No-Show,Rescheduled"</formula1>
      <formula2>0</formula2>
    </dataValidation>
    <dataValidation allowBlank="true" errorStyle="stop" operator="between" showDropDown="false" showErrorMessage="false" showInputMessage="false" sqref="M5:M554" type="list">
      <formula1>"No,Interested,Member,Ambassador"</formula1>
      <formula2>0</formula2>
    </dataValidation>
    <dataValidation allowBlank="true" errorStyle="stop" operator="between" showDropDown="false" showErrorMessage="false" showInputMessage="false" sqref="O5:O554" type="list">
      <formula1>"Not Asked,Asked,Referrals Given"</formula1>
      <formula2>0</formula2>
    </dataValidation>
    <dataValidation allowBlank="true" errorStyle="stop" operator="between" showDropDown="false" showErrorMessage="false" showInputMessage="false" sqref="P5:P554" type="list">
      <formula1>"N/A,Not Started,In Progress,Complete"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sheetData>
    <row r="1" customFormat="false" ht="15" hidden="false" customHeight="true" outlineLevel="0" collapsed="false">
      <c r="A1" s="1" t="s">
        <v>26</v>
      </c>
    </row>
    <row r="2" customFormat="false" ht="15" hidden="false" customHeight="true" outlineLevel="0" collapsed="false">
      <c r="A2" s="1" t="s">
        <v>27</v>
      </c>
    </row>
    <row r="3" customFormat="false" ht="15" hidden="false" customHeight="true" outlineLevel="0" collapsed="false">
      <c r="A3" s="1" t="s">
        <v>28</v>
      </c>
    </row>
    <row r="4" customFormat="false" ht="15" hidden="false" customHeight="true" outlineLevel="0" collapsed="false">
      <c r="A4" s="1" t="s">
        <v>29</v>
      </c>
    </row>
    <row r="5" customFormat="false" ht="15" hidden="false" customHeight="true" outlineLevel="0" collapsed="false">
      <c r="A5" s="1" t="s">
        <v>30</v>
      </c>
    </row>
    <row r="6" customFormat="false" ht="15" hidden="false" customHeight="true" outlineLevel="0" collapsed="false">
      <c r="A6" s="1" t="s">
        <v>31</v>
      </c>
    </row>
    <row r="7" customFormat="false" ht="15" hidden="false" customHeight="true" outlineLevel="0" collapsed="false">
      <c r="A7" s="1" t="s">
        <v>32</v>
      </c>
    </row>
    <row r="8" customFormat="false" ht="15" hidden="false" customHeight="true" outlineLevel="0" collapsed="false">
      <c r="A8" s="1" t="s">
        <v>33</v>
      </c>
    </row>
    <row r="9" customFormat="false" ht="15" hidden="false" customHeight="true" outlineLevel="0" collapsed="false">
      <c r="A9" s="1" t="s">
        <v>34</v>
      </c>
    </row>
    <row r="10" customFormat="false" ht="15" hidden="false" customHeight="true" outlineLevel="0" collapsed="false">
      <c r="A10" s="1" t="s">
        <v>35</v>
      </c>
    </row>
    <row r="11" customFormat="false" ht="15" hidden="false" customHeight="true" outlineLevel="0" collapsed="false">
      <c r="A11" s="1" t="s">
        <v>36</v>
      </c>
    </row>
    <row r="12" customFormat="false" ht="15" hidden="false" customHeight="true" outlineLevel="0" collapsed="false">
      <c r="A12" s="1" t="s">
        <v>37</v>
      </c>
    </row>
    <row r="13" customFormat="false" ht="15" hidden="false" customHeight="true" outlineLevel="0" collapsed="false">
      <c r="A13" s="1" t="s">
        <v>38</v>
      </c>
    </row>
    <row r="14" customFormat="false" ht="15" hidden="false" customHeight="true" outlineLevel="0" collapsed="false">
      <c r="A14" s="1" t="s">
        <v>39</v>
      </c>
    </row>
    <row r="15" customFormat="false" ht="15" hidden="false" customHeight="true" outlineLevel="0" collapsed="false">
      <c r="A15" s="1" t="s">
        <v>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5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6796875" defaultRowHeight="15" zeroHeight="false" outlineLevelRow="0" outlineLevelCol="0"/>
  <cols>
    <col collapsed="false" customWidth="true" hidden="false" outlineLevel="0" max="1" min="1" style="1" width="16"/>
    <col collapsed="false" customWidth="true" hidden="false" outlineLevel="0" max="3" min="2" style="1" width="18"/>
    <col collapsed="false" customWidth="true" hidden="false" outlineLevel="0" max="4" min="4" style="1" width="16"/>
    <col collapsed="false" customWidth="true" hidden="false" outlineLevel="0" max="5" min="5" style="1" width="14"/>
    <col collapsed="false" customWidth="true" hidden="false" outlineLevel="0" max="6" min="6" style="1" width="16"/>
    <col collapsed="false" customWidth="true" hidden="false" outlineLevel="0" max="7" min="7" style="1" width="14"/>
    <col collapsed="false" customWidth="true" hidden="false" outlineLevel="0" max="8" min="8" style="1" width="18"/>
    <col collapsed="false" customWidth="true" hidden="false" outlineLevel="0" max="9" min="9" style="1" width="14"/>
    <col collapsed="false" customWidth="true" hidden="false" outlineLevel="0" max="10" min="10" style="1" width="30"/>
    <col collapsed="false" customWidth="true" hidden="true" outlineLevel="0" max="11" min="11" style="1" width="13"/>
  </cols>
  <sheetData>
    <row r="1" customFormat="false" ht="21" hidden="false" customHeight="true" outlineLevel="0" collapsed="false">
      <c r="A1" s="8" t="s">
        <v>41</v>
      </c>
      <c r="B1" s="8"/>
      <c r="C1" s="8"/>
      <c r="D1" s="8"/>
      <c r="E1" s="8"/>
      <c r="F1" s="8"/>
      <c r="G1" s="8"/>
      <c r="H1" s="8"/>
      <c r="I1" s="8"/>
    </row>
    <row r="2" customFormat="false" ht="15" hidden="false" customHeight="true" outlineLevel="0" collapsed="false">
      <c r="A2" s="9" t="s">
        <v>42</v>
      </c>
      <c r="B2" s="9"/>
      <c r="C2" s="9"/>
      <c r="D2" s="9"/>
      <c r="E2" s="9"/>
      <c r="F2" s="9"/>
      <c r="G2" s="9"/>
      <c r="H2" s="9"/>
      <c r="I2" s="9"/>
    </row>
    <row r="4" customFormat="false" ht="31.5" hidden="false" customHeight="true" outlineLevel="0" collapsed="false">
      <c r="A4" s="10" t="s">
        <v>24</v>
      </c>
      <c r="B4" s="10" t="s">
        <v>2</v>
      </c>
      <c r="C4" s="10" t="s">
        <v>3</v>
      </c>
      <c r="D4" s="10" t="s">
        <v>14</v>
      </c>
      <c r="E4" s="10" t="s">
        <v>19</v>
      </c>
      <c r="F4" s="10" t="s">
        <v>11</v>
      </c>
      <c r="G4" s="10" t="s">
        <v>43</v>
      </c>
      <c r="H4" s="10" t="s">
        <v>12</v>
      </c>
      <c r="I4" s="10" t="s">
        <v>21</v>
      </c>
      <c r="J4" s="10" t="s">
        <v>13</v>
      </c>
      <c r="K4" s="1" t="s">
        <v>44</v>
      </c>
    </row>
    <row r="5" customFormat="false" ht="15" hidden="false" customHeight="true" outlineLevel="0" collapsed="false">
      <c r="A5" s="6" t="str">
        <f aca="false">IF($K5="","",IF(INDEX('Prospect Tracker'!$W$5:$W$554,$K5)="","",INDEX('Prospect Tracker'!$W$5:$W$554,$K5)))</f>
        <v/>
      </c>
      <c r="B5" s="6" t="str">
        <f aca="false">IF($K5="","",IF(INDEX('Prospect Tracker'!$A$5:$A$554,$K5)="","",INDEX('Prospect Tracker'!$A$5:$A$554,$K5)))</f>
        <v/>
      </c>
      <c r="C5" s="6" t="str">
        <f aca="false">IF($K5="","",IF(INDEX('Prospect Tracker'!$B$5:$B$554,$K5)="","",INDEX('Prospect Tracker'!$B$5:$B$554,$K5)))</f>
        <v/>
      </c>
      <c r="D5" s="6" t="str">
        <f aca="false">IF($K5="","",IF(INDEX('Prospect Tracker'!$M$5:$M$554,$K5)="","",INDEX('Prospect Tracker'!$M$5:$M$554,$K5)))</f>
        <v/>
      </c>
      <c r="E5" s="6" t="str">
        <f aca="false">IF($K5="","",IF(INDEX('Prospect Tracker'!$R$5:$R$554,$K5)="","",INDEX('Prospect Tracker'!$R$5:$R$554,$K5)))</f>
        <v/>
      </c>
      <c r="F5" s="6" t="str">
        <f aca="false">IF($K5="","",IF(INDEX('Prospect Tracker'!$J$5:$J$554,$K5)="","",INDEX('Prospect Tracker'!$J$5:$J$554,$K5)))</f>
        <v/>
      </c>
      <c r="G5" s="6" t="str">
        <f aca="false">IF($K5="","",IF(INDEX('Prospect Tracker'!$H$5:$H$554,$K5)="","",INDEX('Prospect Tracker'!$H$5:$H$554,$K5)))</f>
        <v/>
      </c>
      <c r="H5" s="7" t="str">
        <f aca="false">IF($K5="","",IF(INDEX('Prospect Tracker'!$K$5:$K$554,$K5)="","",INDEX('Prospect Tracker'!$K$5:$K$554,$K5)))</f>
        <v/>
      </c>
      <c r="I5" s="6" t="str">
        <f aca="false">IF($K5="","",IF(INDEX('Prospect Tracker'!$T$5:$T$554,$K5)="","",INDEX('Prospect Tracker'!$T$5:$T$554,$K5)))</f>
        <v/>
      </c>
      <c r="J5" s="6" t="str">
        <f aca="false">IF($K5="","",IF(INDEX('Prospect Tracker'!$L$5:$L$554,$K5)="","",INDEX('Prospect Tracker'!$L$5:$L$554,$K5)))</f>
        <v/>
      </c>
      <c r="K5" s="1" t="n">
        <f aca="false">IFERROR(MATCH(SMALL('Prospect Tracker'!$X$5:$X$554,ROW()-4),'Prospect Tracker'!$X$5:$X$554,0),"")</f>
        <v>1</v>
      </c>
    </row>
    <row r="6" customFormat="false" ht="15" hidden="false" customHeight="true" outlineLevel="0" collapsed="false">
      <c r="A6" s="11" t="str">
        <f aca="false">IF($K6="","",IF(INDEX('Prospect Tracker'!$W$5:$W$554,$K6)="","",INDEX('Prospect Tracker'!$W$5:$W$554,$K6)))</f>
        <v/>
      </c>
      <c r="B6" s="11" t="str">
        <f aca="false">IF($K6="","",IF(INDEX('Prospect Tracker'!$A$5:$A$554,$K6)="","",INDEX('Prospect Tracker'!$A$5:$A$554,$K6)))</f>
        <v/>
      </c>
      <c r="C6" s="11" t="str">
        <f aca="false">IF($K6="","",IF(INDEX('Prospect Tracker'!$B$5:$B$554,$K6)="","",INDEX('Prospect Tracker'!$B$5:$B$554,$K6)))</f>
        <v/>
      </c>
      <c r="D6" s="11" t="str">
        <f aca="false">IF($K6="","",IF(INDEX('Prospect Tracker'!$M$5:$M$554,$K6)="","",INDEX('Prospect Tracker'!$M$5:$M$554,$K6)))</f>
        <v/>
      </c>
      <c r="E6" s="11" t="str">
        <f aca="false">IF($K6="","",IF(INDEX('Prospect Tracker'!$R$5:$R$554,$K6)="","",INDEX('Prospect Tracker'!$R$5:$R$554,$K6)))</f>
        <v/>
      </c>
      <c r="F6" s="11" t="str">
        <f aca="false">IF($K6="","",IF(INDEX('Prospect Tracker'!$J$5:$J$554,$K6)="","",INDEX('Prospect Tracker'!$J$5:$J$554,$K6)))</f>
        <v/>
      </c>
      <c r="G6" s="11" t="str">
        <f aca="false">IF($K6="","",IF(INDEX('Prospect Tracker'!$H$5:$H$554,$K6)="","",INDEX('Prospect Tracker'!$H$5:$H$554,$K6)))</f>
        <v/>
      </c>
      <c r="H6" s="12" t="str">
        <f aca="false">IF($K6="","",IF(INDEX('Prospect Tracker'!$K$5:$K$554,$K6)="","",INDEX('Prospect Tracker'!$K$5:$K$554,$K6)))</f>
        <v/>
      </c>
      <c r="I6" s="11" t="str">
        <f aca="false">IF($K6="","",IF(INDEX('Prospect Tracker'!$T$5:$T$554,$K6)="","",INDEX('Prospect Tracker'!$T$5:$T$554,$K6)))</f>
        <v/>
      </c>
      <c r="J6" s="11" t="str">
        <f aca="false">IF($K6="","",IF(INDEX('Prospect Tracker'!$L$5:$L$554,$K6)="","",INDEX('Prospect Tracker'!$L$5:$L$554,$K6)))</f>
        <v/>
      </c>
      <c r="K6" s="1" t="n">
        <f aca="false">IFERROR(MATCH(SMALL('Prospect Tracker'!$X$5:$X$554,ROW()-4),'Prospect Tracker'!$X$5:$X$554,0),"")</f>
        <v>2</v>
      </c>
    </row>
    <row r="7" customFormat="false" ht="15" hidden="false" customHeight="true" outlineLevel="0" collapsed="false">
      <c r="A7" s="6" t="str">
        <f aca="false">IF($K7="","",IF(INDEX('Prospect Tracker'!$W$5:$W$554,$K7)="","",INDEX('Prospect Tracker'!$W$5:$W$554,$K7)))</f>
        <v/>
      </c>
      <c r="B7" s="6" t="str">
        <f aca="false">IF($K7="","",IF(INDEX('Prospect Tracker'!$A$5:$A$554,$K7)="","",INDEX('Prospect Tracker'!$A$5:$A$554,$K7)))</f>
        <v/>
      </c>
      <c r="C7" s="6" t="str">
        <f aca="false">IF($K7="","",IF(INDEX('Prospect Tracker'!$B$5:$B$554,$K7)="","",INDEX('Prospect Tracker'!$B$5:$B$554,$K7)))</f>
        <v/>
      </c>
      <c r="D7" s="6" t="str">
        <f aca="false">IF($K7="","",IF(INDEX('Prospect Tracker'!$M$5:$M$554,$K7)="","",INDEX('Prospect Tracker'!$M$5:$M$554,$K7)))</f>
        <v/>
      </c>
      <c r="E7" s="6" t="str">
        <f aca="false">IF($K7="","",IF(INDEX('Prospect Tracker'!$R$5:$R$554,$K7)="","",INDEX('Prospect Tracker'!$R$5:$R$554,$K7)))</f>
        <v/>
      </c>
      <c r="F7" s="6" t="str">
        <f aca="false">IF($K7="","",IF(INDEX('Prospect Tracker'!$J$5:$J$554,$K7)="","",INDEX('Prospect Tracker'!$J$5:$J$554,$K7)))</f>
        <v/>
      </c>
      <c r="G7" s="6" t="str">
        <f aca="false">IF($K7="","",IF(INDEX('Prospect Tracker'!$H$5:$H$554,$K7)="","",INDEX('Prospect Tracker'!$H$5:$H$554,$K7)))</f>
        <v/>
      </c>
      <c r="H7" s="7" t="str">
        <f aca="false">IF($K7="","",IF(INDEX('Prospect Tracker'!$K$5:$K$554,$K7)="","",INDEX('Prospect Tracker'!$K$5:$K$554,$K7)))</f>
        <v/>
      </c>
      <c r="I7" s="6" t="str">
        <f aca="false">IF($K7="","",IF(INDEX('Prospect Tracker'!$T$5:$T$554,$K7)="","",INDEX('Prospect Tracker'!$T$5:$T$554,$K7)))</f>
        <v/>
      </c>
      <c r="J7" s="6" t="str">
        <f aca="false">IF($K7="","",IF(INDEX('Prospect Tracker'!$L$5:$L$554,$K7)="","",INDEX('Prospect Tracker'!$L$5:$L$554,$K7)))</f>
        <v/>
      </c>
      <c r="K7" s="1" t="n">
        <f aca="false">IFERROR(MATCH(SMALL('Prospect Tracker'!$X$5:$X$554,ROW()-4),'Prospect Tracker'!$X$5:$X$554,0),"")</f>
        <v>3</v>
      </c>
    </row>
    <row r="8" customFormat="false" ht="15" hidden="false" customHeight="true" outlineLevel="0" collapsed="false">
      <c r="A8" s="11" t="str">
        <f aca="false">IF($K8="","",IF(INDEX('Prospect Tracker'!$W$5:$W$554,$K8)="","",INDEX('Prospect Tracker'!$W$5:$W$554,$K8)))</f>
        <v/>
      </c>
      <c r="B8" s="11" t="str">
        <f aca="false">IF($K8="","",IF(INDEX('Prospect Tracker'!$A$5:$A$554,$K8)="","",INDEX('Prospect Tracker'!$A$5:$A$554,$K8)))</f>
        <v/>
      </c>
      <c r="C8" s="11" t="str">
        <f aca="false">IF($K8="","",IF(INDEX('Prospect Tracker'!$B$5:$B$554,$K8)="","",INDEX('Prospect Tracker'!$B$5:$B$554,$K8)))</f>
        <v/>
      </c>
      <c r="D8" s="11" t="str">
        <f aca="false">IF($K8="","",IF(INDEX('Prospect Tracker'!$M$5:$M$554,$K8)="","",INDEX('Prospect Tracker'!$M$5:$M$554,$K8)))</f>
        <v/>
      </c>
      <c r="E8" s="11" t="str">
        <f aca="false">IF($K8="","",IF(INDEX('Prospect Tracker'!$R$5:$R$554,$K8)="","",INDEX('Prospect Tracker'!$R$5:$R$554,$K8)))</f>
        <v/>
      </c>
      <c r="F8" s="11" t="str">
        <f aca="false">IF($K8="","",IF(INDEX('Prospect Tracker'!$J$5:$J$554,$K8)="","",INDEX('Prospect Tracker'!$J$5:$J$554,$K8)))</f>
        <v/>
      </c>
      <c r="G8" s="11" t="str">
        <f aca="false">IF($K8="","",IF(INDEX('Prospect Tracker'!$H$5:$H$554,$K8)="","",INDEX('Prospect Tracker'!$H$5:$H$554,$K8)))</f>
        <v/>
      </c>
      <c r="H8" s="12" t="str">
        <f aca="false">IF($K8="","",IF(INDEX('Prospect Tracker'!$K$5:$K$554,$K8)="","",INDEX('Prospect Tracker'!$K$5:$K$554,$K8)))</f>
        <v/>
      </c>
      <c r="I8" s="11" t="str">
        <f aca="false">IF($K8="","",IF(INDEX('Prospect Tracker'!$T$5:$T$554,$K8)="","",INDEX('Prospect Tracker'!$T$5:$T$554,$K8)))</f>
        <v/>
      </c>
      <c r="J8" s="11" t="str">
        <f aca="false">IF($K8="","",IF(INDEX('Prospect Tracker'!$L$5:$L$554,$K8)="","",INDEX('Prospect Tracker'!$L$5:$L$554,$K8)))</f>
        <v/>
      </c>
      <c r="K8" s="1" t="n">
        <f aca="false">IFERROR(MATCH(SMALL('Prospect Tracker'!$X$5:$X$554,ROW()-4),'Prospect Tracker'!$X$5:$X$554,0),"")</f>
        <v>4</v>
      </c>
    </row>
    <row r="9" customFormat="false" ht="15" hidden="false" customHeight="true" outlineLevel="0" collapsed="false">
      <c r="A9" s="6" t="str">
        <f aca="false">IF($K9="","",IF(INDEX('Prospect Tracker'!$W$5:$W$554,$K9)="","",INDEX('Prospect Tracker'!$W$5:$W$554,$K9)))</f>
        <v/>
      </c>
      <c r="B9" s="6" t="str">
        <f aca="false">IF($K9="","",IF(INDEX('Prospect Tracker'!$A$5:$A$554,$K9)="","",INDEX('Prospect Tracker'!$A$5:$A$554,$K9)))</f>
        <v/>
      </c>
      <c r="C9" s="6" t="str">
        <f aca="false">IF($K9="","",IF(INDEX('Prospect Tracker'!$B$5:$B$554,$K9)="","",INDEX('Prospect Tracker'!$B$5:$B$554,$K9)))</f>
        <v/>
      </c>
      <c r="D9" s="6" t="str">
        <f aca="false">IF($K9="","",IF(INDEX('Prospect Tracker'!$M$5:$M$554,$K9)="","",INDEX('Prospect Tracker'!$M$5:$M$554,$K9)))</f>
        <v/>
      </c>
      <c r="E9" s="6" t="str">
        <f aca="false">IF($K9="","",IF(INDEX('Prospect Tracker'!$R$5:$R$554,$K9)="","",INDEX('Prospect Tracker'!$R$5:$R$554,$K9)))</f>
        <v/>
      </c>
      <c r="F9" s="6" t="str">
        <f aca="false">IF($K9="","",IF(INDEX('Prospect Tracker'!$J$5:$J$554,$K9)="","",INDEX('Prospect Tracker'!$J$5:$J$554,$K9)))</f>
        <v/>
      </c>
      <c r="G9" s="6" t="str">
        <f aca="false">IF($K9="","",IF(INDEX('Prospect Tracker'!$H$5:$H$554,$K9)="","",INDEX('Prospect Tracker'!$H$5:$H$554,$K9)))</f>
        <v/>
      </c>
      <c r="H9" s="7" t="str">
        <f aca="false">IF($K9="","",IF(INDEX('Prospect Tracker'!$K$5:$K$554,$K9)="","",INDEX('Prospect Tracker'!$K$5:$K$554,$K9)))</f>
        <v/>
      </c>
      <c r="I9" s="6" t="str">
        <f aca="false">IF($K9="","",IF(INDEX('Prospect Tracker'!$T$5:$T$554,$K9)="","",INDEX('Prospect Tracker'!$T$5:$T$554,$K9)))</f>
        <v/>
      </c>
      <c r="J9" s="6" t="str">
        <f aca="false">IF($K9="","",IF(INDEX('Prospect Tracker'!$L$5:$L$554,$K9)="","",INDEX('Prospect Tracker'!$L$5:$L$554,$K9)))</f>
        <v/>
      </c>
      <c r="K9" s="1" t="n">
        <f aca="false">IFERROR(MATCH(SMALL('Prospect Tracker'!$X$5:$X$554,ROW()-4),'Prospect Tracker'!$X$5:$X$554,0),"")</f>
        <v>5</v>
      </c>
    </row>
    <row r="10" customFormat="false" ht="15" hidden="false" customHeight="true" outlineLevel="0" collapsed="false">
      <c r="A10" s="11" t="str">
        <f aca="false">IF($K10="","",IF(INDEX('Prospect Tracker'!$W$5:$W$554,$K10)="","",INDEX('Prospect Tracker'!$W$5:$W$554,$K10)))</f>
        <v/>
      </c>
      <c r="B10" s="11" t="str">
        <f aca="false">IF($K10="","",IF(INDEX('Prospect Tracker'!$A$5:$A$554,$K10)="","",INDEX('Prospect Tracker'!$A$5:$A$554,$K10)))</f>
        <v/>
      </c>
      <c r="C10" s="11" t="str">
        <f aca="false">IF($K10="","",IF(INDEX('Prospect Tracker'!$B$5:$B$554,$K10)="","",INDEX('Prospect Tracker'!$B$5:$B$554,$K10)))</f>
        <v/>
      </c>
      <c r="D10" s="11" t="str">
        <f aca="false">IF($K10="","",IF(INDEX('Prospect Tracker'!$M$5:$M$554,$K10)="","",INDEX('Prospect Tracker'!$M$5:$M$554,$K10)))</f>
        <v/>
      </c>
      <c r="E10" s="11" t="str">
        <f aca="false">IF($K10="","",IF(INDEX('Prospect Tracker'!$R$5:$R$554,$K10)="","",INDEX('Prospect Tracker'!$R$5:$R$554,$K10)))</f>
        <v/>
      </c>
      <c r="F10" s="11" t="str">
        <f aca="false">IF($K10="","",IF(INDEX('Prospect Tracker'!$J$5:$J$554,$K10)="","",INDEX('Prospect Tracker'!$J$5:$J$554,$K10)))</f>
        <v/>
      </c>
      <c r="G10" s="11" t="str">
        <f aca="false">IF($K10="","",IF(INDEX('Prospect Tracker'!$H$5:$H$554,$K10)="","",INDEX('Prospect Tracker'!$H$5:$H$554,$K10)))</f>
        <v/>
      </c>
      <c r="H10" s="12" t="str">
        <f aca="false">IF($K10="","",IF(INDEX('Prospect Tracker'!$K$5:$K$554,$K10)="","",INDEX('Prospect Tracker'!$K$5:$K$554,$K10)))</f>
        <v/>
      </c>
      <c r="I10" s="11" t="str">
        <f aca="false">IF($K10="","",IF(INDEX('Prospect Tracker'!$T$5:$T$554,$K10)="","",INDEX('Prospect Tracker'!$T$5:$T$554,$K10)))</f>
        <v/>
      </c>
      <c r="J10" s="11" t="str">
        <f aca="false">IF($K10="","",IF(INDEX('Prospect Tracker'!$L$5:$L$554,$K10)="","",INDEX('Prospect Tracker'!$L$5:$L$554,$K10)))</f>
        <v/>
      </c>
      <c r="K10" s="1" t="n">
        <f aca="false">IFERROR(MATCH(SMALL('Prospect Tracker'!$X$5:$X$554,ROW()-4),'Prospect Tracker'!$X$5:$X$554,0),"")</f>
        <v>6</v>
      </c>
    </row>
    <row r="11" customFormat="false" ht="15" hidden="false" customHeight="true" outlineLevel="0" collapsed="false">
      <c r="A11" s="6" t="str">
        <f aca="false">IF($K11="","",IF(INDEX('Prospect Tracker'!$W$5:$W$554,$K11)="","",INDEX('Prospect Tracker'!$W$5:$W$554,$K11)))</f>
        <v/>
      </c>
      <c r="B11" s="6" t="str">
        <f aca="false">IF($K11="","",IF(INDEX('Prospect Tracker'!$A$5:$A$554,$K11)="","",INDEX('Prospect Tracker'!$A$5:$A$554,$K11)))</f>
        <v/>
      </c>
      <c r="C11" s="6" t="str">
        <f aca="false">IF($K11="","",IF(INDEX('Prospect Tracker'!$B$5:$B$554,$K11)="","",INDEX('Prospect Tracker'!$B$5:$B$554,$K11)))</f>
        <v/>
      </c>
      <c r="D11" s="6" t="str">
        <f aca="false">IF($K11="","",IF(INDEX('Prospect Tracker'!$M$5:$M$554,$K11)="","",INDEX('Prospect Tracker'!$M$5:$M$554,$K11)))</f>
        <v/>
      </c>
      <c r="E11" s="6" t="str">
        <f aca="false">IF($K11="","",IF(INDEX('Prospect Tracker'!$R$5:$R$554,$K11)="","",INDEX('Prospect Tracker'!$R$5:$R$554,$K11)))</f>
        <v/>
      </c>
      <c r="F11" s="6" t="str">
        <f aca="false">IF($K11="","",IF(INDEX('Prospect Tracker'!$J$5:$J$554,$K11)="","",INDEX('Prospect Tracker'!$J$5:$J$554,$K11)))</f>
        <v/>
      </c>
      <c r="G11" s="6" t="str">
        <f aca="false">IF($K11="","",IF(INDEX('Prospect Tracker'!$H$5:$H$554,$K11)="","",INDEX('Prospect Tracker'!$H$5:$H$554,$K11)))</f>
        <v/>
      </c>
      <c r="H11" s="7" t="str">
        <f aca="false">IF($K11="","",IF(INDEX('Prospect Tracker'!$K$5:$K$554,$K11)="","",INDEX('Prospect Tracker'!$K$5:$K$554,$K11)))</f>
        <v/>
      </c>
      <c r="I11" s="6" t="str">
        <f aca="false">IF($K11="","",IF(INDEX('Prospect Tracker'!$T$5:$T$554,$K11)="","",INDEX('Prospect Tracker'!$T$5:$T$554,$K11)))</f>
        <v/>
      </c>
      <c r="J11" s="6" t="str">
        <f aca="false">IF($K11="","",IF(INDEX('Prospect Tracker'!$L$5:$L$554,$K11)="","",INDEX('Prospect Tracker'!$L$5:$L$554,$K11)))</f>
        <v/>
      </c>
      <c r="K11" s="1" t="n">
        <f aca="false">IFERROR(MATCH(SMALL('Prospect Tracker'!$X$5:$X$554,ROW()-4),'Prospect Tracker'!$X$5:$X$554,0),"")</f>
        <v>7</v>
      </c>
    </row>
    <row r="12" customFormat="false" ht="15" hidden="false" customHeight="true" outlineLevel="0" collapsed="false">
      <c r="A12" s="11" t="str">
        <f aca="false">IF($K12="","",IF(INDEX('Prospect Tracker'!$W$5:$W$554,$K12)="","",INDEX('Prospect Tracker'!$W$5:$W$554,$K12)))</f>
        <v/>
      </c>
      <c r="B12" s="11" t="str">
        <f aca="false">IF($K12="","",IF(INDEX('Prospect Tracker'!$A$5:$A$554,$K12)="","",INDEX('Prospect Tracker'!$A$5:$A$554,$K12)))</f>
        <v/>
      </c>
      <c r="C12" s="11" t="str">
        <f aca="false">IF($K12="","",IF(INDEX('Prospect Tracker'!$B$5:$B$554,$K12)="","",INDEX('Prospect Tracker'!$B$5:$B$554,$K12)))</f>
        <v/>
      </c>
      <c r="D12" s="11" t="str">
        <f aca="false">IF($K12="","",IF(INDEX('Prospect Tracker'!$M$5:$M$554,$K12)="","",INDEX('Prospect Tracker'!$M$5:$M$554,$K12)))</f>
        <v/>
      </c>
      <c r="E12" s="11" t="str">
        <f aca="false">IF($K12="","",IF(INDEX('Prospect Tracker'!$R$5:$R$554,$K12)="","",INDEX('Prospect Tracker'!$R$5:$R$554,$K12)))</f>
        <v/>
      </c>
      <c r="F12" s="11" t="str">
        <f aca="false">IF($K12="","",IF(INDEX('Prospect Tracker'!$J$5:$J$554,$K12)="","",INDEX('Prospect Tracker'!$J$5:$J$554,$K12)))</f>
        <v/>
      </c>
      <c r="G12" s="11" t="str">
        <f aca="false">IF($K12="","",IF(INDEX('Prospect Tracker'!$H$5:$H$554,$K12)="","",INDEX('Prospect Tracker'!$H$5:$H$554,$K12)))</f>
        <v/>
      </c>
      <c r="H12" s="12" t="str">
        <f aca="false">IF($K12="","",IF(INDEX('Prospect Tracker'!$K$5:$K$554,$K12)="","",INDEX('Prospect Tracker'!$K$5:$K$554,$K12)))</f>
        <v/>
      </c>
      <c r="I12" s="11" t="str">
        <f aca="false">IF($K12="","",IF(INDEX('Prospect Tracker'!$T$5:$T$554,$K12)="","",INDEX('Prospect Tracker'!$T$5:$T$554,$K12)))</f>
        <v/>
      </c>
      <c r="J12" s="11" t="str">
        <f aca="false">IF($K12="","",IF(INDEX('Prospect Tracker'!$L$5:$L$554,$K12)="","",INDEX('Prospect Tracker'!$L$5:$L$554,$K12)))</f>
        <v/>
      </c>
      <c r="K12" s="1" t="n">
        <f aca="false">IFERROR(MATCH(SMALL('Prospect Tracker'!$X$5:$X$554,ROW()-4),'Prospect Tracker'!$X$5:$X$554,0),"")</f>
        <v>8</v>
      </c>
    </row>
    <row r="13" customFormat="false" ht="15" hidden="false" customHeight="true" outlineLevel="0" collapsed="false">
      <c r="A13" s="6" t="str">
        <f aca="false">IF($K13="","",IF(INDEX('Prospect Tracker'!$W$5:$W$554,$K13)="","",INDEX('Prospect Tracker'!$W$5:$W$554,$K13)))</f>
        <v/>
      </c>
      <c r="B13" s="6" t="str">
        <f aca="false">IF($K13="","",IF(INDEX('Prospect Tracker'!$A$5:$A$554,$K13)="","",INDEX('Prospect Tracker'!$A$5:$A$554,$K13)))</f>
        <v/>
      </c>
      <c r="C13" s="6" t="str">
        <f aca="false">IF($K13="","",IF(INDEX('Prospect Tracker'!$B$5:$B$554,$K13)="","",INDEX('Prospect Tracker'!$B$5:$B$554,$K13)))</f>
        <v/>
      </c>
      <c r="D13" s="6" t="str">
        <f aca="false">IF($K13="","",IF(INDEX('Prospect Tracker'!$M$5:$M$554,$K13)="","",INDEX('Prospect Tracker'!$M$5:$M$554,$K13)))</f>
        <v/>
      </c>
      <c r="E13" s="6" t="str">
        <f aca="false">IF($K13="","",IF(INDEX('Prospect Tracker'!$R$5:$R$554,$K13)="","",INDEX('Prospect Tracker'!$R$5:$R$554,$K13)))</f>
        <v/>
      </c>
      <c r="F13" s="6" t="str">
        <f aca="false">IF($K13="","",IF(INDEX('Prospect Tracker'!$J$5:$J$554,$K13)="","",INDEX('Prospect Tracker'!$J$5:$J$554,$K13)))</f>
        <v/>
      </c>
      <c r="G13" s="6" t="str">
        <f aca="false">IF($K13="","",IF(INDEX('Prospect Tracker'!$H$5:$H$554,$K13)="","",INDEX('Prospect Tracker'!$H$5:$H$554,$K13)))</f>
        <v/>
      </c>
      <c r="H13" s="7" t="str">
        <f aca="false">IF($K13="","",IF(INDEX('Prospect Tracker'!$K$5:$K$554,$K13)="","",INDEX('Prospect Tracker'!$K$5:$K$554,$K13)))</f>
        <v/>
      </c>
      <c r="I13" s="6" t="str">
        <f aca="false">IF($K13="","",IF(INDEX('Prospect Tracker'!$T$5:$T$554,$K13)="","",INDEX('Prospect Tracker'!$T$5:$T$554,$K13)))</f>
        <v/>
      </c>
      <c r="J13" s="6" t="str">
        <f aca="false">IF($K13="","",IF(INDEX('Prospect Tracker'!$L$5:$L$554,$K13)="","",INDEX('Prospect Tracker'!$L$5:$L$554,$K13)))</f>
        <v/>
      </c>
      <c r="K13" s="1" t="n">
        <f aca="false">IFERROR(MATCH(SMALL('Prospect Tracker'!$X$5:$X$554,ROW()-4),'Prospect Tracker'!$X$5:$X$554,0),"")</f>
        <v>9</v>
      </c>
    </row>
    <row r="14" customFormat="false" ht="15" hidden="false" customHeight="true" outlineLevel="0" collapsed="false">
      <c r="A14" s="11" t="str">
        <f aca="false">IF($K14="","",IF(INDEX('Prospect Tracker'!$W$5:$W$554,$K14)="","",INDEX('Prospect Tracker'!$W$5:$W$554,$K14)))</f>
        <v/>
      </c>
      <c r="B14" s="11" t="str">
        <f aca="false">IF($K14="","",IF(INDEX('Prospect Tracker'!$A$5:$A$554,$K14)="","",INDEX('Prospect Tracker'!$A$5:$A$554,$K14)))</f>
        <v/>
      </c>
      <c r="C14" s="11" t="str">
        <f aca="false">IF($K14="","",IF(INDEX('Prospect Tracker'!$B$5:$B$554,$K14)="","",INDEX('Prospect Tracker'!$B$5:$B$554,$K14)))</f>
        <v/>
      </c>
      <c r="D14" s="11" t="str">
        <f aca="false">IF($K14="","",IF(INDEX('Prospect Tracker'!$M$5:$M$554,$K14)="","",INDEX('Prospect Tracker'!$M$5:$M$554,$K14)))</f>
        <v/>
      </c>
      <c r="E14" s="11" t="str">
        <f aca="false">IF($K14="","",IF(INDEX('Prospect Tracker'!$R$5:$R$554,$K14)="","",INDEX('Prospect Tracker'!$R$5:$R$554,$K14)))</f>
        <v/>
      </c>
      <c r="F14" s="11" t="str">
        <f aca="false">IF($K14="","",IF(INDEX('Prospect Tracker'!$J$5:$J$554,$K14)="","",INDEX('Prospect Tracker'!$J$5:$J$554,$K14)))</f>
        <v/>
      </c>
      <c r="G14" s="11" t="str">
        <f aca="false">IF($K14="","",IF(INDEX('Prospect Tracker'!$H$5:$H$554,$K14)="","",INDEX('Prospect Tracker'!$H$5:$H$554,$K14)))</f>
        <v/>
      </c>
      <c r="H14" s="12" t="str">
        <f aca="false">IF($K14="","",IF(INDEX('Prospect Tracker'!$K$5:$K$554,$K14)="","",INDEX('Prospect Tracker'!$K$5:$K$554,$K14)))</f>
        <v/>
      </c>
      <c r="I14" s="11" t="str">
        <f aca="false">IF($K14="","",IF(INDEX('Prospect Tracker'!$T$5:$T$554,$K14)="","",INDEX('Prospect Tracker'!$T$5:$T$554,$K14)))</f>
        <v/>
      </c>
      <c r="J14" s="11" t="str">
        <f aca="false">IF($K14="","",IF(INDEX('Prospect Tracker'!$L$5:$L$554,$K14)="","",INDEX('Prospect Tracker'!$L$5:$L$554,$K14)))</f>
        <v/>
      </c>
      <c r="K14" s="1" t="n">
        <f aca="false">IFERROR(MATCH(SMALL('Prospect Tracker'!$X$5:$X$554,ROW()-4),'Prospect Tracker'!$X$5:$X$554,0),"")</f>
        <v>10</v>
      </c>
    </row>
    <row r="15" customFormat="false" ht="15" hidden="false" customHeight="true" outlineLevel="0" collapsed="false">
      <c r="A15" s="6" t="str">
        <f aca="false">IF($K15="","",IF(INDEX('Prospect Tracker'!$W$5:$W$554,$K15)="","",INDEX('Prospect Tracker'!$W$5:$W$554,$K15)))</f>
        <v/>
      </c>
      <c r="B15" s="6" t="str">
        <f aca="false">IF($K15="","",IF(INDEX('Prospect Tracker'!$A$5:$A$554,$K15)="","",INDEX('Prospect Tracker'!$A$5:$A$554,$K15)))</f>
        <v/>
      </c>
      <c r="C15" s="6" t="str">
        <f aca="false">IF($K15="","",IF(INDEX('Prospect Tracker'!$B$5:$B$554,$K15)="","",INDEX('Prospect Tracker'!$B$5:$B$554,$K15)))</f>
        <v/>
      </c>
      <c r="D15" s="6" t="str">
        <f aca="false">IF($K15="","",IF(INDEX('Prospect Tracker'!$M$5:$M$554,$K15)="","",INDEX('Prospect Tracker'!$M$5:$M$554,$K15)))</f>
        <v/>
      </c>
      <c r="E15" s="6" t="str">
        <f aca="false">IF($K15="","",IF(INDEX('Prospect Tracker'!$R$5:$R$554,$K15)="","",INDEX('Prospect Tracker'!$R$5:$R$554,$K15)))</f>
        <v/>
      </c>
      <c r="F15" s="6" t="str">
        <f aca="false">IF($K15="","",IF(INDEX('Prospect Tracker'!$J$5:$J$554,$K15)="","",INDEX('Prospect Tracker'!$J$5:$J$554,$K15)))</f>
        <v/>
      </c>
      <c r="G15" s="6" t="str">
        <f aca="false">IF($K15="","",IF(INDEX('Prospect Tracker'!$H$5:$H$554,$K15)="","",INDEX('Prospect Tracker'!$H$5:$H$554,$K15)))</f>
        <v/>
      </c>
      <c r="H15" s="7" t="str">
        <f aca="false">IF($K15="","",IF(INDEX('Prospect Tracker'!$K$5:$K$554,$K15)="","",INDEX('Prospect Tracker'!$K$5:$K$554,$K15)))</f>
        <v/>
      </c>
      <c r="I15" s="6" t="str">
        <f aca="false">IF($K15="","",IF(INDEX('Prospect Tracker'!$T$5:$T$554,$K15)="","",INDEX('Prospect Tracker'!$T$5:$T$554,$K15)))</f>
        <v/>
      </c>
      <c r="J15" s="6" t="str">
        <f aca="false">IF($K15="","",IF(INDEX('Prospect Tracker'!$L$5:$L$554,$K15)="","",INDEX('Prospect Tracker'!$L$5:$L$554,$K15)))</f>
        <v/>
      </c>
      <c r="K15" s="1" t="n">
        <f aca="false">IFERROR(MATCH(SMALL('Prospect Tracker'!$X$5:$X$554,ROW()-4),'Prospect Tracker'!$X$5:$X$554,0),"")</f>
        <v>11</v>
      </c>
    </row>
    <row r="16" customFormat="false" ht="15" hidden="false" customHeight="true" outlineLevel="0" collapsed="false">
      <c r="A16" s="11" t="str">
        <f aca="false">IF($K16="","",IF(INDEX('Prospect Tracker'!$W$5:$W$554,$K16)="","",INDEX('Prospect Tracker'!$W$5:$W$554,$K16)))</f>
        <v/>
      </c>
      <c r="B16" s="11" t="str">
        <f aca="false">IF($K16="","",IF(INDEX('Prospect Tracker'!$A$5:$A$554,$K16)="","",INDEX('Prospect Tracker'!$A$5:$A$554,$K16)))</f>
        <v/>
      </c>
      <c r="C16" s="11" t="str">
        <f aca="false">IF($K16="","",IF(INDEX('Prospect Tracker'!$B$5:$B$554,$K16)="","",INDEX('Prospect Tracker'!$B$5:$B$554,$K16)))</f>
        <v/>
      </c>
      <c r="D16" s="11" t="str">
        <f aca="false">IF($K16="","",IF(INDEX('Prospect Tracker'!$M$5:$M$554,$K16)="","",INDEX('Prospect Tracker'!$M$5:$M$554,$K16)))</f>
        <v/>
      </c>
      <c r="E16" s="11" t="str">
        <f aca="false">IF($K16="","",IF(INDEX('Prospect Tracker'!$R$5:$R$554,$K16)="","",INDEX('Prospect Tracker'!$R$5:$R$554,$K16)))</f>
        <v/>
      </c>
      <c r="F16" s="11" t="str">
        <f aca="false">IF($K16="","",IF(INDEX('Prospect Tracker'!$J$5:$J$554,$K16)="","",INDEX('Prospect Tracker'!$J$5:$J$554,$K16)))</f>
        <v/>
      </c>
      <c r="G16" s="11" t="str">
        <f aca="false">IF($K16="","",IF(INDEX('Prospect Tracker'!$H$5:$H$554,$K16)="","",INDEX('Prospect Tracker'!$H$5:$H$554,$K16)))</f>
        <v/>
      </c>
      <c r="H16" s="12" t="str">
        <f aca="false">IF($K16="","",IF(INDEX('Prospect Tracker'!$K$5:$K$554,$K16)="","",INDEX('Prospect Tracker'!$K$5:$K$554,$K16)))</f>
        <v/>
      </c>
      <c r="I16" s="11" t="str">
        <f aca="false">IF($K16="","",IF(INDEX('Prospect Tracker'!$T$5:$T$554,$K16)="","",INDEX('Prospect Tracker'!$T$5:$T$554,$K16)))</f>
        <v/>
      </c>
      <c r="J16" s="11" t="str">
        <f aca="false">IF($K16="","",IF(INDEX('Prospect Tracker'!$L$5:$L$554,$K16)="","",INDEX('Prospect Tracker'!$L$5:$L$554,$K16)))</f>
        <v/>
      </c>
      <c r="K16" s="1" t="n">
        <f aca="false">IFERROR(MATCH(SMALL('Prospect Tracker'!$X$5:$X$554,ROW()-4),'Prospect Tracker'!$X$5:$X$554,0),"")</f>
        <v>12</v>
      </c>
    </row>
    <row r="17" customFormat="false" ht="15" hidden="false" customHeight="true" outlineLevel="0" collapsed="false">
      <c r="A17" s="6" t="str">
        <f aca="false">IF($K17="","",IF(INDEX('Prospect Tracker'!$W$5:$W$554,$K17)="","",INDEX('Prospect Tracker'!$W$5:$W$554,$K17)))</f>
        <v/>
      </c>
      <c r="B17" s="6" t="str">
        <f aca="false">IF($K17="","",IF(INDEX('Prospect Tracker'!$A$5:$A$554,$K17)="","",INDEX('Prospect Tracker'!$A$5:$A$554,$K17)))</f>
        <v/>
      </c>
      <c r="C17" s="6" t="str">
        <f aca="false">IF($K17="","",IF(INDEX('Prospect Tracker'!$B$5:$B$554,$K17)="","",INDEX('Prospect Tracker'!$B$5:$B$554,$K17)))</f>
        <v/>
      </c>
      <c r="D17" s="6" t="str">
        <f aca="false">IF($K17="","",IF(INDEX('Prospect Tracker'!$M$5:$M$554,$K17)="","",INDEX('Prospect Tracker'!$M$5:$M$554,$K17)))</f>
        <v/>
      </c>
      <c r="E17" s="6" t="str">
        <f aca="false">IF($K17="","",IF(INDEX('Prospect Tracker'!$R$5:$R$554,$K17)="","",INDEX('Prospect Tracker'!$R$5:$R$554,$K17)))</f>
        <v/>
      </c>
      <c r="F17" s="6" t="str">
        <f aca="false">IF($K17="","",IF(INDEX('Prospect Tracker'!$J$5:$J$554,$K17)="","",INDEX('Prospect Tracker'!$J$5:$J$554,$K17)))</f>
        <v/>
      </c>
      <c r="G17" s="6" t="str">
        <f aca="false">IF($K17="","",IF(INDEX('Prospect Tracker'!$H$5:$H$554,$K17)="","",INDEX('Prospect Tracker'!$H$5:$H$554,$K17)))</f>
        <v/>
      </c>
      <c r="H17" s="7" t="str">
        <f aca="false">IF($K17="","",IF(INDEX('Prospect Tracker'!$K$5:$K$554,$K17)="","",INDEX('Prospect Tracker'!$K$5:$K$554,$K17)))</f>
        <v/>
      </c>
      <c r="I17" s="6" t="str">
        <f aca="false">IF($K17="","",IF(INDEX('Prospect Tracker'!$T$5:$T$554,$K17)="","",INDEX('Prospect Tracker'!$T$5:$T$554,$K17)))</f>
        <v/>
      </c>
      <c r="J17" s="6" t="str">
        <f aca="false">IF($K17="","",IF(INDEX('Prospect Tracker'!$L$5:$L$554,$K17)="","",INDEX('Prospect Tracker'!$L$5:$L$554,$K17)))</f>
        <v/>
      </c>
      <c r="K17" s="1" t="n">
        <f aca="false">IFERROR(MATCH(SMALL('Prospect Tracker'!$X$5:$X$554,ROW()-4),'Prospect Tracker'!$X$5:$X$554,0),"")</f>
        <v>13</v>
      </c>
    </row>
    <row r="18" customFormat="false" ht="15" hidden="false" customHeight="true" outlineLevel="0" collapsed="false">
      <c r="A18" s="11" t="str">
        <f aca="false">IF($K18="","",IF(INDEX('Prospect Tracker'!$W$5:$W$554,$K18)="","",INDEX('Prospect Tracker'!$W$5:$W$554,$K18)))</f>
        <v/>
      </c>
      <c r="B18" s="11" t="str">
        <f aca="false">IF($K18="","",IF(INDEX('Prospect Tracker'!$A$5:$A$554,$K18)="","",INDEX('Prospect Tracker'!$A$5:$A$554,$K18)))</f>
        <v/>
      </c>
      <c r="C18" s="11" t="str">
        <f aca="false">IF($K18="","",IF(INDEX('Prospect Tracker'!$B$5:$B$554,$K18)="","",INDEX('Prospect Tracker'!$B$5:$B$554,$K18)))</f>
        <v/>
      </c>
      <c r="D18" s="11" t="str">
        <f aca="false">IF($K18="","",IF(INDEX('Prospect Tracker'!$M$5:$M$554,$K18)="","",INDEX('Prospect Tracker'!$M$5:$M$554,$K18)))</f>
        <v/>
      </c>
      <c r="E18" s="11" t="str">
        <f aca="false">IF($K18="","",IF(INDEX('Prospect Tracker'!$R$5:$R$554,$K18)="","",INDEX('Prospect Tracker'!$R$5:$R$554,$K18)))</f>
        <v/>
      </c>
      <c r="F18" s="11" t="str">
        <f aca="false">IF($K18="","",IF(INDEX('Prospect Tracker'!$J$5:$J$554,$K18)="","",INDEX('Prospect Tracker'!$J$5:$J$554,$K18)))</f>
        <v/>
      </c>
      <c r="G18" s="11" t="str">
        <f aca="false">IF($K18="","",IF(INDEX('Prospect Tracker'!$H$5:$H$554,$K18)="","",INDEX('Prospect Tracker'!$H$5:$H$554,$K18)))</f>
        <v/>
      </c>
      <c r="H18" s="12" t="str">
        <f aca="false">IF($K18="","",IF(INDEX('Prospect Tracker'!$K$5:$K$554,$K18)="","",INDEX('Prospect Tracker'!$K$5:$K$554,$K18)))</f>
        <v/>
      </c>
      <c r="I18" s="11" t="str">
        <f aca="false">IF($K18="","",IF(INDEX('Prospect Tracker'!$T$5:$T$554,$K18)="","",INDEX('Prospect Tracker'!$T$5:$T$554,$K18)))</f>
        <v/>
      </c>
      <c r="J18" s="11" t="str">
        <f aca="false">IF($K18="","",IF(INDEX('Prospect Tracker'!$L$5:$L$554,$K18)="","",INDEX('Prospect Tracker'!$L$5:$L$554,$K18)))</f>
        <v/>
      </c>
      <c r="K18" s="1" t="n">
        <f aca="false">IFERROR(MATCH(SMALL('Prospect Tracker'!$X$5:$X$554,ROW()-4),'Prospect Tracker'!$X$5:$X$554,0),"")</f>
        <v>14</v>
      </c>
    </row>
    <row r="19" customFormat="false" ht="15" hidden="false" customHeight="true" outlineLevel="0" collapsed="false">
      <c r="A19" s="6" t="str">
        <f aca="false">IF($K19="","",IF(INDEX('Prospect Tracker'!$W$5:$W$554,$K19)="","",INDEX('Prospect Tracker'!$W$5:$W$554,$K19)))</f>
        <v/>
      </c>
      <c r="B19" s="6" t="str">
        <f aca="false">IF($K19="","",IF(INDEX('Prospect Tracker'!$A$5:$A$554,$K19)="","",INDEX('Prospect Tracker'!$A$5:$A$554,$K19)))</f>
        <v/>
      </c>
      <c r="C19" s="6" t="str">
        <f aca="false">IF($K19="","",IF(INDEX('Prospect Tracker'!$B$5:$B$554,$K19)="","",INDEX('Prospect Tracker'!$B$5:$B$554,$K19)))</f>
        <v/>
      </c>
      <c r="D19" s="6" t="str">
        <f aca="false">IF($K19="","",IF(INDEX('Prospect Tracker'!$M$5:$M$554,$K19)="","",INDEX('Prospect Tracker'!$M$5:$M$554,$K19)))</f>
        <v/>
      </c>
      <c r="E19" s="6" t="str">
        <f aca="false">IF($K19="","",IF(INDEX('Prospect Tracker'!$R$5:$R$554,$K19)="","",INDEX('Prospect Tracker'!$R$5:$R$554,$K19)))</f>
        <v/>
      </c>
      <c r="F19" s="6" t="str">
        <f aca="false">IF($K19="","",IF(INDEX('Prospect Tracker'!$J$5:$J$554,$K19)="","",INDEX('Prospect Tracker'!$J$5:$J$554,$K19)))</f>
        <v/>
      </c>
      <c r="G19" s="6" t="str">
        <f aca="false">IF($K19="","",IF(INDEX('Prospect Tracker'!$H$5:$H$554,$K19)="","",INDEX('Prospect Tracker'!$H$5:$H$554,$K19)))</f>
        <v/>
      </c>
      <c r="H19" s="7" t="str">
        <f aca="false">IF($K19="","",IF(INDEX('Prospect Tracker'!$K$5:$K$554,$K19)="","",INDEX('Prospect Tracker'!$K$5:$K$554,$K19)))</f>
        <v/>
      </c>
      <c r="I19" s="6" t="str">
        <f aca="false">IF($K19="","",IF(INDEX('Prospect Tracker'!$T$5:$T$554,$K19)="","",INDEX('Prospect Tracker'!$T$5:$T$554,$K19)))</f>
        <v/>
      </c>
      <c r="J19" s="6" t="str">
        <f aca="false">IF($K19="","",IF(INDEX('Prospect Tracker'!$L$5:$L$554,$K19)="","",INDEX('Prospect Tracker'!$L$5:$L$554,$K19)))</f>
        <v/>
      </c>
      <c r="K19" s="1" t="n">
        <f aca="false">IFERROR(MATCH(SMALL('Prospect Tracker'!$X$5:$X$554,ROW()-4),'Prospect Tracker'!$X$5:$X$554,0),"")</f>
        <v>15</v>
      </c>
    </row>
    <row r="20" customFormat="false" ht="15" hidden="false" customHeight="true" outlineLevel="0" collapsed="false">
      <c r="A20" s="11" t="str">
        <f aca="false">IF($K20="","",IF(INDEX('Prospect Tracker'!$W$5:$W$554,$K20)="","",INDEX('Prospect Tracker'!$W$5:$W$554,$K20)))</f>
        <v/>
      </c>
      <c r="B20" s="11" t="str">
        <f aca="false">IF($K20="","",IF(INDEX('Prospect Tracker'!$A$5:$A$554,$K20)="","",INDEX('Prospect Tracker'!$A$5:$A$554,$K20)))</f>
        <v/>
      </c>
      <c r="C20" s="11" t="str">
        <f aca="false">IF($K20="","",IF(INDEX('Prospect Tracker'!$B$5:$B$554,$K20)="","",INDEX('Prospect Tracker'!$B$5:$B$554,$K20)))</f>
        <v/>
      </c>
      <c r="D20" s="11" t="str">
        <f aca="false">IF($K20="","",IF(INDEX('Prospect Tracker'!$M$5:$M$554,$K20)="","",INDEX('Prospect Tracker'!$M$5:$M$554,$K20)))</f>
        <v/>
      </c>
      <c r="E20" s="11" t="str">
        <f aca="false">IF($K20="","",IF(INDEX('Prospect Tracker'!$R$5:$R$554,$K20)="","",INDEX('Prospect Tracker'!$R$5:$R$554,$K20)))</f>
        <v/>
      </c>
      <c r="F20" s="11" t="str">
        <f aca="false">IF($K20="","",IF(INDEX('Prospect Tracker'!$J$5:$J$554,$K20)="","",INDEX('Prospect Tracker'!$J$5:$J$554,$K20)))</f>
        <v/>
      </c>
      <c r="G20" s="11" t="str">
        <f aca="false">IF($K20="","",IF(INDEX('Prospect Tracker'!$H$5:$H$554,$K20)="","",INDEX('Prospect Tracker'!$H$5:$H$554,$K20)))</f>
        <v/>
      </c>
      <c r="H20" s="12" t="str">
        <f aca="false">IF($K20="","",IF(INDEX('Prospect Tracker'!$K$5:$K$554,$K20)="","",INDEX('Prospect Tracker'!$K$5:$K$554,$K20)))</f>
        <v/>
      </c>
      <c r="I20" s="11" t="str">
        <f aca="false">IF($K20="","",IF(INDEX('Prospect Tracker'!$T$5:$T$554,$K20)="","",INDEX('Prospect Tracker'!$T$5:$T$554,$K20)))</f>
        <v/>
      </c>
      <c r="J20" s="11" t="str">
        <f aca="false">IF($K20="","",IF(INDEX('Prospect Tracker'!$L$5:$L$554,$K20)="","",INDEX('Prospect Tracker'!$L$5:$L$554,$K20)))</f>
        <v/>
      </c>
      <c r="K20" s="1" t="n">
        <f aca="false">IFERROR(MATCH(SMALL('Prospect Tracker'!$X$5:$X$554,ROW()-4),'Prospect Tracker'!$X$5:$X$554,0),"")</f>
        <v>16</v>
      </c>
    </row>
    <row r="21" customFormat="false" ht="15" hidden="false" customHeight="true" outlineLevel="0" collapsed="false">
      <c r="A21" s="6" t="str">
        <f aca="false">IF($K21="","",IF(INDEX('Prospect Tracker'!$W$5:$W$554,$K21)="","",INDEX('Prospect Tracker'!$W$5:$W$554,$K21)))</f>
        <v/>
      </c>
      <c r="B21" s="6" t="str">
        <f aca="false">IF($K21="","",IF(INDEX('Prospect Tracker'!$A$5:$A$554,$K21)="","",INDEX('Prospect Tracker'!$A$5:$A$554,$K21)))</f>
        <v/>
      </c>
      <c r="C21" s="6" t="str">
        <f aca="false">IF($K21="","",IF(INDEX('Prospect Tracker'!$B$5:$B$554,$K21)="","",INDEX('Prospect Tracker'!$B$5:$B$554,$K21)))</f>
        <v/>
      </c>
      <c r="D21" s="6" t="str">
        <f aca="false">IF($K21="","",IF(INDEX('Prospect Tracker'!$M$5:$M$554,$K21)="","",INDEX('Prospect Tracker'!$M$5:$M$554,$K21)))</f>
        <v/>
      </c>
      <c r="E21" s="6" t="str">
        <f aca="false">IF($K21="","",IF(INDEX('Prospect Tracker'!$R$5:$R$554,$K21)="","",INDEX('Prospect Tracker'!$R$5:$R$554,$K21)))</f>
        <v/>
      </c>
      <c r="F21" s="6" t="str">
        <f aca="false">IF($K21="","",IF(INDEX('Prospect Tracker'!$J$5:$J$554,$K21)="","",INDEX('Prospect Tracker'!$J$5:$J$554,$K21)))</f>
        <v/>
      </c>
      <c r="G21" s="6" t="str">
        <f aca="false">IF($K21="","",IF(INDEX('Prospect Tracker'!$H$5:$H$554,$K21)="","",INDEX('Prospect Tracker'!$H$5:$H$554,$K21)))</f>
        <v/>
      </c>
      <c r="H21" s="7" t="str">
        <f aca="false">IF($K21="","",IF(INDEX('Prospect Tracker'!$K$5:$K$554,$K21)="","",INDEX('Prospect Tracker'!$K$5:$K$554,$K21)))</f>
        <v/>
      </c>
      <c r="I21" s="6" t="str">
        <f aca="false">IF($K21="","",IF(INDEX('Prospect Tracker'!$T$5:$T$554,$K21)="","",INDEX('Prospect Tracker'!$T$5:$T$554,$K21)))</f>
        <v/>
      </c>
      <c r="J21" s="6" t="str">
        <f aca="false">IF($K21="","",IF(INDEX('Prospect Tracker'!$L$5:$L$554,$K21)="","",INDEX('Prospect Tracker'!$L$5:$L$554,$K21)))</f>
        <v/>
      </c>
      <c r="K21" s="1" t="n">
        <f aca="false">IFERROR(MATCH(SMALL('Prospect Tracker'!$X$5:$X$554,ROW()-4),'Prospect Tracker'!$X$5:$X$554,0),"")</f>
        <v>17</v>
      </c>
    </row>
    <row r="22" customFormat="false" ht="15" hidden="false" customHeight="true" outlineLevel="0" collapsed="false">
      <c r="A22" s="11" t="str">
        <f aca="false">IF($K22="","",IF(INDEX('Prospect Tracker'!$W$5:$W$554,$K22)="","",INDEX('Prospect Tracker'!$W$5:$W$554,$K22)))</f>
        <v/>
      </c>
      <c r="B22" s="11" t="str">
        <f aca="false">IF($K22="","",IF(INDEX('Prospect Tracker'!$A$5:$A$554,$K22)="","",INDEX('Prospect Tracker'!$A$5:$A$554,$K22)))</f>
        <v/>
      </c>
      <c r="C22" s="11" t="str">
        <f aca="false">IF($K22="","",IF(INDEX('Prospect Tracker'!$B$5:$B$554,$K22)="","",INDEX('Prospect Tracker'!$B$5:$B$554,$K22)))</f>
        <v/>
      </c>
      <c r="D22" s="11" t="str">
        <f aca="false">IF($K22="","",IF(INDEX('Prospect Tracker'!$M$5:$M$554,$K22)="","",INDEX('Prospect Tracker'!$M$5:$M$554,$K22)))</f>
        <v/>
      </c>
      <c r="E22" s="11" t="str">
        <f aca="false">IF($K22="","",IF(INDEX('Prospect Tracker'!$R$5:$R$554,$K22)="","",INDEX('Prospect Tracker'!$R$5:$R$554,$K22)))</f>
        <v/>
      </c>
      <c r="F22" s="11" t="str">
        <f aca="false">IF($K22="","",IF(INDEX('Prospect Tracker'!$J$5:$J$554,$K22)="","",INDEX('Prospect Tracker'!$J$5:$J$554,$K22)))</f>
        <v/>
      </c>
      <c r="G22" s="11" t="str">
        <f aca="false">IF($K22="","",IF(INDEX('Prospect Tracker'!$H$5:$H$554,$K22)="","",INDEX('Prospect Tracker'!$H$5:$H$554,$K22)))</f>
        <v/>
      </c>
      <c r="H22" s="12" t="str">
        <f aca="false">IF($K22="","",IF(INDEX('Prospect Tracker'!$K$5:$K$554,$K22)="","",INDEX('Prospect Tracker'!$K$5:$K$554,$K22)))</f>
        <v/>
      </c>
      <c r="I22" s="11" t="str">
        <f aca="false">IF($K22="","",IF(INDEX('Prospect Tracker'!$T$5:$T$554,$K22)="","",INDEX('Prospect Tracker'!$T$5:$T$554,$K22)))</f>
        <v/>
      </c>
      <c r="J22" s="11" t="str">
        <f aca="false">IF($K22="","",IF(INDEX('Prospect Tracker'!$L$5:$L$554,$K22)="","",INDEX('Prospect Tracker'!$L$5:$L$554,$K22)))</f>
        <v/>
      </c>
      <c r="K22" s="1" t="n">
        <f aca="false">IFERROR(MATCH(SMALL('Prospect Tracker'!$X$5:$X$554,ROW()-4),'Prospect Tracker'!$X$5:$X$554,0),"")</f>
        <v>18</v>
      </c>
    </row>
    <row r="23" customFormat="false" ht="15" hidden="false" customHeight="true" outlineLevel="0" collapsed="false">
      <c r="A23" s="6" t="str">
        <f aca="false">IF($K23="","",IF(INDEX('Prospect Tracker'!$W$5:$W$554,$K23)="","",INDEX('Prospect Tracker'!$W$5:$W$554,$K23)))</f>
        <v/>
      </c>
      <c r="B23" s="6" t="str">
        <f aca="false">IF($K23="","",IF(INDEX('Prospect Tracker'!$A$5:$A$554,$K23)="","",INDEX('Prospect Tracker'!$A$5:$A$554,$K23)))</f>
        <v/>
      </c>
      <c r="C23" s="6" t="str">
        <f aca="false">IF($K23="","",IF(INDEX('Prospect Tracker'!$B$5:$B$554,$K23)="","",INDEX('Prospect Tracker'!$B$5:$B$554,$K23)))</f>
        <v/>
      </c>
      <c r="D23" s="6" t="str">
        <f aca="false">IF($K23="","",IF(INDEX('Prospect Tracker'!$M$5:$M$554,$K23)="","",INDEX('Prospect Tracker'!$M$5:$M$554,$K23)))</f>
        <v/>
      </c>
      <c r="E23" s="6" t="str">
        <f aca="false">IF($K23="","",IF(INDEX('Prospect Tracker'!$R$5:$R$554,$K23)="","",INDEX('Prospect Tracker'!$R$5:$R$554,$K23)))</f>
        <v/>
      </c>
      <c r="F23" s="6" t="str">
        <f aca="false">IF($K23="","",IF(INDEX('Prospect Tracker'!$J$5:$J$554,$K23)="","",INDEX('Prospect Tracker'!$J$5:$J$554,$K23)))</f>
        <v/>
      </c>
      <c r="G23" s="6" t="str">
        <f aca="false">IF($K23="","",IF(INDEX('Prospect Tracker'!$H$5:$H$554,$K23)="","",INDEX('Prospect Tracker'!$H$5:$H$554,$K23)))</f>
        <v/>
      </c>
      <c r="H23" s="7" t="str">
        <f aca="false">IF($K23="","",IF(INDEX('Prospect Tracker'!$K$5:$K$554,$K23)="","",INDEX('Prospect Tracker'!$K$5:$K$554,$K23)))</f>
        <v/>
      </c>
      <c r="I23" s="6" t="str">
        <f aca="false">IF($K23="","",IF(INDEX('Prospect Tracker'!$T$5:$T$554,$K23)="","",INDEX('Prospect Tracker'!$T$5:$T$554,$K23)))</f>
        <v/>
      </c>
      <c r="J23" s="6" t="str">
        <f aca="false">IF($K23="","",IF(INDEX('Prospect Tracker'!$L$5:$L$554,$K23)="","",INDEX('Prospect Tracker'!$L$5:$L$554,$K23)))</f>
        <v/>
      </c>
      <c r="K23" s="1" t="n">
        <f aca="false">IFERROR(MATCH(SMALL('Prospect Tracker'!$X$5:$X$554,ROW()-4),'Prospect Tracker'!$X$5:$X$554,0),"")</f>
        <v>19</v>
      </c>
    </row>
    <row r="24" customFormat="false" ht="15" hidden="false" customHeight="true" outlineLevel="0" collapsed="false">
      <c r="A24" s="11" t="str">
        <f aca="false">IF($K24="","",IF(INDEX('Prospect Tracker'!$W$5:$W$554,$K24)="","",INDEX('Prospect Tracker'!$W$5:$W$554,$K24)))</f>
        <v/>
      </c>
      <c r="B24" s="11" t="str">
        <f aca="false">IF($K24="","",IF(INDEX('Prospect Tracker'!$A$5:$A$554,$K24)="","",INDEX('Prospect Tracker'!$A$5:$A$554,$K24)))</f>
        <v/>
      </c>
      <c r="C24" s="11" t="str">
        <f aca="false">IF($K24="","",IF(INDEX('Prospect Tracker'!$B$5:$B$554,$K24)="","",INDEX('Prospect Tracker'!$B$5:$B$554,$K24)))</f>
        <v/>
      </c>
      <c r="D24" s="11" t="str">
        <f aca="false">IF($K24="","",IF(INDEX('Prospect Tracker'!$M$5:$M$554,$K24)="","",INDEX('Prospect Tracker'!$M$5:$M$554,$K24)))</f>
        <v/>
      </c>
      <c r="E24" s="11" t="str">
        <f aca="false">IF($K24="","",IF(INDEX('Prospect Tracker'!$R$5:$R$554,$K24)="","",INDEX('Prospect Tracker'!$R$5:$R$554,$K24)))</f>
        <v/>
      </c>
      <c r="F24" s="11" t="str">
        <f aca="false">IF($K24="","",IF(INDEX('Prospect Tracker'!$J$5:$J$554,$K24)="","",INDEX('Prospect Tracker'!$J$5:$J$554,$K24)))</f>
        <v/>
      </c>
      <c r="G24" s="11" t="str">
        <f aca="false">IF($K24="","",IF(INDEX('Prospect Tracker'!$H$5:$H$554,$K24)="","",INDEX('Prospect Tracker'!$H$5:$H$554,$K24)))</f>
        <v/>
      </c>
      <c r="H24" s="12" t="str">
        <f aca="false">IF($K24="","",IF(INDEX('Prospect Tracker'!$K$5:$K$554,$K24)="","",INDEX('Prospect Tracker'!$K$5:$K$554,$K24)))</f>
        <v/>
      </c>
      <c r="I24" s="11" t="str">
        <f aca="false">IF($K24="","",IF(INDEX('Prospect Tracker'!$T$5:$T$554,$K24)="","",INDEX('Prospect Tracker'!$T$5:$T$554,$K24)))</f>
        <v/>
      </c>
      <c r="J24" s="11" t="str">
        <f aca="false">IF($K24="","",IF(INDEX('Prospect Tracker'!$L$5:$L$554,$K24)="","",INDEX('Prospect Tracker'!$L$5:$L$554,$K24)))</f>
        <v/>
      </c>
      <c r="K24" s="1" t="n">
        <f aca="false">IFERROR(MATCH(SMALL('Prospect Tracker'!$X$5:$X$554,ROW()-4),'Prospect Tracker'!$X$5:$X$554,0),"")</f>
        <v>20</v>
      </c>
    </row>
    <row r="25" customFormat="false" ht="15" hidden="false" customHeight="true" outlineLevel="0" collapsed="false">
      <c r="A25" s="6" t="str">
        <f aca="false">IF($K25="","",IF(INDEX('Prospect Tracker'!$W$5:$W$554,$K25)="","",INDEX('Prospect Tracker'!$W$5:$W$554,$K25)))</f>
        <v/>
      </c>
      <c r="B25" s="6" t="str">
        <f aca="false">IF($K25="","",IF(INDEX('Prospect Tracker'!$A$5:$A$554,$K25)="","",INDEX('Prospect Tracker'!$A$5:$A$554,$K25)))</f>
        <v/>
      </c>
      <c r="C25" s="6" t="str">
        <f aca="false">IF($K25="","",IF(INDEX('Prospect Tracker'!$B$5:$B$554,$K25)="","",INDEX('Prospect Tracker'!$B$5:$B$554,$K25)))</f>
        <v/>
      </c>
      <c r="D25" s="6" t="str">
        <f aca="false">IF($K25="","",IF(INDEX('Prospect Tracker'!$M$5:$M$554,$K25)="","",INDEX('Prospect Tracker'!$M$5:$M$554,$K25)))</f>
        <v/>
      </c>
      <c r="E25" s="6" t="str">
        <f aca="false">IF($K25="","",IF(INDEX('Prospect Tracker'!$R$5:$R$554,$K25)="","",INDEX('Prospect Tracker'!$R$5:$R$554,$K25)))</f>
        <v/>
      </c>
      <c r="F25" s="6" t="str">
        <f aca="false">IF($K25="","",IF(INDEX('Prospect Tracker'!$J$5:$J$554,$K25)="","",INDEX('Prospect Tracker'!$J$5:$J$554,$K25)))</f>
        <v/>
      </c>
      <c r="G25" s="6" t="str">
        <f aca="false">IF($K25="","",IF(INDEX('Prospect Tracker'!$H$5:$H$554,$K25)="","",INDEX('Prospect Tracker'!$H$5:$H$554,$K25)))</f>
        <v/>
      </c>
      <c r="H25" s="7" t="str">
        <f aca="false">IF($K25="","",IF(INDEX('Prospect Tracker'!$K$5:$K$554,$K25)="","",INDEX('Prospect Tracker'!$K$5:$K$554,$K25)))</f>
        <v/>
      </c>
      <c r="I25" s="6" t="str">
        <f aca="false">IF($K25="","",IF(INDEX('Prospect Tracker'!$T$5:$T$554,$K25)="","",INDEX('Prospect Tracker'!$T$5:$T$554,$K25)))</f>
        <v/>
      </c>
      <c r="J25" s="6" t="str">
        <f aca="false">IF($K25="","",IF(INDEX('Prospect Tracker'!$L$5:$L$554,$K25)="","",INDEX('Prospect Tracker'!$L$5:$L$554,$K25)))</f>
        <v/>
      </c>
      <c r="K25" s="1" t="n">
        <f aca="false">IFERROR(MATCH(SMALL('Prospect Tracker'!$X$5:$X$554,ROW()-4),'Prospect Tracker'!$X$5:$X$554,0),"")</f>
        <v>21</v>
      </c>
    </row>
    <row r="26" customFormat="false" ht="15" hidden="false" customHeight="true" outlineLevel="0" collapsed="false">
      <c r="A26" s="11" t="str">
        <f aca="false">IF($K26="","",IF(INDEX('Prospect Tracker'!$W$5:$W$554,$K26)="","",INDEX('Prospect Tracker'!$W$5:$W$554,$K26)))</f>
        <v/>
      </c>
      <c r="B26" s="11" t="str">
        <f aca="false">IF($K26="","",IF(INDEX('Prospect Tracker'!$A$5:$A$554,$K26)="","",INDEX('Prospect Tracker'!$A$5:$A$554,$K26)))</f>
        <v/>
      </c>
      <c r="C26" s="11" t="str">
        <f aca="false">IF($K26="","",IF(INDEX('Prospect Tracker'!$B$5:$B$554,$K26)="","",INDEX('Prospect Tracker'!$B$5:$B$554,$K26)))</f>
        <v/>
      </c>
      <c r="D26" s="11" t="str">
        <f aca="false">IF($K26="","",IF(INDEX('Prospect Tracker'!$M$5:$M$554,$K26)="","",INDEX('Prospect Tracker'!$M$5:$M$554,$K26)))</f>
        <v/>
      </c>
      <c r="E26" s="11" t="str">
        <f aca="false">IF($K26="","",IF(INDEX('Prospect Tracker'!$R$5:$R$554,$K26)="","",INDEX('Prospect Tracker'!$R$5:$R$554,$K26)))</f>
        <v/>
      </c>
      <c r="F26" s="11" t="str">
        <f aca="false">IF($K26="","",IF(INDEX('Prospect Tracker'!$J$5:$J$554,$K26)="","",INDEX('Prospect Tracker'!$J$5:$J$554,$K26)))</f>
        <v/>
      </c>
      <c r="G26" s="11" t="str">
        <f aca="false">IF($K26="","",IF(INDEX('Prospect Tracker'!$H$5:$H$554,$K26)="","",INDEX('Prospect Tracker'!$H$5:$H$554,$K26)))</f>
        <v/>
      </c>
      <c r="H26" s="12" t="str">
        <f aca="false">IF($K26="","",IF(INDEX('Prospect Tracker'!$K$5:$K$554,$K26)="","",INDEX('Prospect Tracker'!$K$5:$K$554,$K26)))</f>
        <v/>
      </c>
      <c r="I26" s="11" t="str">
        <f aca="false">IF($K26="","",IF(INDEX('Prospect Tracker'!$T$5:$T$554,$K26)="","",INDEX('Prospect Tracker'!$T$5:$T$554,$K26)))</f>
        <v/>
      </c>
      <c r="J26" s="11" t="str">
        <f aca="false">IF($K26="","",IF(INDEX('Prospect Tracker'!$L$5:$L$554,$K26)="","",INDEX('Prospect Tracker'!$L$5:$L$554,$K26)))</f>
        <v/>
      </c>
      <c r="K26" s="1" t="n">
        <f aca="false">IFERROR(MATCH(SMALL('Prospect Tracker'!$X$5:$X$554,ROW()-4),'Prospect Tracker'!$X$5:$X$554,0),"")</f>
        <v>22</v>
      </c>
    </row>
    <row r="27" customFormat="false" ht="15" hidden="false" customHeight="true" outlineLevel="0" collapsed="false">
      <c r="A27" s="6" t="str">
        <f aca="false">IF($K27="","",IF(INDEX('Prospect Tracker'!$W$5:$W$554,$K27)="","",INDEX('Prospect Tracker'!$W$5:$W$554,$K27)))</f>
        <v/>
      </c>
      <c r="B27" s="6" t="str">
        <f aca="false">IF($K27="","",IF(INDEX('Prospect Tracker'!$A$5:$A$554,$K27)="","",INDEX('Prospect Tracker'!$A$5:$A$554,$K27)))</f>
        <v/>
      </c>
      <c r="C27" s="6" t="str">
        <f aca="false">IF($K27="","",IF(INDEX('Prospect Tracker'!$B$5:$B$554,$K27)="","",INDEX('Prospect Tracker'!$B$5:$B$554,$K27)))</f>
        <v/>
      </c>
      <c r="D27" s="6" t="str">
        <f aca="false">IF($K27="","",IF(INDEX('Prospect Tracker'!$M$5:$M$554,$K27)="","",INDEX('Prospect Tracker'!$M$5:$M$554,$K27)))</f>
        <v/>
      </c>
      <c r="E27" s="6" t="str">
        <f aca="false">IF($K27="","",IF(INDEX('Prospect Tracker'!$R$5:$R$554,$K27)="","",INDEX('Prospect Tracker'!$R$5:$R$554,$K27)))</f>
        <v/>
      </c>
      <c r="F27" s="6" t="str">
        <f aca="false">IF($K27="","",IF(INDEX('Prospect Tracker'!$J$5:$J$554,$K27)="","",INDEX('Prospect Tracker'!$J$5:$J$554,$K27)))</f>
        <v/>
      </c>
      <c r="G27" s="6" t="str">
        <f aca="false">IF($K27="","",IF(INDEX('Prospect Tracker'!$H$5:$H$554,$K27)="","",INDEX('Prospect Tracker'!$H$5:$H$554,$K27)))</f>
        <v/>
      </c>
      <c r="H27" s="7" t="str">
        <f aca="false">IF($K27="","",IF(INDEX('Prospect Tracker'!$K$5:$K$554,$K27)="","",INDEX('Prospect Tracker'!$K$5:$K$554,$K27)))</f>
        <v/>
      </c>
      <c r="I27" s="6" t="str">
        <f aca="false">IF($K27="","",IF(INDEX('Prospect Tracker'!$T$5:$T$554,$K27)="","",INDEX('Prospect Tracker'!$T$5:$T$554,$K27)))</f>
        <v/>
      </c>
      <c r="J27" s="6" t="str">
        <f aca="false">IF($K27="","",IF(INDEX('Prospect Tracker'!$L$5:$L$554,$K27)="","",INDEX('Prospect Tracker'!$L$5:$L$554,$K27)))</f>
        <v/>
      </c>
      <c r="K27" s="1" t="n">
        <f aca="false">IFERROR(MATCH(SMALL('Prospect Tracker'!$X$5:$X$554,ROW()-4),'Prospect Tracker'!$X$5:$X$554,0),"")</f>
        <v>23</v>
      </c>
    </row>
    <row r="28" customFormat="false" ht="15" hidden="false" customHeight="true" outlineLevel="0" collapsed="false">
      <c r="A28" s="11" t="str">
        <f aca="false">IF($K28="","",IF(INDEX('Prospect Tracker'!$W$5:$W$554,$K28)="","",INDEX('Prospect Tracker'!$W$5:$W$554,$K28)))</f>
        <v/>
      </c>
      <c r="B28" s="11" t="str">
        <f aca="false">IF($K28="","",IF(INDEX('Prospect Tracker'!$A$5:$A$554,$K28)="","",INDEX('Prospect Tracker'!$A$5:$A$554,$K28)))</f>
        <v/>
      </c>
      <c r="C28" s="11" t="str">
        <f aca="false">IF($K28="","",IF(INDEX('Prospect Tracker'!$B$5:$B$554,$K28)="","",INDEX('Prospect Tracker'!$B$5:$B$554,$K28)))</f>
        <v/>
      </c>
      <c r="D28" s="11" t="str">
        <f aca="false">IF($K28="","",IF(INDEX('Prospect Tracker'!$M$5:$M$554,$K28)="","",INDEX('Prospect Tracker'!$M$5:$M$554,$K28)))</f>
        <v/>
      </c>
      <c r="E28" s="11" t="str">
        <f aca="false">IF($K28="","",IF(INDEX('Prospect Tracker'!$R$5:$R$554,$K28)="","",INDEX('Prospect Tracker'!$R$5:$R$554,$K28)))</f>
        <v/>
      </c>
      <c r="F28" s="11" t="str">
        <f aca="false">IF($K28="","",IF(INDEX('Prospect Tracker'!$J$5:$J$554,$K28)="","",INDEX('Prospect Tracker'!$J$5:$J$554,$K28)))</f>
        <v/>
      </c>
      <c r="G28" s="11" t="str">
        <f aca="false">IF($K28="","",IF(INDEX('Prospect Tracker'!$H$5:$H$554,$K28)="","",INDEX('Prospect Tracker'!$H$5:$H$554,$K28)))</f>
        <v/>
      </c>
      <c r="H28" s="12" t="str">
        <f aca="false">IF($K28="","",IF(INDEX('Prospect Tracker'!$K$5:$K$554,$K28)="","",INDEX('Prospect Tracker'!$K$5:$K$554,$K28)))</f>
        <v/>
      </c>
      <c r="I28" s="11" t="str">
        <f aca="false">IF($K28="","",IF(INDEX('Prospect Tracker'!$T$5:$T$554,$K28)="","",INDEX('Prospect Tracker'!$T$5:$T$554,$K28)))</f>
        <v/>
      </c>
      <c r="J28" s="11" t="str">
        <f aca="false">IF($K28="","",IF(INDEX('Prospect Tracker'!$L$5:$L$554,$K28)="","",INDEX('Prospect Tracker'!$L$5:$L$554,$K28)))</f>
        <v/>
      </c>
      <c r="K28" s="1" t="n">
        <f aca="false">IFERROR(MATCH(SMALL('Prospect Tracker'!$X$5:$X$554,ROW()-4),'Prospect Tracker'!$X$5:$X$554,0),"")</f>
        <v>24</v>
      </c>
    </row>
    <row r="29" customFormat="false" ht="15" hidden="false" customHeight="true" outlineLevel="0" collapsed="false">
      <c r="A29" s="6" t="str">
        <f aca="false">IF($K29="","",IF(INDEX('Prospect Tracker'!$W$5:$W$554,$K29)="","",INDEX('Prospect Tracker'!$W$5:$W$554,$K29)))</f>
        <v/>
      </c>
      <c r="B29" s="6" t="str">
        <f aca="false">IF($K29="","",IF(INDEX('Prospect Tracker'!$A$5:$A$554,$K29)="","",INDEX('Prospect Tracker'!$A$5:$A$554,$K29)))</f>
        <v/>
      </c>
      <c r="C29" s="6" t="str">
        <f aca="false">IF($K29="","",IF(INDEX('Prospect Tracker'!$B$5:$B$554,$K29)="","",INDEX('Prospect Tracker'!$B$5:$B$554,$K29)))</f>
        <v/>
      </c>
      <c r="D29" s="6" t="str">
        <f aca="false">IF($K29="","",IF(INDEX('Prospect Tracker'!$M$5:$M$554,$K29)="","",INDEX('Prospect Tracker'!$M$5:$M$554,$K29)))</f>
        <v/>
      </c>
      <c r="E29" s="6" t="str">
        <f aca="false">IF($K29="","",IF(INDEX('Prospect Tracker'!$R$5:$R$554,$K29)="","",INDEX('Prospect Tracker'!$R$5:$R$554,$K29)))</f>
        <v/>
      </c>
      <c r="F29" s="6" t="str">
        <f aca="false">IF($K29="","",IF(INDEX('Prospect Tracker'!$J$5:$J$554,$K29)="","",INDEX('Prospect Tracker'!$J$5:$J$554,$K29)))</f>
        <v/>
      </c>
      <c r="G29" s="6" t="str">
        <f aca="false">IF($K29="","",IF(INDEX('Prospect Tracker'!$H$5:$H$554,$K29)="","",INDEX('Prospect Tracker'!$H$5:$H$554,$K29)))</f>
        <v/>
      </c>
      <c r="H29" s="7" t="str">
        <f aca="false">IF($K29="","",IF(INDEX('Prospect Tracker'!$K$5:$K$554,$K29)="","",INDEX('Prospect Tracker'!$K$5:$K$554,$K29)))</f>
        <v/>
      </c>
      <c r="I29" s="6" t="str">
        <f aca="false">IF($K29="","",IF(INDEX('Prospect Tracker'!$T$5:$T$554,$K29)="","",INDEX('Prospect Tracker'!$T$5:$T$554,$K29)))</f>
        <v/>
      </c>
      <c r="J29" s="6" t="str">
        <f aca="false">IF($K29="","",IF(INDEX('Prospect Tracker'!$L$5:$L$554,$K29)="","",INDEX('Prospect Tracker'!$L$5:$L$554,$K29)))</f>
        <v/>
      </c>
      <c r="K29" s="1" t="n">
        <f aca="false">IFERROR(MATCH(SMALL('Prospect Tracker'!$X$5:$X$554,ROW()-4),'Prospect Tracker'!$X$5:$X$554,0),"")</f>
        <v>25</v>
      </c>
    </row>
    <row r="30" customFormat="false" ht="15" hidden="false" customHeight="true" outlineLevel="0" collapsed="false">
      <c r="A30" s="11" t="str">
        <f aca="false">IF($K30="","",IF(INDEX('Prospect Tracker'!$W$5:$W$554,$K30)="","",INDEX('Prospect Tracker'!$W$5:$W$554,$K30)))</f>
        <v/>
      </c>
      <c r="B30" s="11" t="str">
        <f aca="false">IF($K30="","",IF(INDEX('Prospect Tracker'!$A$5:$A$554,$K30)="","",INDEX('Prospect Tracker'!$A$5:$A$554,$K30)))</f>
        <v/>
      </c>
      <c r="C30" s="11" t="str">
        <f aca="false">IF($K30="","",IF(INDEX('Prospect Tracker'!$B$5:$B$554,$K30)="","",INDEX('Prospect Tracker'!$B$5:$B$554,$K30)))</f>
        <v/>
      </c>
      <c r="D30" s="11" t="str">
        <f aca="false">IF($K30="","",IF(INDEX('Prospect Tracker'!$M$5:$M$554,$K30)="","",INDEX('Prospect Tracker'!$M$5:$M$554,$K30)))</f>
        <v/>
      </c>
      <c r="E30" s="11" t="str">
        <f aca="false">IF($K30="","",IF(INDEX('Prospect Tracker'!$R$5:$R$554,$K30)="","",INDEX('Prospect Tracker'!$R$5:$R$554,$K30)))</f>
        <v/>
      </c>
      <c r="F30" s="11" t="str">
        <f aca="false">IF($K30="","",IF(INDEX('Prospect Tracker'!$J$5:$J$554,$K30)="","",INDEX('Prospect Tracker'!$J$5:$J$554,$K30)))</f>
        <v/>
      </c>
      <c r="G30" s="11" t="str">
        <f aca="false">IF($K30="","",IF(INDEX('Prospect Tracker'!$H$5:$H$554,$K30)="","",INDEX('Prospect Tracker'!$H$5:$H$554,$K30)))</f>
        <v/>
      </c>
      <c r="H30" s="12" t="str">
        <f aca="false">IF($K30="","",IF(INDEX('Prospect Tracker'!$K$5:$K$554,$K30)="","",INDEX('Prospect Tracker'!$K$5:$K$554,$K30)))</f>
        <v/>
      </c>
      <c r="I30" s="11" t="str">
        <f aca="false">IF($K30="","",IF(INDEX('Prospect Tracker'!$T$5:$T$554,$K30)="","",INDEX('Prospect Tracker'!$T$5:$T$554,$K30)))</f>
        <v/>
      </c>
      <c r="J30" s="11" t="str">
        <f aca="false">IF($K30="","",IF(INDEX('Prospect Tracker'!$L$5:$L$554,$K30)="","",INDEX('Prospect Tracker'!$L$5:$L$554,$K30)))</f>
        <v/>
      </c>
      <c r="K30" s="1" t="n">
        <f aca="false">IFERROR(MATCH(SMALL('Prospect Tracker'!$X$5:$X$554,ROW()-4),'Prospect Tracker'!$X$5:$X$554,0),"")</f>
        <v>26</v>
      </c>
    </row>
    <row r="31" customFormat="false" ht="15" hidden="false" customHeight="true" outlineLevel="0" collapsed="false">
      <c r="A31" s="6" t="str">
        <f aca="false">IF($K31="","",IF(INDEX('Prospect Tracker'!$W$5:$W$554,$K31)="","",INDEX('Prospect Tracker'!$W$5:$W$554,$K31)))</f>
        <v/>
      </c>
      <c r="B31" s="6" t="str">
        <f aca="false">IF($K31="","",IF(INDEX('Prospect Tracker'!$A$5:$A$554,$K31)="","",INDEX('Prospect Tracker'!$A$5:$A$554,$K31)))</f>
        <v/>
      </c>
      <c r="C31" s="6" t="str">
        <f aca="false">IF($K31="","",IF(INDEX('Prospect Tracker'!$B$5:$B$554,$K31)="","",INDEX('Prospect Tracker'!$B$5:$B$554,$K31)))</f>
        <v/>
      </c>
      <c r="D31" s="6" t="str">
        <f aca="false">IF($K31="","",IF(INDEX('Prospect Tracker'!$M$5:$M$554,$K31)="","",INDEX('Prospect Tracker'!$M$5:$M$554,$K31)))</f>
        <v/>
      </c>
      <c r="E31" s="6" t="str">
        <f aca="false">IF($K31="","",IF(INDEX('Prospect Tracker'!$R$5:$R$554,$K31)="","",INDEX('Prospect Tracker'!$R$5:$R$554,$K31)))</f>
        <v/>
      </c>
      <c r="F31" s="6" t="str">
        <f aca="false">IF($K31="","",IF(INDEX('Prospect Tracker'!$J$5:$J$554,$K31)="","",INDEX('Prospect Tracker'!$J$5:$J$554,$K31)))</f>
        <v/>
      </c>
      <c r="G31" s="6" t="str">
        <f aca="false">IF($K31="","",IF(INDEX('Prospect Tracker'!$H$5:$H$554,$K31)="","",INDEX('Prospect Tracker'!$H$5:$H$554,$K31)))</f>
        <v/>
      </c>
      <c r="H31" s="7" t="str">
        <f aca="false">IF($K31="","",IF(INDEX('Prospect Tracker'!$K$5:$K$554,$K31)="","",INDEX('Prospect Tracker'!$K$5:$K$554,$K31)))</f>
        <v/>
      </c>
      <c r="I31" s="6" t="str">
        <f aca="false">IF($K31="","",IF(INDEX('Prospect Tracker'!$T$5:$T$554,$K31)="","",INDEX('Prospect Tracker'!$T$5:$T$554,$K31)))</f>
        <v/>
      </c>
      <c r="J31" s="6" t="str">
        <f aca="false">IF($K31="","",IF(INDEX('Prospect Tracker'!$L$5:$L$554,$K31)="","",INDEX('Prospect Tracker'!$L$5:$L$554,$K31)))</f>
        <v/>
      </c>
      <c r="K31" s="1" t="n">
        <f aca="false">IFERROR(MATCH(SMALL('Prospect Tracker'!$X$5:$X$554,ROW()-4),'Prospect Tracker'!$X$5:$X$554,0),"")</f>
        <v>27</v>
      </c>
    </row>
    <row r="32" customFormat="false" ht="15" hidden="false" customHeight="true" outlineLevel="0" collapsed="false">
      <c r="A32" s="11" t="str">
        <f aca="false">IF($K32="","",IF(INDEX('Prospect Tracker'!$W$5:$W$554,$K32)="","",INDEX('Prospect Tracker'!$W$5:$W$554,$K32)))</f>
        <v/>
      </c>
      <c r="B32" s="11" t="str">
        <f aca="false">IF($K32="","",IF(INDEX('Prospect Tracker'!$A$5:$A$554,$K32)="","",INDEX('Prospect Tracker'!$A$5:$A$554,$K32)))</f>
        <v/>
      </c>
      <c r="C32" s="11" t="str">
        <f aca="false">IF($K32="","",IF(INDEX('Prospect Tracker'!$B$5:$B$554,$K32)="","",INDEX('Prospect Tracker'!$B$5:$B$554,$K32)))</f>
        <v/>
      </c>
      <c r="D32" s="11" t="str">
        <f aca="false">IF($K32="","",IF(INDEX('Prospect Tracker'!$M$5:$M$554,$K32)="","",INDEX('Prospect Tracker'!$M$5:$M$554,$K32)))</f>
        <v/>
      </c>
      <c r="E32" s="11" t="str">
        <f aca="false">IF($K32="","",IF(INDEX('Prospect Tracker'!$R$5:$R$554,$K32)="","",INDEX('Prospect Tracker'!$R$5:$R$554,$K32)))</f>
        <v/>
      </c>
      <c r="F32" s="11" t="str">
        <f aca="false">IF($K32="","",IF(INDEX('Prospect Tracker'!$J$5:$J$554,$K32)="","",INDEX('Prospect Tracker'!$J$5:$J$554,$K32)))</f>
        <v/>
      </c>
      <c r="G32" s="11" t="str">
        <f aca="false">IF($K32="","",IF(INDEX('Prospect Tracker'!$H$5:$H$554,$K32)="","",INDEX('Prospect Tracker'!$H$5:$H$554,$K32)))</f>
        <v/>
      </c>
      <c r="H32" s="12" t="str">
        <f aca="false">IF($K32="","",IF(INDEX('Prospect Tracker'!$K$5:$K$554,$K32)="","",INDEX('Prospect Tracker'!$K$5:$K$554,$K32)))</f>
        <v/>
      </c>
      <c r="I32" s="11" t="str">
        <f aca="false">IF($K32="","",IF(INDEX('Prospect Tracker'!$T$5:$T$554,$K32)="","",INDEX('Prospect Tracker'!$T$5:$T$554,$K32)))</f>
        <v/>
      </c>
      <c r="J32" s="11" t="str">
        <f aca="false">IF($K32="","",IF(INDEX('Prospect Tracker'!$L$5:$L$554,$K32)="","",INDEX('Prospect Tracker'!$L$5:$L$554,$K32)))</f>
        <v/>
      </c>
      <c r="K32" s="1" t="n">
        <f aca="false">IFERROR(MATCH(SMALL('Prospect Tracker'!$X$5:$X$554,ROW()-4),'Prospect Tracker'!$X$5:$X$554,0),"")</f>
        <v>28</v>
      </c>
    </row>
    <row r="33" customFormat="false" ht="15" hidden="false" customHeight="true" outlineLevel="0" collapsed="false">
      <c r="A33" s="6" t="str">
        <f aca="false">IF($K33="","",IF(INDEX('Prospect Tracker'!$W$5:$W$554,$K33)="","",INDEX('Prospect Tracker'!$W$5:$W$554,$K33)))</f>
        <v/>
      </c>
      <c r="B33" s="6" t="str">
        <f aca="false">IF($K33="","",IF(INDEX('Prospect Tracker'!$A$5:$A$554,$K33)="","",INDEX('Prospect Tracker'!$A$5:$A$554,$K33)))</f>
        <v/>
      </c>
      <c r="C33" s="6" t="str">
        <f aca="false">IF($K33="","",IF(INDEX('Prospect Tracker'!$B$5:$B$554,$K33)="","",INDEX('Prospect Tracker'!$B$5:$B$554,$K33)))</f>
        <v/>
      </c>
      <c r="D33" s="6" t="str">
        <f aca="false">IF($K33="","",IF(INDEX('Prospect Tracker'!$M$5:$M$554,$K33)="","",INDEX('Prospect Tracker'!$M$5:$M$554,$K33)))</f>
        <v/>
      </c>
      <c r="E33" s="6" t="str">
        <f aca="false">IF($K33="","",IF(INDEX('Prospect Tracker'!$R$5:$R$554,$K33)="","",INDEX('Prospect Tracker'!$R$5:$R$554,$K33)))</f>
        <v/>
      </c>
      <c r="F33" s="6" t="str">
        <f aca="false">IF($K33="","",IF(INDEX('Prospect Tracker'!$J$5:$J$554,$K33)="","",INDEX('Prospect Tracker'!$J$5:$J$554,$K33)))</f>
        <v/>
      </c>
      <c r="G33" s="6" t="str">
        <f aca="false">IF($K33="","",IF(INDEX('Prospect Tracker'!$H$5:$H$554,$K33)="","",INDEX('Prospect Tracker'!$H$5:$H$554,$K33)))</f>
        <v/>
      </c>
      <c r="H33" s="7" t="str">
        <f aca="false">IF($K33="","",IF(INDEX('Prospect Tracker'!$K$5:$K$554,$K33)="","",INDEX('Prospect Tracker'!$K$5:$K$554,$K33)))</f>
        <v/>
      </c>
      <c r="I33" s="6" t="str">
        <f aca="false">IF($K33="","",IF(INDEX('Prospect Tracker'!$T$5:$T$554,$K33)="","",INDEX('Prospect Tracker'!$T$5:$T$554,$K33)))</f>
        <v/>
      </c>
      <c r="J33" s="6" t="str">
        <f aca="false">IF($K33="","",IF(INDEX('Prospect Tracker'!$L$5:$L$554,$K33)="","",INDEX('Prospect Tracker'!$L$5:$L$554,$K33)))</f>
        <v/>
      </c>
      <c r="K33" s="1" t="n">
        <f aca="false">IFERROR(MATCH(SMALL('Prospect Tracker'!$X$5:$X$554,ROW()-4),'Prospect Tracker'!$X$5:$X$554,0),"")</f>
        <v>29</v>
      </c>
    </row>
    <row r="34" customFormat="false" ht="15" hidden="false" customHeight="true" outlineLevel="0" collapsed="false">
      <c r="A34" s="11" t="str">
        <f aca="false">IF($K34="","",IF(INDEX('Prospect Tracker'!$W$5:$W$554,$K34)="","",INDEX('Prospect Tracker'!$W$5:$W$554,$K34)))</f>
        <v/>
      </c>
      <c r="B34" s="11" t="str">
        <f aca="false">IF($K34="","",IF(INDEX('Prospect Tracker'!$A$5:$A$554,$K34)="","",INDEX('Prospect Tracker'!$A$5:$A$554,$K34)))</f>
        <v/>
      </c>
      <c r="C34" s="11" t="str">
        <f aca="false">IF($K34="","",IF(INDEX('Prospect Tracker'!$B$5:$B$554,$K34)="","",INDEX('Prospect Tracker'!$B$5:$B$554,$K34)))</f>
        <v/>
      </c>
      <c r="D34" s="11" t="str">
        <f aca="false">IF($K34="","",IF(INDEX('Prospect Tracker'!$M$5:$M$554,$K34)="","",INDEX('Prospect Tracker'!$M$5:$M$554,$K34)))</f>
        <v/>
      </c>
      <c r="E34" s="11" t="str">
        <f aca="false">IF($K34="","",IF(INDEX('Prospect Tracker'!$R$5:$R$554,$K34)="","",INDEX('Prospect Tracker'!$R$5:$R$554,$K34)))</f>
        <v/>
      </c>
      <c r="F34" s="11" t="str">
        <f aca="false">IF($K34="","",IF(INDEX('Prospect Tracker'!$J$5:$J$554,$K34)="","",INDEX('Prospect Tracker'!$J$5:$J$554,$K34)))</f>
        <v/>
      </c>
      <c r="G34" s="11" t="str">
        <f aca="false">IF($K34="","",IF(INDEX('Prospect Tracker'!$H$5:$H$554,$K34)="","",INDEX('Prospect Tracker'!$H$5:$H$554,$K34)))</f>
        <v/>
      </c>
      <c r="H34" s="12" t="str">
        <f aca="false">IF($K34="","",IF(INDEX('Prospect Tracker'!$K$5:$K$554,$K34)="","",INDEX('Prospect Tracker'!$K$5:$K$554,$K34)))</f>
        <v/>
      </c>
      <c r="I34" s="11" t="str">
        <f aca="false">IF($K34="","",IF(INDEX('Prospect Tracker'!$T$5:$T$554,$K34)="","",INDEX('Prospect Tracker'!$T$5:$T$554,$K34)))</f>
        <v/>
      </c>
      <c r="J34" s="11" t="str">
        <f aca="false">IF($K34="","",IF(INDEX('Prospect Tracker'!$L$5:$L$554,$K34)="","",INDEX('Prospect Tracker'!$L$5:$L$554,$K34)))</f>
        <v/>
      </c>
      <c r="K34" s="1" t="n">
        <f aca="false">IFERROR(MATCH(SMALL('Prospect Tracker'!$X$5:$X$554,ROW()-4),'Prospect Tracker'!$X$5:$X$554,0),"")</f>
        <v>30</v>
      </c>
    </row>
    <row r="35" customFormat="false" ht="15" hidden="false" customHeight="true" outlineLevel="0" collapsed="false">
      <c r="A35" s="6" t="str">
        <f aca="false">IF($K35="","",IF(INDEX('Prospect Tracker'!$W$5:$W$554,$K35)="","",INDEX('Prospect Tracker'!$W$5:$W$554,$K35)))</f>
        <v/>
      </c>
      <c r="B35" s="6" t="str">
        <f aca="false">IF($K35="","",IF(INDEX('Prospect Tracker'!$A$5:$A$554,$K35)="","",INDEX('Prospect Tracker'!$A$5:$A$554,$K35)))</f>
        <v/>
      </c>
      <c r="C35" s="6" t="str">
        <f aca="false">IF($K35="","",IF(INDEX('Prospect Tracker'!$B$5:$B$554,$K35)="","",INDEX('Prospect Tracker'!$B$5:$B$554,$K35)))</f>
        <v/>
      </c>
      <c r="D35" s="6" t="str">
        <f aca="false">IF($K35="","",IF(INDEX('Prospect Tracker'!$M$5:$M$554,$K35)="","",INDEX('Prospect Tracker'!$M$5:$M$554,$K35)))</f>
        <v/>
      </c>
      <c r="E35" s="6" t="str">
        <f aca="false">IF($K35="","",IF(INDEX('Prospect Tracker'!$R$5:$R$554,$K35)="","",INDEX('Prospect Tracker'!$R$5:$R$554,$K35)))</f>
        <v/>
      </c>
      <c r="F35" s="6" t="str">
        <f aca="false">IF($K35="","",IF(INDEX('Prospect Tracker'!$J$5:$J$554,$K35)="","",INDEX('Prospect Tracker'!$J$5:$J$554,$K35)))</f>
        <v/>
      </c>
      <c r="G35" s="6" t="str">
        <f aca="false">IF($K35="","",IF(INDEX('Prospect Tracker'!$H$5:$H$554,$K35)="","",INDEX('Prospect Tracker'!$H$5:$H$554,$K35)))</f>
        <v/>
      </c>
      <c r="H35" s="7" t="str">
        <f aca="false">IF($K35="","",IF(INDEX('Prospect Tracker'!$K$5:$K$554,$K35)="","",INDEX('Prospect Tracker'!$K$5:$K$554,$K35)))</f>
        <v/>
      </c>
      <c r="I35" s="6" t="str">
        <f aca="false">IF($K35="","",IF(INDEX('Prospect Tracker'!$T$5:$T$554,$K35)="","",INDEX('Prospect Tracker'!$T$5:$T$554,$K35)))</f>
        <v/>
      </c>
      <c r="J35" s="6" t="str">
        <f aca="false">IF($K35="","",IF(INDEX('Prospect Tracker'!$L$5:$L$554,$K35)="","",INDEX('Prospect Tracker'!$L$5:$L$554,$K35)))</f>
        <v/>
      </c>
      <c r="K35" s="1" t="n">
        <f aca="false">IFERROR(MATCH(SMALL('Prospect Tracker'!$X$5:$X$554,ROW()-4),'Prospect Tracker'!$X$5:$X$554,0),"")</f>
        <v>31</v>
      </c>
    </row>
    <row r="36" customFormat="false" ht="15" hidden="false" customHeight="true" outlineLevel="0" collapsed="false">
      <c r="A36" s="11" t="str">
        <f aca="false">IF($K36="","",IF(INDEX('Prospect Tracker'!$W$5:$W$554,$K36)="","",INDEX('Prospect Tracker'!$W$5:$W$554,$K36)))</f>
        <v/>
      </c>
      <c r="B36" s="11" t="str">
        <f aca="false">IF($K36="","",IF(INDEX('Prospect Tracker'!$A$5:$A$554,$K36)="","",INDEX('Prospect Tracker'!$A$5:$A$554,$K36)))</f>
        <v/>
      </c>
      <c r="C36" s="11" t="str">
        <f aca="false">IF($K36="","",IF(INDEX('Prospect Tracker'!$B$5:$B$554,$K36)="","",INDEX('Prospect Tracker'!$B$5:$B$554,$K36)))</f>
        <v/>
      </c>
      <c r="D36" s="11" t="str">
        <f aca="false">IF($K36="","",IF(INDEX('Prospect Tracker'!$M$5:$M$554,$K36)="","",INDEX('Prospect Tracker'!$M$5:$M$554,$K36)))</f>
        <v/>
      </c>
      <c r="E36" s="11" t="str">
        <f aca="false">IF($K36="","",IF(INDEX('Prospect Tracker'!$R$5:$R$554,$K36)="","",INDEX('Prospect Tracker'!$R$5:$R$554,$K36)))</f>
        <v/>
      </c>
      <c r="F36" s="11" t="str">
        <f aca="false">IF($K36="","",IF(INDEX('Prospect Tracker'!$J$5:$J$554,$K36)="","",INDEX('Prospect Tracker'!$J$5:$J$554,$K36)))</f>
        <v/>
      </c>
      <c r="G36" s="11" t="str">
        <f aca="false">IF($K36="","",IF(INDEX('Prospect Tracker'!$H$5:$H$554,$K36)="","",INDEX('Prospect Tracker'!$H$5:$H$554,$K36)))</f>
        <v/>
      </c>
      <c r="H36" s="12" t="str">
        <f aca="false">IF($K36="","",IF(INDEX('Prospect Tracker'!$K$5:$K$554,$K36)="","",INDEX('Prospect Tracker'!$K$5:$K$554,$K36)))</f>
        <v/>
      </c>
      <c r="I36" s="11" t="str">
        <f aca="false">IF($K36="","",IF(INDEX('Prospect Tracker'!$T$5:$T$554,$K36)="","",INDEX('Prospect Tracker'!$T$5:$T$554,$K36)))</f>
        <v/>
      </c>
      <c r="J36" s="11" t="str">
        <f aca="false">IF($K36="","",IF(INDEX('Prospect Tracker'!$L$5:$L$554,$K36)="","",INDEX('Prospect Tracker'!$L$5:$L$554,$K36)))</f>
        <v/>
      </c>
      <c r="K36" s="1" t="n">
        <f aca="false">IFERROR(MATCH(SMALL('Prospect Tracker'!$X$5:$X$554,ROW()-4),'Prospect Tracker'!$X$5:$X$554,0),"")</f>
        <v>32</v>
      </c>
    </row>
    <row r="37" customFormat="false" ht="15" hidden="false" customHeight="true" outlineLevel="0" collapsed="false">
      <c r="A37" s="6" t="str">
        <f aca="false">IF($K37="","",IF(INDEX('Prospect Tracker'!$W$5:$W$554,$K37)="","",INDEX('Prospect Tracker'!$W$5:$W$554,$K37)))</f>
        <v/>
      </c>
      <c r="B37" s="6" t="str">
        <f aca="false">IF($K37="","",IF(INDEX('Prospect Tracker'!$A$5:$A$554,$K37)="","",INDEX('Prospect Tracker'!$A$5:$A$554,$K37)))</f>
        <v/>
      </c>
      <c r="C37" s="6" t="str">
        <f aca="false">IF($K37="","",IF(INDEX('Prospect Tracker'!$B$5:$B$554,$K37)="","",INDEX('Prospect Tracker'!$B$5:$B$554,$K37)))</f>
        <v/>
      </c>
      <c r="D37" s="6" t="str">
        <f aca="false">IF($K37="","",IF(INDEX('Prospect Tracker'!$M$5:$M$554,$K37)="","",INDEX('Prospect Tracker'!$M$5:$M$554,$K37)))</f>
        <v/>
      </c>
      <c r="E37" s="6" t="str">
        <f aca="false">IF($K37="","",IF(INDEX('Prospect Tracker'!$R$5:$R$554,$K37)="","",INDEX('Prospect Tracker'!$R$5:$R$554,$K37)))</f>
        <v/>
      </c>
      <c r="F37" s="6" t="str">
        <f aca="false">IF($K37="","",IF(INDEX('Prospect Tracker'!$J$5:$J$554,$K37)="","",INDEX('Prospect Tracker'!$J$5:$J$554,$K37)))</f>
        <v/>
      </c>
      <c r="G37" s="6" t="str">
        <f aca="false">IF($K37="","",IF(INDEX('Prospect Tracker'!$H$5:$H$554,$K37)="","",INDEX('Prospect Tracker'!$H$5:$H$554,$K37)))</f>
        <v/>
      </c>
      <c r="H37" s="7" t="str">
        <f aca="false">IF($K37="","",IF(INDEX('Prospect Tracker'!$K$5:$K$554,$K37)="","",INDEX('Prospect Tracker'!$K$5:$K$554,$K37)))</f>
        <v/>
      </c>
      <c r="I37" s="6" t="str">
        <f aca="false">IF($K37="","",IF(INDEX('Prospect Tracker'!$T$5:$T$554,$K37)="","",INDEX('Prospect Tracker'!$T$5:$T$554,$K37)))</f>
        <v/>
      </c>
      <c r="J37" s="6" t="str">
        <f aca="false">IF($K37="","",IF(INDEX('Prospect Tracker'!$L$5:$L$554,$K37)="","",INDEX('Prospect Tracker'!$L$5:$L$554,$K37)))</f>
        <v/>
      </c>
      <c r="K37" s="1" t="n">
        <f aca="false">IFERROR(MATCH(SMALL('Prospect Tracker'!$X$5:$X$554,ROW()-4),'Prospect Tracker'!$X$5:$X$554,0),"")</f>
        <v>33</v>
      </c>
    </row>
    <row r="38" customFormat="false" ht="15" hidden="false" customHeight="true" outlineLevel="0" collapsed="false">
      <c r="A38" s="11" t="str">
        <f aca="false">IF($K38="","",IF(INDEX('Prospect Tracker'!$W$5:$W$554,$K38)="","",INDEX('Prospect Tracker'!$W$5:$W$554,$K38)))</f>
        <v/>
      </c>
      <c r="B38" s="11" t="str">
        <f aca="false">IF($K38="","",IF(INDEX('Prospect Tracker'!$A$5:$A$554,$K38)="","",INDEX('Prospect Tracker'!$A$5:$A$554,$K38)))</f>
        <v/>
      </c>
      <c r="C38" s="11" t="str">
        <f aca="false">IF($K38="","",IF(INDEX('Prospect Tracker'!$B$5:$B$554,$K38)="","",INDEX('Prospect Tracker'!$B$5:$B$554,$K38)))</f>
        <v/>
      </c>
      <c r="D38" s="11" t="str">
        <f aca="false">IF($K38="","",IF(INDEX('Prospect Tracker'!$M$5:$M$554,$K38)="","",INDEX('Prospect Tracker'!$M$5:$M$554,$K38)))</f>
        <v/>
      </c>
      <c r="E38" s="11" t="str">
        <f aca="false">IF($K38="","",IF(INDEX('Prospect Tracker'!$R$5:$R$554,$K38)="","",INDEX('Prospect Tracker'!$R$5:$R$554,$K38)))</f>
        <v/>
      </c>
      <c r="F38" s="11" t="str">
        <f aca="false">IF($K38="","",IF(INDEX('Prospect Tracker'!$J$5:$J$554,$K38)="","",INDEX('Prospect Tracker'!$J$5:$J$554,$K38)))</f>
        <v/>
      </c>
      <c r="G38" s="11" t="str">
        <f aca="false">IF($K38="","",IF(INDEX('Prospect Tracker'!$H$5:$H$554,$K38)="","",INDEX('Prospect Tracker'!$H$5:$H$554,$K38)))</f>
        <v/>
      </c>
      <c r="H38" s="12" t="str">
        <f aca="false">IF($K38="","",IF(INDEX('Prospect Tracker'!$K$5:$K$554,$K38)="","",INDEX('Prospect Tracker'!$K$5:$K$554,$K38)))</f>
        <v/>
      </c>
      <c r="I38" s="11" t="str">
        <f aca="false">IF($K38="","",IF(INDEX('Prospect Tracker'!$T$5:$T$554,$K38)="","",INDEX('Prospect Tracker'!$T$5:$T$554,$K38)))</f>
        <v/>
      </c>
      <c r="J38" s="11" t="str">
        <f aca="false">IF($K38="","",IF(INDEX('Prospect Tracker'!$L$5:$L$554,$K38)="","",INDEX('Prospect Tracker'!$L$5:$L$554,$K38)))</f>
        <v/>
      </c>
      <c r="K38" s="1" t="n">
        <f aca="false">IFERROR(MATCH(SMALL('Prospect Tracker'!$X$5:$X$554,ROW()-4),'Prospect Tracker'!$X$5:$X$554,0),"")</f>
        <v>34</v>
      </c>
    </row>
    <row r="39" customFormat="false" ht="15" hidden="false" customHeight="true" outlineLevel="0" collapsed="false">
      <c r="A39" s="6" t="str">
        <f aca="false">IF($K39="","",IF(INDEX('Prospect Tracker'!$W$5:$W$554,$K39)="","",INDEX('Prospect Tracker'!$W$5:$W$554,$K39)))</f>
        <v/>
      </c>
      <c r="B39" s="6" t="str">
        <f aca="false">IF($K39="","",IF(INDEX('Prospect Tracker'!$A$5:$A$554,$K39)="","",INDEX('Prospect Tracker'!$A$5:$A$554,$K39)))</f>
        <v/>
      </c>
      <c r="C39" s="6" t="str">
        <f aca="false">IF($K39="","",IF(INDEX('Prospect Tracker'!$B$5:$B$554,$K39)="","",INDEX('Prospect Tracker'!$B$5:$B$554,$K39)))</f>
        <v/>
      </c>
      <c r="D39" s="6" t="str">
        <f aca="false">IF($K39="","",IF(INDEX('Prospect Tracker'!$M$5:$M$554,$K39)="","",INDEX('Prospect Tracker'!$M$5:$M$554,$K39)))</f>
        <v/>
      </c>
      <c r="E39" s="6" t="str">
        <f aca="false">IF($K39="","",IF(INDEX('Prospect Tracker'!$R$5:$R$554,$K39)="","",INDEX('Prospect Tracker'!$R$5:$R$554,$K39)))</f>
        <v/>
      </c>
      <c r="F39" s="6" t="str">
        <f aca="false">IF($K39="","",IF(INDEX('Prospect Tracker'!$J$5:$J$554,$K39)="","",INDEX('Prospect Tracker'!$J$5:$J$554,$K39)))</f>
        <v/>
      </c>
      <c r="G39" s="6" t="str">
        <f aca="false">IF($K39="","",IF(INDEX('Prospect Tracker'!$H$5:$H$554,$K39)="","",INDEX('Prospect Tracker'!$H$5:$H$554,$K39)))</f>
        <v/>
      </c>
      <c r="H39" s="7" t="str">
        <f aca="false">IF($K39="","",IF(INDEX('Prospect Tracker'!$K$5:$K$554,$K39)="","",INDEX('Prospect Tracker'!$K$5:$K$554,$K39)))</f>
        <v/>
      </c>
      <c r="I39" s="6" t="str">
        <f aca="false">IF($K39="","",IF(INDEX('Prospect Tracker'!$T$5:$T$554,$K39)="","",INDEX('Prospect Tracker'!$T$5:$T$554,$K39)))</f>
        <v/>
      </c>
      <c r="J39" s="6" t="str">
        <f aca="false">IF($K39="","",IF(INDEX('Prospect Tracker'!$L$5:$L$554,$K39)="","",INDEX('Prospect Tracker'!$L$5:$L$554,$K39)))</f>
        <v/>
      </c>
      <c r="K39" s="1" t="n">
        <f aca="false">IFERROR(MATCH(SMALL('Prospect Tracker'!$X$5:$X$554,ROW()-4),'Prospect Tracker'!$X$5:$X$554,0),"")</f>
        <v>35</v>
      </c>
    </row>
    <row r="40" customFormat="false" ht="15" hidden="false" customHeight="true" outlineLevel="0" collapsed="false">
      <c r="A40" s="11" t="str">
        <f aca="false">IF($K40="","",IF(INDEX('Prospect Tracker'!$W$5:$W$554,$K40)="","",INDEX('Prospect Tracker'!$W$5:$W$554,$K40)))</f>
        <v/>
      </c>
      <c r="B40" s="11" t="str">
        <f aca="false">IF($K40="","",IF(INDEX('Prospect Tracker'!$A$5:$A$554,$K40)="","",INDEX('Prospect Tracker'!$A$5:$A$554,$K40)))</f>
        <v/>
      </c>
      <c r="C40" s="11" t="str">
        <f aca="false">IF($K40="","",IF(INDEX('Prospect Tracker'!$B$5:$B$554,$K40)="","",INDEX('Prospect Tracker'!$B$5:$B$554,$K40)))</f>
        <v/>
      </c>
      <c r="D40" s="11" t="str">
        <f aca="false">IF($K40="","",IF(INDEX('Prospect Tracker'!$M$5:$M$554,$K40)="","",INDEX('Prospect Tracker'!$M$5:$M$554,$K40)))</f>
        <v/>
      </c>
      <c r="E40" s="11" t="str">
        <f aca="false">IF($K40="","",IF(INDEX('Prospect Tracker'!$R$5:$R$554,$K40)="","",INDEX('Prospect Tracker'!$R$5:$R$554,$K40)))</f>
        <v/>
      </c>
      <c r="F40" s="11" t="str">
        <f aca="false">IF($K40="","",IF(INDEX('Prospect Tracker'!$J$5:$J$554,$K40)="","",INDEX('Prospect Tracker'!$J$5:$J$554,$K40)))</f>
        <v/>
      </c>
      <c r="G40" s="11" t="str">
        <f aca="false">IF($K40="","",IF(INDEX('Prospect Tracker'!$H$5:$H$554,$K40)="","",INDEX('Prospect Tracker'!$H$5:$H$554,$K40)))</f>
        <v/>
      </c>
      <c r="H40" s="12" t="str">
        <f aca="false">IF($K40="","",IF(INDEX('Prospect Tracker'!$K$5:$K$554,$K40)="","",INDEX('Prospect Tracker'!$K$5:$K$554,$K40)))</f>
        <v/>
      </c>
      <c r="I40" s="11" t="str">
        <f aca="false">IF($K40="","",IF(INDEX('Prospect Tracker'!$T$5:$T$554,$K40)="","",INDEX('Prospect Tracker'!$T$5:$T$554,$K40)))</f>
        <v/>
      </c>
      <c r="J40" s="11" t="str">
        <f aca="false">IF($K40="","",IF(INDEX('Prospect Tracker'!$L$5:$L$554,$K40)="","",INDEX('Prospect Tracker'!$L$5:$L$554,$K40)))</f>
        <v/>
      </c>
      <c r="K40" s="1" t="n">
        <f aca="false">IFERROR(MATCH(SMALL('Prospect Tracker'!$X$5:$X$554,ROW()-4),'Prospect Tracker'!$X$5:$X$554,0),"")</f>
        <v>36</v>
      </c>
    </row>
    <row r="41" customFormat="false" ht="15" hidden="false" customHeight="true" outlineLevel="0" collapsed="false">
      <c r="A41" s="6" t="str">
        <f aca="false">IF($K41="","",IF(INDEX('Prospect Tracker'!$W$5:$W$554,$K41)="","",INDEX('Prospect Tracker'!$W$5:$W$554,$K41)))</f>
        <v/>
      </c>
      <c r="B41" s="6" t="str">
        <f aca="false">IF($K41="","",IF(INDEX('Prospect Tracker'!$A$5:$A$554,$K41)="","",INDEX('Prospect Tracker'!$A$5:$A$554,$K41)))</f>
        <v/>
      </c>
      <c r="C41" s="6" t="str">
        <f aca="false">IF($K41="","",IF(INDEX('Prospect Tracker'!$B$5:$B$554,$K41)="","",INDEX('Prospect Tracker'!$B$5:$B$554,$K41)))</f>
        <v/>
      </c>
      <c r="D41" s="6" t="str">
        <f aca="false">IF($K41="","",IF(INDEX('Prospect Tracker'!$M$5:$M$554,$K41)="","",INDEX('Prospect Tracker'!$M$5:$M$554,$K41)))</f>
        <v/>
      </c>
      <c r="E41" s="6" t="str">
        <f aca="false">IF($K41="","",IF(INDEX('Prospect Tracker'!$R$5:$R$554,$K41)="","",INDEX('Prospect Tracker'!$R$5:$R$554,$K41)))</f>
        <v/>
      </c>
      <c r="F41" s="6" t="str">
        <f aca="false">IF($K41="","",IF(INDEX('Prospect Tracker'!$J$5:$J$554,$K41)="","",INDEX('Prospect Tracker'!$J$5:$J$554,$K41)))</f>
        <v/>
      </c>
      <c r="G41" s="6" t="str">
        <f aca="false">IF($K41="","",IF(INDEX('Prospect Tracker'!$H$5:$H$554,$K41)="","",INDEX('Prospect Tracker'!$H$5:$H$554,$K41)))</f>
        <v/>
      </c>
      <c r="H41" s="7" t="str">
        <f aca="false">IF($K41="","",IF(INDEX('Prospect Tracker'!$K$5:$K$554,$K41)="","",INDEX('Prospect Tracker'!$K$5:$K$554,$K41)))</f>
        <v/>
      </c>
      <c r="I41" s="6" t="str">
        <f aca="false">IF($K41="","",IF(INDEX('Prospect Tracker'!$T$5:$T$554,$K41)="","",INDEX('Prospect Tracker'!$T$5:$T$554,$K41)))</f>
        <v/>
      </c>
      <c r="J41" s="6" t="str">
        <f aca="false">IF($K41="","",IF(INDEX('Prospect Tracker'!$L$5:$L$554,$K41)="","",INDEX('Prospect Tracker'!$L$5:$L$554,$K41)))</f>
        <v/>
      </c>
      <c r="K41" s="1" t="n">
        <f aca="false">IFERROR(MATCH(SMALL('Prospect Tracker'!$X$5:$X$554,ROW()-4),'Prospect Tracker'!$X$5:$X$554,0),"")</f>
        <v>37</v>
      </c>
    </row>
    <row r="42" customFormat="false" ht="15" hidden="false" customHeight="true" outlineLevel="0" collapsed="false">
      <c r="A42" s="11" t="str">
        <f aca="false">IF($K42="","",IF(INDEX('Prospect Tracker'!$W$5:$W$554,$K42)="","",INDEX('Prospect Tracker'!$W$5:$W$554,$K42)))</f>
        <v/>
      </c>
      <c r="B42" s="11" t="str">
        <f aca="false">IF($K42="","",IF(INDEX('Prospect Tracker'!$A$5:$A$554,$K42)="","",INDEX('Prospect Tracker'!$A$5:$A$554,$K42)))</f>
        <v/>
      </c>
      <c r="C42" s="11" t="str">
        <f aca="false">IF($K42="","",IF(INDEX('Prospect Tracker'!$B$5:$B$554,$K42)="","",INDEX('Prospect Tracker'!$B$5:$B$554,$K42)))</f>
        <v/>
      </c>
      <c r="D42" s="11" t="str">
        <f aca="false">IF($K42="","",IF(INDEX('Prospect Tracker'!$M$5:$M$554,$K42)="","",INDEX('Prospect Tracker'!$M$5:$M$554,$K42)))</f>
        <v/>
      </c>
      <c r="E42" s="11" t="str">
        <f aca="false">IF($K42="","",IF(INDEX('Prospect Tracker'!$R$5:$R$554,$K42)="","",INDEX('Prospect Tracker'!$R$5:$R$554,$K42)))</f>
        <v/>
      </c>
      <c r="F42" s="11" t="str">
        <f aca="false">IF($K42="","",IF(INDEX('Prospect Tracker'!$J$5:$J$554,$K42)="","",INDEX('Prospect Tracker'!$J$5:$J$554,$K42)))</f>
        <v/>
      </c>
      <c r="G42" s="11" t="str">
        <f aca="false">IF($K42="","",IF(INDEX('Prospect Tracker'!$H$5:$H$554,$K42)="","",INDEX('Prospect Tracker'!$H$5:$H$554,$K42)))</f>
        <v/>
      </c>
      <c r="H42" s="12" t="str">
        <f aca="false">IF($K42="","",IF(INDEX('Prospect Tracker'!$K$5:$K$554,$K42)="","",INDEX('Prospect Tracker'!$K$5:$K$554,$K42)))</f>
        <v/>
      </c>
      <c r="I42" s="11" t="str">
        <f aca="false">IF($K42="","",IF(INDEX('Prospect Tracker'!$T$5:$T$554,$K42)="","",INDEX('Prospect Tracker'!$T$5:$T$554,$K42)))</f>
        <v/>
      </c>
      <c r="J42" s="11" t="str">
        <f aca="false">IF($K42="","",IF(INDEX('Prospect Tracker'!$L$5:$L$554,$K42)="","",INDEX('Prospect Tracker'!$L$5:$L$554,$K42)))</f>
        <v/>
      </c>
      <c r="K42" s="1" t="n">
        <f aca="false">IFERROR(MATCH(SMALL('Prospect Tracker'!$X$5:$X$554,ROW()-4),'Prospect Tracker'!$X$5:$X$554,0),"")</f>
        <v>38</v>
      </c>
    </row>
    <row r="43" customFormat="false" ht="15" hidden="false" customHeight="true" outlineLevel="0" collapsed="false">
      <c r="A43" s="6" t="str">
        <f aca="false">IF($K43="","",IF(INDEX('Prospect Tracker'!$W$5:$W$554,$K43)="","",INDEX('Prospect Tracker'!$W$5:$W$554,$K43)))</f>
        <v/>
      </c>
      <c r="B43" s="6" t="str">
        <f aca="false">IF($K43="","",IF(INDEX('Prospect Tracker'!$A$5:$A$554,$K43)="","",INDEX('Prospect Tracker'!$A$5:$A$554,$K43)))</f>
        <v/>
      </c>
      <c r="C43" s="6" t="str">
        <f aca="false">IF($K43="","",IF(INDEX('Prospect Tracker'!$B$5:$B$554,$K43)="","",INDEX('Prospect Tracker'!$B$5:$B$554,$K43)))</f>
        <v/>
      </c>
      <c r="D43" s="6" t="str">
        <f aca="false">IF($K43="","",IF(INDEX('Prospect Tracker'!$M$5:$M$554,$K43)="","",INDEX('Prospect Tracker'!$M$5:$M$554,$K43)))</f>
        <v/>
      </c>
      <c r="E43" s="6" t="str">
        <f aca="false">IF($K43="","",IF(INDEX('Prospect Tracker'!$R$5:$R$554,$K43)="","",INDEX('Prospect Tracker'!$R$5:$R$554,$K43)))</f>
        <v/>
      </c>
      <c r="F43" s="6" t="str">
        <f aca="false">IF($K43="","",IF(INDEX('Prospect Tracker'!$J$5:$J$554,$K43)="","",INDEX('Prospect Tracker'!$J$5:$J$554,$K43)))</f>
        <v/>
      </c>
      <c r="G43" s="6" t="str">
        <f aca="false">IF($K43="","",IF(INDEX('Prospect Tracker'!$H$5:$H$554,$K43)="","",INDEX('Prospect Tracker'!$H$5:$H$554,$K43)))</f>
        <v/>
      </c>
      <c r="H43" s="7" t="str">
        <f aca="false">IF($K43="","",IF(INDEX('Prospect Tracker'!$K$5:$K$554,$K43)="","",INDEX('Prospect Tracker'!$K$5:$K$554,$K43)))</f>
        <v/>
      </c>
      <c r="I43" s="6" t="str">
        <f aca="false">IF($K43="","",IF(INDEX('Prospect Tracker'!$T$5:$T$554,$K43)="","",INDEX('Prospect Tracker'!$T$5:$T$554,$K43)))</f>
        <v/>
      </c>
      <c r="J43" s="6" t="str">
        <f aca="false">IF($K43="","",IF(INDEX('Prospect Tracker'!$L$5:$L$554,$K43)="","",INDEX('Prospect Tracker'!$L$5:$L$554,$K43)))</f>
        <v/>
      </c>
      <c r="K43" s="1" t="n">
        <f aca="false">IFERROR(MATCH(SMALL('Prospect Tracker'!$X$5:$X$554,ROW()-4),'Prospect Tracker'!$X$5:$X$554,0),"")</f>
        <v>39</v>
      </c>
    </row>
    <row r="44" customFormat="false" ht="15" hidden="false" customHeight="true" outlineLevel="0" collapsed="false">
      <c r="A44" s="11" t="str">
        <f aca="false">IF($K44="","",IF(INDEX('Prospect Tracker'!$W$5:$W$554,$K44)="","",INDEX('Prospect Tracker'!$W$5:$W$554,$K44)))</f>
        <v/>
      </c>
      <c r="B44" s="11" t="str">
        <f aca="false">IF($K44="","",IF(INDEX('Prospect Tracker'!$A$5:$A$554,$K44)="","",INDEX('Prospect Tracker'!$A$5:$A$554,$K44)))</f>
        <v/>
      </c>
      <c r="C44" s="11" t="str">
        <f aca="false">IF($K44="","",IF(INDEX('Prospect Tracker'!$B$5:$B$554,$K44)="","",INDEX('Prospect Tracker'!$B$5:$B$554,$K44)))</f>
        <v/>
      </c>
      <c r="D44" s="11" t="str">
        <f aca="false">IF($K44="","",IF(INDEX('Prospect Tracker'!$M$5:$M$554,$K44)="","",INDEX('Prospect Tracker'!$M$5:$M$554,$K44)))</f>
        <v/>
      </c>
      <c r="E44" s="11" t="str">
        <f aca="false">IF($K44="","",IF(INDEX('Prospect Tracker'!$R$5:$R$554,$K44)="","",INDEX('Prospect Tracker'!$R$5:$R$554,$K44)))</f>
        <v/>
      </c>
      <c r="F44" s="11" t="str">
        <f aca="false">IF($K44="","",IF(INDEX('Prospect Tracker'!$J$5:$J$554,$K44)="","",INDEX('Prospect Tracker'!$J$5:$J$554,$K44)))</f>
        <v/>
      </c>
      <c r="G44" s="11" t="str">
        <f aca="false">IF($K44="","",IF(INDEX('Prospect Tracker'!$H$5:$H$554,$K44)="","",INDEX('Prospect Tracker'!$H$5:$H$554,$K44)))</f>
        <v/>
      </c>
      <c r="H44" s="12" t="str">
        <f aca="false">IF($K44="","",IF(INDEX('Prospect Tracker'!$K$5:$K$554,$K44)="","",INDEX('Prospect Tracker'!$K$5:$K$554,$K44)))</f>
        <v/>
      </c>
      <c r="I44" s="11" t="str">
        <f aca="false">IF($K44="","",IF(INDEX('Prospect Tracker'!$T$5:$T$554,$K44)="","",INDEX('Prospect Tracker'!$T$5:$T$554,$K44)))</f>
        <v/>
      </c>
      <c r="J44" s="11" t="str">
        <f aca="false">IF($K44="","",IF(INDEX('Prospect Tracker'!$L$5:$L$554,$K44)="","",INDEX('Prospect Tracker'!$L$5:$L$554,$K44)))</f>
        <v/>
      </c>
      <c r="K44" s="1" t="n">
        <f aca="false">IFERROR(MATCH(SMALL('Prospect Tracker'!$X$5:$X$554,ROW()-4),'Prospect Tracker'!$X$5:$X$554,0),"")</f>
        <v>40</v>
      </c>
    </row>
    <row r="45" customFormat="false" ht="15" hidden="false" customHeight="true" outlineLevel="0" collapsed="false">
      <c r="A45" s="6" t="str">
        <f aca="false">IF($K45="","",IF(INDEX('Prospect Tracker'!$W$5:$W$554,$K45)="","",INDEX('Prospect Tracker'!$W$5:$W$554,$K45)))</f>
        <v/>
      </c>
      <c r="B45" s="6" t="str">
        <f aca="false">IF($K45="","",IF(INDEX('Prospect Tracker'!$A$5:$A$554,$K45)="","",INDEX('Prospect Tracker'!$A$5:$A$554,$K45)))</f>
        <v/>
      </c>
      <c r="C45" s="6" t="str">
        <f aca="false">IF($K45="","",IF(INDEX('Prospect Tracker'!$B$5:$B$554,$K45)="","",INDEX('Prospect Tracker'!$B$5:$B$554,$K45)))</f>
        <v/>
      </c>
      <c r="D45" s="6" t="str">
        <f aca="false">IF($K45="","",IF(INDEX('Prospect Tracker'!$M$5:$M$554,$K45)="","",INDEX('Prospect Tracker'!$M$5:$M$554,$K45)))</f>
        <v/>
      </c>
      <c r="E45" s="6" t="str">
        <f aca="false">IF($K45="","",IF(INDEX('Prospect Tracker'!$R$5:$R$554,$K45)="","",INDEX('Prospect Tracker'!$R$5:$R$554,$K45)))</f>
        <v/>
      </c>
      <c r="F45" s="6" t="str">
        <f aca="false">IF($K45="","",IF(INDEX('Prospect Tracker'!$J$5:$J$554,$K45)="","",INDEX('Prospect Tracker'!$J$5:$J$554,$K45)))</f>
        <v/>
      </c>
      <c r="G45" s="6" t="str">
        <f aca="false">IF($K45="","",IF(INDEX('Prospect Tracker'!$H$5:$H$554,$K45)="","",INDEX('Prospect Tracker'!$H$5:$H$554,$K45)))</f>
        <v/>
      </c>
      <c r="H45" s="7" t="str">
        <f aca="false">IF($K45="","",IF(INDEX('Prospect Tracker'!$K$5:$K$554,$K45)="","",INDEX('Prospect Tracker'!$K$5:$K$554,$K45)))</f>
        <v/>
      </c>
      <c r="I45" s="6" t="str">
        <f aca="false">IF($K45="","",IF(INDEX('Prospect Tracker'!$T$5:$T$554,$K45)="","",INDEX('Prospect Tracker'!$T$5:$T$554,$K45)))</f>
        <v/>
      </c>
      <c r="J45" s="6" t="str">
        <f aca="false">IF($K45="","",IF(INDEX('Prospect Tracker'!$L$5:$L$554,$K45)="","",INDEX('Prospect Tracker'!$L$5:$L$554,$K45)))</f>
        <v/>
      </c>
      <c r="K45" s="1" t="n">
        <f aca="false">IFERROR(MATCH(SMALL('Prospect Tracker'!$X$5:$X$554,ROW()-4),'Prospect Tracker'!$X$5:$X$554,0),"")</f>
        <v>41</v>
      </c>
    </row>
    <row r="46" customFormat="false" ht="15" hidden="false" customHeight="true" outlineLevel="0" collapsed="false">
      <c r="A46" s="11" t="str">
        <f aca="false">IF($K46="","",IF(INDEX('Prospect Tracker'!$W$5:$W$554,$K46)="","",INDEX('Prospect Tracker'!$W$5:$W$554,$K46)))</f>
        <v/>
      </c>
      <c r="B46" s="11" t="str">
        <f aca="false">IF($K46="","",IF(INDEX('Prospect Tracker'!$A$5:$A$554,$K46)="","",INDEX('Prospect Tracker'!$A$5:$A$554,$K46)))</f>
        <v/>
      </c>
      <c r="C46" s="11" t="str">
        <f aca="false">IF($K46="","",IF(INDEX('Prospect Tracker'!$B$5:$B$554,$K46)="","",INDEX('Prospect Tracker'!$B$5:$B$554,$K46)))</f>
        <v/>
      </c>
      <c r="D46" s="11" t="str">
        <f aca="false">IF($K46="","",IF(INDEX('Prospect Tracker'!$M$5:$M$554,$K46)="","",INDEX('Prospect Tracker'!$M$5:$M$554,$K46)))</f>
        <v/>
      </c>
      <c r="E46" s="11" t="str">
        <f aca="false">IF($K46="","",IF(INDEX('Prospect Tracker'!$R$5:$R$554,$K46)="","",INDEX('Prospect Tracker'!$R$5:$R$554,$K46)))</f>
        <v/>
      </c>
      <c r="F46" s="11" t="str">
        <f aca="false">IF($K46="","",IF(INDEX('Prospect Tracker'!$J$5:$J$554,$K46)="","",INDEX('Prospect Tracker'!$J$5:$J$554,$K46)))</f>
        <v/>
      </c>
      <c r="G46" s="11" t="str">
        <f aca="false">IF($K46="","",IF(INDEX('Prospect Tracker'!$H$5:$H$554,$K46)="","",INDEX('Prospect Tracker'!$H$5:$H$554,$K46)))</f>
        <v/>
      </c>
      <c r="H46" s="12" t="str">
        <f aca="false">IF($K46="","",IF(INDEX('Prospect Tracker'!$K$5:$K$554,$K46)="","",INDEX('Prospect Tracker'!$K$5:$K$554,$K46)))</f>
        <v/>
      </c>
      <c r="I46" s="11" t="str">
        <f aca="false">IF($K46="","",IF(INDEX('Prospect Tracker'!$T$5:$T$554,$K46)="","",INDEX('Prospect Tracker'!$T$5:$T$554,$K46)))</f>
        <v/>
      </c>
      <c r="J46" s="11" t="str">
        <f aca="false">IF($K46="","",IF(INDEX('Prospect Tracker'!$L$5:$L$554,$K46)="","",INDEX('Prospect Tracker'!$L$5:$L$554,$K46)))</f>
        <v/>
      </c>
      <c r="K46" s="1" t="n">
        <f aca="false">IFERROR(MATCH(SMALL('Prospect Tracker'!$X$5:$X$554,ROW()-4),'Prospect Tracker'!$X$5:$X$554,0),"")</f>
        <v>42</v>
      </c>
    </row>
    <row r="47" customFormat="false" ht="15" hidden="false" customHeight="true" outlineLevel="0" collapsed="false">
      <c r="A47" s="6" t="str">
        <f aca="false">IF($K47="","",IF(INDEX('Prospect Tracker'!$W$5:$W$554,$K47)="","",INDEX('Prospect Tracker'!$W$5:$W$554,$K47)))</f>
        <v/>
      </c>
      <c r="B47" s="6" t="str">
        <f aca="false">IF($K47="","",IF(INDEX('Prospect Tracker'!$A$5:$A$554,$K47)="","",INDEX('Prospect Tracker'!$A$5:$A$554,$K47)))</f>
        <v/>
      </c>
      <c r="C47" s="6" t="str">
        <f aca="false">IF($K47="","",IF(INDEX('Prospect Tracker'!$B$5:$B$554,$K47)="","",INDEX('Prospect Tracker'!$B$5:$B$554,$K47)))</f>
        <v/>
      </c>
      <c r="D47" s="6" t="str">
        <f aca="false">IF($K47="","",IF(INDEX('Prospect Tracker'!$M$5:$M$554,$K47)="","",INDEX('Prospect Tracker'!$M$5:$M$554,$K47)))</f>
        <v/>
      </c>
      <c r="E47" s="6" t="str">
        <f aca="false">IF($K47="","",IF(INDEX('Prospect Tracker'!$R$5:$R$554,$K47)="","",INDEX('Prospect Tracker'!$R$5:$R$554,$K47)))</f>
        <v/>
      </c>
      <c r="F47" s="6" t="str">
        <f aca="false">IF($K47="","",IF(INDEX('Prospect Tracker'!$J$5:$J$554,$K47)="","",INDEX('Prospect Tracker'!$J$5:$J$554,$K47)))</f>
        <v/>
      </c>
      <c r="G47" s="6" t="str">
        <f aca="false">IF($K47="","",IF(INDEX('Prospect Tracker'!$H$5:$H$554,$K47)="","",INDEX('Prospect Tracker'!$H$5:$H$554,$K47)))</f>
        <v/>
      </c>
      <c r="H47" s="7" t="str">
        <f aca="false">IF($K47="","",IF(INDEX('Prospect Tracker'!$K$5:$K$554,$K47)="","",INDEX('Prospect Tracker'!$K$5:$K$554,$K47)))</f>
        <v/>
      </c>
      <c r="I47" s="6" t="str">
        <f aca="false">IF($K47="","",IF(INDEX('Prospect Tracker'!$T$5:$T$554,$K47)="","",INDEX('Prospect Tracker'!$T$5:$T$554,$K47)))</f>
        <v/>
      </c>
      <c r="J47" s="6" t="str">
        <f aca="false">IF($K47="","",IF(INDEX('Prospect Tracker'!$L$5:$L$554,$K47)="","",INDEX('Prospect Tracker'!$L$5:$L$554,$K47)))</f>
        <v/>
      </c>
      <c r="K47" s="1" t="n">
        <f aca="false">IFERROR(MATCH(SMALL('Prospect Tracker'!$X$5:$X$554,ROW()-4),'Prospect Tracker'!$X$5:$X$554,0),"")</f>
        <v>43</v>
      </c>
    </row>
    <row r="48" customFormat="false" ht="15" hidden="false" customHeight="true" outlineLevel="0" collapsed="false">
      <c r="A48" s="11" t="str">
        <f aca="false">IF($K48="","",IF(INDEX('Prospect Tracker'!$W$5:$W$554,$K48)="","",INDEX('Prospect Tracker'!$W$5:$W$554,$K48)))</f>
        <v/>
      </c>
      <c r="B48" s="11" t="str">
        <f aca="false">IF($K48="","",IF(INDEX('Prospect Tracker'!$A$5:$A$554,$K48)="","",INDEX('Prospect Tracker'!$A$5:$A$554,$K48)))</f>
        <v/>
      </c>
      <c r="C48" s="11" t="str">
        <f aca="false">IF($K48="","",IF(INDEX('Prospect Tracker'!$B$5:$B$554,$K48)="","",INDEX('Prospect Tracker'!$B$5:$B$554,$K48)))</f>
        <v/>
      </c>
      <c r="D48" s="11" t="str">
        <f aca="false">IF($K48="","",IF(INDEX('Prospect Tracker'!$M$5:$M$554,$K48)="","",INDEX('Prospect Tracker'!$M$5:$M$554,$K48)))</f>
        <v/>
      </c>
      <c r="E48" s="11" t="str">
        <f aca="false">IF($K48="","",IF(INDEX('Prospect Tracker'!$R$5:$R$554,$K48)="","",INDEX('Prospect Tracker'!$R$5:$R$554,$K48)))</f>
        <v/>
      </c>
      <c r="F48" s="11" t="str">
        <f aca="false">IF($K48="","",IF(INDEX('Prospect Tracker'!$J$5:$J$554,$K48)="","",INDEX('Prospect Tracker'!$J$5:$J$554,$K48)))</f>
        <v/>
      </c>
      <c r="G48" s="11" t="str">
        <f aca="false">IF($K48="","",IF(INDEX('Prospect Tracker'!$H$5:$H$554,$K48)="","",INDEX('Prospect Tracker'!$H$5:$H$554,$K48)))</f>
        <v/>
      </c>
      <c r="H48" s="12" t="str">
        <f aca="false">IF($K48="","",IF(INDEX('Prospect Tracker'!$K$5:$K$554,$K48)="","",INDEX('Prospect Tracker'!$K$5:$K$554,$K48)))</f>
        <v/>
      </c>
      <c r="I48" s="11" t="str">
        <f aca="false">IF($K48="","",IF(INDEX('Prospect Tracker'!$T$5:$T$554,$K48)="","",INDEX('Prospect Tracker'!$T$5:$T$554,$K48)))</f>
        <v/>
      </c>
      <c r="J48" s="11" t="str">
        <f aca="false">IF($K48="","",IF(INDEX('Prospect Tracker'!$L$5:$L$554,$K48)="","",INDEX('Prospect Tracker'!$L$5:$L$554,$K48)))</f>
        <v/>
      </c>
      <c r="K48" s="1" t="n">
        <f aca="false">IFERROR(MATCH(SMALL('Prospect Tracker'!$X$5:$X$554,ROW()-4),'Prospect Tracker'!$X$5:$X$554,0),"")</f>
        <v>44</v>
      </c>
    </row>
    <row r="49" customFormat="false" ht="15" hidden="false" customHeight="true" outlineLevel="0" collapsed="false">
      <c r="A49" s="6" t="str">
        <f aca="false">IF($K49="","",IF(INDEX('Prospect Tracker'!$W$5:$W$554,$K49)="","",INDEX('Prospect Tracker'!$W$5:$W$554,$K49)))</f>
        <v/>
      </c>
      <c r="B49" s="6" t="str">
        <f aca="false">IF($K49="","",IF(INDEX('Prospect Tracker'!$A$5:$A$554,$K49)="","",INDEX('Prospect Tracker'!$A$5:$A$554,$K49)))</f>
        <v/>
      </c>
      <c r="C49" s="6" t="str">
        <f aca="false">IF($K49="","",IF(INDEX('Prospect Tracker'!$B$5:$B$554,$K49)="","",INDEX('Prospect Tracker'!$B$5:$B$554,$K49)))</f>
        <v/>
      </c>
      <c r="D49" s="6" t="str">
        <f aca="false">IF($K49="","",IF(INDEX('Prospect Tracker'!$M$5:$M$554,$K49)="","",INDEX('Prospect Tracker'!$M$5:$M$554,$K49)))</f>
        <v/>
      </c>
      <c r="E49" s="6" t="str">
        <f aca="false">IF($K49="","",IF(INDEX('Prospect Tracker'!$R$5:$R$554,$K49)="","",INDEX('Prospect Tracker'!$R$5:$R$554,$K49)))</f>
        <v/>
      </c>
      <c r="F49" s="6" t="str">
        <f aca="false">IF($K49="","",IF(INDEX('Prospect Tracker'!$J$5:$J$554,$K49)="","",INDEX('Prospect Tracker'!$J$5:$J$554,$K49)))</f>
        <v/>
      </c>
      <c r="G49" s="6" t="str">
        <f aca="false">IF($K49="","",IF(INDEX('Prospect Tracker'!$H$5:$H$554,$K49)="","",INDEX('Prospect Tracker'!$H$5:$H$554,$K49)))</f>
        <v/>
      </c>
      <c r="H49" s="7" t="str">
        <f aca="false">IF($K49="","",IF(INDEX('Prospect Tracker'!$K$5:$K$554,$K49)="","",INDEX('Prospect Tracker'!$K$5:$K$554,$K49)))</f>
        <v/>
      </c>
      <c r="I49" s="6" t="str">
        <f aca="false">IF($K49="","",IF(INDEX('Prospect Tracker'!$T$5:$T$554,$K49)="","",INDEX('Prospect Tracker'!$T$5:$T$554,$K49)))</f>
        <v/>
      </c>
      <c r="J49" s="6" t="str">
        <f aca="false">IF($K49="","",IF(INDEX('Prospect Tracker'!$L$5:$L$554,$K49)="","",INDEX('Prospect Tracker'!$L$5:$L$554,$K49)))</f>
        <v/>
      </c>
      <c r="K49" s="1" t="n">
        <f aca="false">IFERROR(MATCH(SMALL('Prospect Tracker'!$X$5:$X$554,ROW()-4),'Prospect Tracker'!$X$5:$X$554,0),"")</f>
        <v>45</v>
      </c>
    </row>
    <row r="50" customFormat="false" ht="15" hidden="false" customHeight="true" outlineLevel="0" collapsed="false">
      <c r="A50" s="11" t="str">
        <f aca="false">IF($K50="","",IF(INDEX('Prospect Tracker'!$W$5:$W$554,$K50)="","",INDEX('Prospect Tracker'!$W$5:$W$554,$K50)))</f>
        <v/>
      </c>
      <c r="B50" s="11" t="str">
        <f aca="false">IF($K50="","",IF(INDEX('Prospect Tracker'!$A$5:$A$554,$K50)="","",INDEX('Prospect Tracker'!$A$5:$A$554,$K50)))</f>
        <v/>
      </c>
      <c r="C50" s="11" t="str">
        <f aca="false">IF($K50="","",IF(INDEX('Prospect Tracker'!$B$5:$B$554,$K50)="","",INDEX('Prospect Tracker'!$B$5:$B$554,$K50)))</f>
        <v/>
      </c>
      <c r="D50" s="11" t="str">
        <f aca="false">IF($K50="","",IF(INDEX('Prospect Tracker'!$M$5:$M$554,$K50)="","",INDEX('Prospect Tracker'!$M$5:$M$554,$K50)))</f>
        <v/>
      </c>
      <c r="E50" s="11" t="str">
        <f aca="false">IF($K50="","",IF(INDEX('Prospect Tracker'!$R$5:$R$554,$K50)="","",INDEX('Prospect Tracker'!$R$5:$R$554,$K50)))</f>
        <v/>
      </c>
      <c r="F50" s="11" t="str">
        <f aca="false">IF($K50="","",IF(INDEX('Prospect Tracker'!$J$5:$J$554,$K50)="","",INDEX('Prospect Tracker'!$J$5:$J$554,$K50)))</f>
        <v/>
      </c>
      <c r="G50" s="11" t="str">
        <f aca="false">IF($K50="","",IF(INDEX('Prospect Tracker'!$H$5:$H$554,$K50)="","",INDEX('Prospect Tracker'!$H$5:$H$554,$K50)))</f>
        <v/>
      </c>
      <c r="H50" s="12" t="str">
        <f aca="false">IF($K50="","",IF(INDEX('Prospect Tracker'!$K$5:$K$554,$K50)="","",INDEX('Prospect Tracker'!$K$5:$K$554,$K50)))</f>
        <v/>
      </c>
      <c r="I50" s="11" t="str">
        <f aca="false">IF($K50="","",IF(INDEX('Prospect Tracker'!$T$5:$T$554,$K50)="","",INDEX('Prospect Tracker'!$T$5:$T$554,$K50)))</f>
        <v/>
      </c>
      <c r="J50" s="11" t="str">
        <f aca="false">IF($K50="","",IF(INDEX('Prospect Tracker'!$L$5:$L$554,$K50)="","",INDEX('Prospect Tracker'!$L$5:$L$554,$K50)))</f>
        <v/>
      </c>
      <c r="K50" s="1" t="n">
        <f aca="false">IFERROR(MATCH(SMALL('Prospect Tracker'!$X$5:$X$554,ROW()-4),'Prospect Tracker'!$X$5:$X$554,0),"")</f>
        <v>46</v>
      </c>
    </row>
    <row r="51" customFormat="false" ht="15" hidden="false" customHeight="true" outlineLevel="0" collapsed="false">
      <c r="A51" s="6" t="str">
        <f aca="false">IF($K51="","",IF(INDEX('Prospect Tracker'!$W$5:$W$554,$K51)="","",INDEX('Prospect Tracker'!$W$5:$W$554,$K51)))</f>
        <v/>
      </c>
      <c r="B51" s="6" t="str">
        <f aca="false">IF($K51="","",IF(INDEX('Prospect Tracker'!$A$5:$A$554,$K51)="","",INDEX('Prospect Tracker'!$A$5:$A$554,$K51)))</f>
        <v/>
      </c>
      <c r="C51" s="6" t="str">
        <f aca="false">IF($K51="","",IF(INDEX('Prospect Tracker'!$B$5:$B$554,$K51)="","",INDEX('Prospect Tracker'!$B$5:$B$554,$K51)))</f>
        <v/>
      </c>
      <c r="D51" s="6" t="str">
        <f aca="false">IF($K51="","",IF(INDEX('Prospect Tracker'!$M$5:$M$554,$K51)="","",INDEX('Prospect Tracker'!$M$5:$M$554,$K51)))</f>
        <v/>
      </c>
      <c r="E51" s="6" t="str">
        <f aca="false">IF($K51="","",IF(INDEX('Prospect Tracker'!$R$5:$R$554,$K51)="","",INDEX('Prospect Tracker'!$R$5:$R$554,$K51)))</f>
        <v/>
      </c>
      <c r="F51" s="6" t="str">
        <f aca="false">IF($K51="","",IF(INDEX('Prospect Tracker'!$J$5:$J$554,$K51)="","",INDEX('Prospect Tracker'!$J$5:$J$554,$K51)))</f>
        <v/>
      </c>
      <c r="G51" s="6" t="str">
        <f aca="false">IF($K51="","",IF(INDEX('Prospect Tracker'!$H$5:$H$554,$K51)="","",INDEX('Prospect Tracker'!$H$5:$H$554,$K51)))</f>
        <v/>
      </c>
      <c r="H51" s="7" t="str">
        <f aca="false">IF($K51="","",IF(INDEX('Prospect Tracker'!$K$5:$K$554,$K51)="","",INDEX('Prospect Tracker'!$K$5:$K$554,$K51)))</f>
        <v/>
      </c>
      <c r="I51" s="6" t="str">
        <f aca="false">IF($K51="","",IF(INDEX('Prospect Tracker'!$T$5:$T$554,$K51)="","",INDEX('Prospect Tracker'!$T$5:$T$554,$K51)))</f>
        <v/>
      </c>
      <c r="J51" s="6" t="str">
        <f aca="false">IF($K51="","",IF(INDEX('Prospect Tracker'!$L$5:$L$554,$K51)="","",INDEX('Prospect Tracker'!$L$5:$L$554,$K51)))</f>
        <v/>
      </c>
      <c r="K51" s="1" t="n">
        <f aca="false">IFERROR(MATCH(SMALL('Prospect Tracker'!$X$5:$X$554,ROW()-4),'Prospect Tracker'!$X$5:$X$554,0),"")</f>
        <v>47</v>
      </c>
    </row>
    <row r="52" customFormat="false" ht="15" hidden="false" customHeight="true" outlineLevel="0" collapsed="false">
      <c r="A52" s="11" t="str">
        <f aca="false">IF($K52="","",IF(INDEX('Prospect Tracker'!$W$5:$W$554,$K52)="","",INDEX('Prospect Tracker'!$W$5:$W$554,$K52)))</f>
        <v/>
      </c>
      <c r="B52" s="11" t="str">
        <f aca="false">IF($K52="","",IF(INDEX('Prospect Tracker'!$A$5:$A$554,$K52)="","",INDEX('Prospect Tracker'!$A$5:$A$554,$K52)))</f>
        <v/>
      </c>
      <c r="C52" s="11" t="str">
        <f aca="false">IF($K52="","",IF(INDEX('Prospect Tracker'!$B$5:$B$554,$K52)="","",INDEX('Prospect Tracker'!$B$5:$B$554,$K52)))</f>
        <v/>
      </c>
      <c r="D52" s="11" t="str">
        <f aca="false">IF($K52="","",IF(INDEX('Prospect Tracker'!$M$5:$M$554,$K52)="","",INDEX('Prospect Tracker'!$M$5:$M$554,$K52)))</f>
        <v/>
      </c>
      <c r="E52" s="11" t="str">
        <f aca="false">IF($K52="","",IF(INDEX('Prospect Tracker'!$R$5:$R$554,$K52)="","",INDEX('Prospect Tracker'!$R$5:$R$554,$K52)))</f>
        <v/>
      </c>
      <c r="F52" s="11" t="str">
        <f aca="false">IF($K52="","",IF(INDEX('Prospect Tracker'!$J$5:$J$554,$K52)="","",INDEX('Prospect Tracker'!$J$5:$J$554,$K52)))</f>
        <v/>
      </c>
      <c r="G52" s="11" t="str">
        <f aca="false">IF($K52="","",IF(INDEX('Prospect Tracker'!$H$5:$H$554,$K52)="","",INDEX('Prospect Tracker'!$H$5:$H$554,$K52)))</f>
        <v/>
      </c>
      <c r="H52" s="12" t="str">
        <f aca="false">IF($K52="","",IF(INDEX('Prospect Tracker'!$K$5:$K$554,$K52)="","",INDEX('Prospect Tracker'!$K$5:$K$554,$K52)))</f>
        <v/>
      </c>
      <c r="I52" s="11" t="str">
        <f aca="false">IF($K52="","",IF(INDEX('Prospect Tracker'!$T$5:$T$554,$K52)="","",INDEX('Prospect Tracker'!$T$5:$T$554,$K52)))</f>
        <v/>
      </c>
      <c r="J52" s="11" t="str">
        <f aca="false">IF($K52="","",IF(INDEX('Prospect Tracker'!$L$5:$L$554,$K52)="","",INDEX('Prospect Tracker'!$L$5:$L$554,$K52)))</f>
        <v/>
      </c>
      <c r="K52" s="1" t="n">
        <f aca="false">IFERROR(MATCH(SMALL('Prospect Tracker'!$X$5:$X$554,ROW()-4),'Prospect Tracker'!$X$5:$X$554,0),"")</f>
        <v>48</v>
      </c>
    </row>
    <row r="53" customFormat="false" ht="15" hidden="false" customHeight="true" outlineLevel="0" collapsed="false">
      <c r="A53" s="6" t="str">
        <f aca="false">IF($K53="","",IF(INDEX('Prospect Tracker'!$W$5:$W$554,$K53)="","",INDEX('Prospect Tracker'!$W$5:$W$554,$K53)))</f>
        <v/>
      </c>
      <c r="B53" s="6" t="str">
        <f aca="false">IF($K53="","",IF(INDEX('Prospect Tracker'!$A$5:$A$554,$K53)="","",INDEX('Prospect Tracker'!$A$5:$A$554,$K53)))</f>
        <v/>
      </c>
      <c r="C53" s="6" t="str">
        <f aca="false">IF($K53="","",IF(INDEX('Prospect Tracker'!$B$5:$B$554,$K53)="","",INDEX('Prospect Tracker'!$B$5:$B$554,$K53)))</f>
        <v/>
      </c>
      <c r="D53" s="6" t="str">
        <f aca="false">IF($K53="","",IF(INDEX('Prospect Tracker'!$M$5:$M$554,$K53)="","",INDEX('Prospect Tracker'!$M$5:$M$554,$K53)))</f>
        <v/>
      </c>
      <c r="E53" s="6" t="str">
        <f aca="false">IF($K53="","",IF(INDEX('Prospect Tracker'!$R$5:$R$554,$K53)="","",INDEX('Prospect Tracker'!$R$5:$R$554,$K53)))</f>
        <v/>
      </c>
      <c r="F53" s="6" t="str">
        <f aca="false">IF($K53="","",IF(INDEX('Prospect Tracker'!$J$5:$J$554,$K53)="","",INDEX('Prospect Tracker'!$J$5:$J$554,$K53)))</f>
        <v/>
      </c>
      <c r="G53" s="6" t="str">
        <f aca="false">IF($K53="","",IF(INDEX('Prospect Tracker'!$H$5:$H$554,$K53)="","",INDEX('Prospect Tracker'!$H$5:$H$554,$K53)))</f>
        <v/>
      </c>
      <c r="H53" s="7" t="str">
        <f aca="false">IF($K53="","",IF(INDEX('Prospect Tracker'!$K$5:$K$554,$K53)="","",INDEX('Prospect Tracker'!$K$5:$K$554,$K53)))</f>
        <v/>
      </c>
      <c r="I53" s="6" t="str">
        <f aca="false">IF($K53="","",IF(INDEX('Prospect Tracker'!$T$5:$T$554,$K53)="","",INDEX('Prospect Tracker'!$T$5:$T$554,$K53)))</f>
        <v/>
      </c>
      <c r="J53" s="6" t="str">
        <f aca="false">IF($K53="","",IF(INDEX('Prospect Tracker'!$L$5:$L$554,$K53)="","",INDEX('Prospect Tracker'!$L$5:$L$554,$K53)))</f>
        <v/>
      </c>
      <c r="K53" s="1" t="n">
        <f aca="false">IFERROR(MATCH(SMALL('Prospect Tracker'!$X$5:$X$554,ROW()-4),'Prospect Tracker'!$X$5:$X$554,0),"")</f>
        <v>49</v>
      </c>
    </row>
    <row r="54" customFormat="false" ht="15" hidden="false" customHeight="true" outlineLevel="0" collapsed="false">
      <c r="A54" s="11" t="str">
        <f aca="false">IF($K54="","",IF(INDEX('Prospect Tracker'!$W$5:$W$554,$K54)="","",INDEX('Prospect Tracker'!$W$5:$W$554,$K54)))</f>
        <v/>
      </c>
      <c r="B54" s="11" t="str">
        <f aca="false">IF($K54="","",IF(INDEX('Prospect Tracker'!$A$5:$A$554,$K54)="","",INDEX('Prospect Tracker'!$A$5:$A$554,$K54)))</f>
        <v/>
      </c>
      <c r="C54" s="11" t="str">
        <f aca="false">IF($K54="","",IF(INDEX('Prospect Tracker'!$B$5:$B$554,$K54)="","",INDEX('Prospect Tracker'!$B$5:$B$554,$K54)))</f>
        <v/>
      </c>
      <c r="D54" s="11" t="str">
        <f aca="false">IF($K54="","",IF(INDEX('Prospect Tracker'!$M$5:$M$554,$K54)="","",INDEX('Prospect Tracker'!$M$5:$M$554,$K54)))</f>
        <v/>
      </c>
      <c r="E54" s="11" t="str">
        <f aca="false">IF($K54="","",IF(INDEX('Prospect Tracker'!$R$5:$R$554,$K54)="","",INDEX('Prospect Tracker'!$R$5:$R$554,$K54)))</f>
        <v/>
      </c>
      <c r="F54" s="11" t="str">
        <f aca="false">IF($K54="","",IF(INDEX('Prospect Tracker'!$J$5:$J$554,$K54)="","",INDEX('Prospect Tracker'!$J$5:$J$554,$K54)))</f>
        <v/>
      </c>
      <c r="G54" s="11" t="str">
        <f aca="false">IF($K54="","",IF(INDEX('Prospect Tracker'!$H$5:$H$554,$K54)="","",INDEX('Prospect Tracker'!$H$5:$H$554,$K54)))</f>
        <v/>
      </c>
      <c r="H54" s="12" t="str">
        <f aca="false">IF($K54="","",IF(INDEX('Prospect Tracker'!$K$5:$K$554,$K54)="","",INDEX('Prospect Tracker'!$K$5:$K$554,$K54)))</f>
        <v/>
      </c>
      <c r="I54" s="11" t="str">
        <f aca="false">IF($K54="","",IF(INDEX('Prospect Tracker'!$T$5:$T$554,$K54)="","",INDEX('Prospect Tracker'!$T$5:$T$554,$K54)))</f>
        <v/>
      </c>
      <c r="J54" s="11" t="str">
        <f aca="false">IF($K54="","",IF(INDEX('Prospect Tracker'!$L$5:$L$554,$K54)="","",INDEX('Prospect Tracker'!$L$5:$L$554,$K54)))</f>
        <v/>
      </c>
      <c r="K54" s="1" t="n">
        <f aca="false">IFERROR(MATCH(SMALL('Prospect Tracker'!$X$5:$X$554,ROW()-4),'Prospect Tracker'!$X$5:$X$554,0),"")</f>
        <v>50</v>
      </c>
    </row>
    <row r="55" customFormat="false" ht="15" hidden="false" customHeight="true" outlineLevel="0" collapsed="false">
      <c r="A55" s="6" t="str">
        <f aca="false">IF($K55="","",IF(INDEX('Prospect Tracker'!$W$5:$W$554,$K55)="","",INDEX('Prospect Tracker'!$W$5:$W$554,$K55)))</f>
        <v/>
      </c>
      <c r="B55" s="6" t="str">
        <f aca="false">IF($K55="","",IF(INDEX('Prospect Tracker'!$A$5:$A$554,$K55)="","",INDEX('Prospect Tracker'!$A$5:$A$554,$K55)))</f>
        <v/>
      </c>
      <c r="C55" s="6" t="str">
        <f aca="false">IF($K55="","",IF(INDEX('Prospect Tracker'!$B$5:$B$554,$K55)="","",INDEX('Prospect Tracker'!$B$5:$B$554,$K55)))</f>
        <v/>
      </c>
      <c r="D55" s="6" t="str">
        <f aca="false">IF($K55="","",IF(INDEX('Prospect Tracker'!$M$5:$M$554,$K55)="","",INDEX('Prospect Tracker'!$M$5:$M$554,$K55)))</f>
        <v/>
      </c>
      <c r="E55" s="6" t="str">
        <f aca="false">IF($K55="","",IF(INDEX('Prospect Tracker'!$R$5:$R$554,$K55)="","",INDEX('Prospect Tracker'!$R$5:$R$554,$K55)))</f>
        <v/>
      </c>
      <c r="F55" s="6" t="str">
        <f aca="false">IF($K55="","",IF(INDEX('Prospect Tracker'!$J$5:$J$554,$K55)="","",INDEX('Prospect Tracker'!$J$5:$J$554,$K55)))</f>
        <v/>
      </c>
      <c r="G55" s="6" t="str">
        <f aca="false">IF($K55="","",IF(INDEX('Prospect Tracker'!$H$5:$H$554,$K55)="","",INDEX('Prospect Tracker'!$H$5:$H$554,$K55)))</f>
        <v/>
      </c>
      <c r="H55" s="7" t="str">
        <f aca="false">IF($K55="","",IF(INDEX('Prospect Tracker'!$K$5:$K$554,$K55)="","",INDEX('Prospect Tracker'!$K$5:$K$554,$K55)))</f>
        <v/>
      </c>
      <c r="I55" s="6" t="str">
        <f aca="false">IF($K55="","",IF(INDEX('Prospect Tracker'!$T$5:$T$554,$K55)="","",INDEX('Prospect Tracker'!$T$5:$T$554,$K55)))</f>
        <v/>
      </c>
      <c r="J55" s="6" t="str">
        <f aca="false">IF($K55="","",IF(INDEX('Prospect Tracker'!$L$5:$L$554,$K55)="","",INDEX('Prospect Tracker'!$L$5:$L$554,$K55)))</f>
        <v/>
      </c>
      <c r="K55" s="1" t="n">
        <f aca="false">IFERROR(MATCH(SMALL('Prospect Tracker'!$X$5:$X$554,ROW()-4),'Prospect Tracker'!$X$5:$X$554,0),"")</f>
        <v>51</v>
      </c>
    </row>
    <row r="56" customFormat="false" ht="15" hidden="false" customHeight="true" outlineLevel="0" collapsed="false">
      <c r="A56" s="11" t="str">
        <f aca="false">IF($K56="","",IF(INDEX('Prospect Tracker'!$W$5:$W$554,$K56)="","",INDEX('Prospect Tracker'!$W$5:$W$554,$K56)))</f>
        <v/>
      </c>
      <c r="B56" s="11" t="str">
        <f aca="false">IF($K56="","",IF(INDEX('Prospect Tracker'!$A$5:$A$554,$K56)="","",INDEX('Prospect Tracker'!$A$5:$A$554,$K56)))</f>
        <v/>
      </c>
      <c r="C56" s="11" t="str">
        <f aca="false">IF($K56="","",IF(INDEX('Prospect Tracker'!$B$5:$B$554,$K56)="","",INDEX('Prospect Tracker'!$B$5:$B$554,$K56)))</f>
        <v/>
      </c>
      <c r="D56" s="11" t="str">
        <f aca="false">IF($K56="","",IF(INDEX('Prospect Tracker'!$M$5:$M$554,$K56)="","",INDEX('Prospect Tracker'!$M$5:$M$554,$K56)))</f>
        <v/>
      </c>
      <c r="E56" s="11" t="str">
        <f aca="false">IF($K56="","",IF(INDEX('Prospect Tracker'!$R$5:$R$554,$K56)="","",INDEX('Prospect Tracker'!$R$5:$R$554,$K56)))</f>
        <v/>
      </c>
      <c r="F56" s="11" t="str">
        <f aca="false">IF($K56="","",IF(INDEX('Prospect Tracker'!$J$5:$J$554,$K56)="","",INDEX('Prospect Tracker'!$J$5:$J$554,$K56)))</f>
        <v/>
      </c>
      <c r="G56" s="11" t="str">
        <f aca="false">IF($K56="","",IF(INDEX('Prospect Tracker'!$H$5:$H$554,$K56)="","",INDEX('Prospect Tracker'!$H$5:$H$554,$K56)))</f>
        <v/>
      </c>
      <c r="H56" s="12" t="str">
        <f aca="false">IF($K56="","",IF(INDEX('Prospect Tracker'!$K$5:$K$554,$K56)="","",INDEX('Prospect Tracker'!$K$5:$K$554,$K56)))</f>
        <v/>
      </c>
      <c r="I56" s="11" t="str">
        <f aca="false">IF($K56="","",IF(INDEX('Prospect Tracker'!$T$5:$T$554,$K56)="","",INDEX('Prospect Tracker'!$T$5:$T$554,$K56)))</f>
        <v/>
      </c>
      <c r="J56" s="11" t="str">
        <f aca="false">IF($K56="","",IF(INDEX('Prospect Tracker'!$L$5:$L$554,$K56)="","",INDEX('Prospect Tracker'!$L$5:$L$554,$K56)))</f>
        <v/>
      </c>
      <c r="K56" s="1" t="n">
        <f aca="false">IFERROR(MATCH(SMALL('Prospect Tracker'!$X$5:$X$554,ROW()-4),'Prospect Tracker'!$X$5:$X$554,0),"")</f>
        <v>52</v>
      </c>
    </row>
    <row r="57" customFormat="false" ht="15" hidden="false" customHeight="true" outlineLevel="0" collapsed="false">
      <c r="A57" s="6" t="str">
        <f aca="false">IF($K57="","",IF(INDEX('Prospect Tracker'!$W$5:$W$554,$K57)="","",INDEX('Prospect Tracker'!$W$5:$W$554,$K57)))</f>
        <v/>
      </c>
      <c r="B57" s="6" t="str">
        <f aca="false">IF($K57="","",IF(INDEX('Prospect Tracker'!$A$5:$A$554,$K57)="","",INDEX('Prospect Tracker'!$A$5:$A$554,$K57)))</f>
        <v/>
      </c>
      <c r="C57" s="6" t="str">
        <f aca="false">IF($K57="","",IF(INDEX('Prospect Tracker'!$B$5:$B$554,$K57)="","",INDEX('Prospect Tracker'!$B$5:$B$554,$K57)))</f>
        <v/>
      </c>
      <c r="D57" s="6" t="str">
        <f aca="false">IF($K57="","",IF(INDEX('Prospect Tracker'!$M$5:$M$554,$K57)="","",INDEX('Prospect Tracker'!$M$5:$M$554,$K57)))</f>
        <v/>
      </c>
      <c r="E57" s="6" t="str">
        <f aca="false">IF($K57="","",IF(INDEX('Prospect Tracker'!$R$5:$R$554,$K57)="","",INDEX('Prospect Tracker'!$R$5:$R$554,$K57)))</f>
        <v/>
      </c>
      <c r="F57" s="6" t="str">
        <f aca="false">IF($K57="","",IF(INDEX('Prospect Tracker'!$J$5:$J$554,$K57)="","",INDEX('Prospect Tracker'!$J$5:$J$554,$K57)))</f>
        <v/>
      </c>
      <c r="G57" s="6" t="str">
        <f aca="false">IF($K57="","",IF(INDEX('Prospect Tracker'!$H$5:$H$554,$K57)="","",INDEX('Prospect Tracker'!$H$5:$H$554,$K57)))</f>
        <v/>
      </c>
      <c r="H57" s="7" t="str">
        <f aca="false">IF($K57="","",IF(INDEX('Prospect Tracker'!$K$5:$K$554,$K57)="","",INDEX('Prospect Tracker'!$K$5:$K$554,$K57)))</f>
        <v/>
      </c>
      <c r="I57" s="6" t="str">
        <f aca="false">IF($K57="","",IF(INDEX('Prospect Tracker'!$T$5:$T$554,$K57)="","",INDEX('Prospect Tracker'!$T$5:$T$554,$K57)))</f>
        <v/>
      </c>
      <c r="J57" s="6" t="str">
        <f aca="false">IF($K57="","",IF(INDEX('Prospect Tracker'!$L$5:$L$554,$K57)="","",INDEX('Prospect Tracker'!$L$5:$L$554,$K57)))</f>
        <v/>
      </c>
      <c r="K57" s="1" t="n">
        <f aca="false">IFERROR(MATCH(SMALL('Prospect Tracker'!$X$5:$X$554,ROW()-4),'Prospect Tracker'!$X$5:$X$554,0),"")</f>
        <v>53</v>
      </c>
    </row>
    <row r="58" customFormat="false" ht="15" hidden="false" customHeight="true" outlineLevel="0" collapsed="false">
      <c r="A58" s="11" t="str">
        <f aca="false">IF($K58="","",IF(INDEX('Prospect Tracker'!$W$5:$W$554,$K58)="","",INDEX('Prospect Tracker'!$W$5:$W$554,$K58)))</f>
        <v/>
      </c>
      <c r="B58" s="11" t="str">
        <f aca="false">IF($K58="","",IF(INDEX('Prospect Tracker'!$A$5:$A$554,$K58)="","",INDEX('Prospect Tracker'!$A$5:$A$554,$K58)))</f>
        <v/>
      </c>
      <c r="C58" s="11" t="str">
        <f aca="false">IF($K58="","",IF(INDEX('Prospect Tracker'!$B$5:$B$554,$K58)="","",INDEX('Prospect Tracker'!$B$5:$B$554,$K58)))</f>
        <v/>
      </c>
      <c r="D58" s="11" t="str">
        <f aca="false">IF($K58="","",IF(INDEX('Prospect Tracker'!$M$5:$M$554,$K58)="","",INDEX('Prospect Tracker'!$M$5:$M$554,$K58)))</f>
        <v/>
      </c>
      <c r="E58" s="11" t="str">
        <f aca="false">IF($K58="","",IF(INDEX('Prospect Tracker'!$R$5:$R$554,$K58)="","",INDEX('Prospect Tracker'!$R$5:$R$554,$K58)))</f>
        <v/>
      </c>
      <c r="F58" s="11" t="str">
        <f aca="false">IF($K58="","",IF(INDEX('Prospect Tracker'!$J$5:$J$554,$K58)="","",INDEX('Prospect Tracker'!$J$5:$J$554,$K58)))</f>
        <v/>
      </c>
      <c r="G58" s="11" t="str">
        <f aca="false">IF($K58="","",IF(INDEX('Prospect Tracker'!$H$5:$H$554,$K58)="","",INDEX('Prospect Tracker'!$H$5:$H$554,$K58)))</f>
        <v/>
      </c>
      <c r="H58" s="12" t="str">
        <f aca="false">IF($K58="","",IF(INDEX('Prospect Tracker'!$K$5:$K$554,$K58)="","",INDEX('Prospect Tracker'!$K$5:$K$554,$K58)))</f>
        <v/>
      </c>
      <c r="I58" s="11" t="str">
        <f aca="false">IF($K58="","",IF(INDEX('Prospect Tracker'!$T$5:$T$554,$K58)="","",INDEX('Prospect Tracker'!$T$5:$T$554,$K58)))</f>
        <v/>
      </c>
      <c r="J58" s="11" t="str">
        <f aca="false">IF($K58="","",IF(INDEX('Prospect Tracker'!$L$5:$L$554,$K58)="","",INDEX('Prospect Tracker'!$L$5:$L$554,$K58)))</f>
        <v/>
      </c>
      <c r="K58" s="1" t="n">
        <f aca="false">IFERROR(MATCH(SMALL('Prospect Tracker'!$X$5:$X$554,ROW()-4),'Prospect Tracker'!$X$5:$X$554,0),"")</f>
        <v>54</v>
      </c>
    </row>
    <row r="59" customFormat="false" ht="15" hidden="false" customHeight="true" outlineLevel="0" collapsed="false">
      <c r="A59" s="6" t="str">
        <f aca="false">IF($K59="","",IF(INDEX('Prospect Tracker'!$W$5:$W$554,$K59)="","",INDEX('Prospect Tracker'!$W$5:$W$554,$K59)))</f>
        <v/>
      </c>
      <c r="B59" s="6" t="str">
        <f aca="false">IF($K59="","",IF(INDEX('Prospect Tracker'!$A$5:$A$554,$K59)="","",INDEX('Prospect Tracker'!$A$5:$A$554,$K59)))</f>
        <v/>
      </c>
      <c r="C59" s="6" t="str">
        <f aca="false">IF($K59="","",IF(INDEX('Prospect Tracker'!$B$5:$B$554,$K59)="","",INDEX('Prospect Tracker'!$B$5:$B$554,$K59)))</f>
        <v/>
      </c>
      <c r="D59" s="6" t="str">
        <f aca="false">IF($K59="","",IF(INDEX('Prospect Tracker'!$M$5:$M$554,$K59)="","",INDEX('Prospect Tracker'!$M$5:$M$554,$K59)))</f>
        <v/>
      </c>
      <c r="E59" s="6" t="str">
        <f aca="false">IF($K59="","",IF(INDEX('Prospect Tracker'!$R$5:$R$554,$K59)="","",INDEX('Prospect Tracker'!$R$5:$R$554,$K59)))</f>
        <v/>
      </c>
      <c r="F59" s="6" t="str">
        <f aca="false">IF($K59="","",IF(INDEX('Prospect Tracker'!$J$5:$J$554,$K59)="","",INDEX('Prospect Tracker'!$J$5:$J$554,$K59)))</f>
        <v/>
      </c>
      <c r="G59" s="6" t="str">
        <f aca="false">IF($K59="","",IF(INDEX('Prospect Tracker'!$H$5:$H$554,$K59)="","",INDEX('Prospect Tracker'!$H$5:$H$554,$K59)))</f>
        <v/>
      </c>
      <c r="H59" s="7" t="str">
        <f aca="false">IF($K59="","",IF(INDEX('Prospect Tracker'!$K$5:$K$554,$K59)="","",INDEX('Prospect Tracker'!$K$5:$K$554,$K59)))</f>
        <v/>
      </c>
      <c r="I59" s="6" t="str">
        <f aca="false">IF($K59="","",IF(INDEX('Prospect Tracker'!$T$5:$T$554,$K59)="","",INDEX('Prospect Tracker'!$T$5:$T$554,$K59)))</f>
        <v/>
      </c>
      <c r="J59" s="6" t="str">
        <f aca="false">IF($K59="","",IF(INDEX('Prospect Tracker'!$L$5:$L$554,$K59)="","",INDEX('Prospect Tracker'!$L$5:$L$554,$K59)))</f>
        <v/>
      </c>
      <c r="K59" s="1" t="n">
        <f aca="false">IFERROR(MATCH(SMALL('Prospect Tracker'!$X$5:$X$554,ROW()-4),'Prospect Tracker'!$X$5:$X$554,0),"")</f>
        <v>55</v>
      </c>
    </row>
    <row r="60" customFormat="false" ht="15" hidden="false" customHeight="true" outlineLevel="0" collapsed="false">
      <c r="A60" s="11" t="str">
        <f aca="false">IF($K60="","",IF(INDEX('Prospect Tracker'!$W$5:$W$554,$K60)="","",INDEX('Prospect Tracker'!$W$5:$W$554,$K60)))</f>
        <v/>
      </c>
      <c r="B60" s="11" t="str">
        <f aca="false">IF($K60="","",IF(INDEX('Prospect Tracker'!$A$5:$A$554,$K60)="","",INDEX('Prospect Tracker'!$A$5:$A$554,$K60)))</f>
        <v/>
      </c>
      <c r="C60" s="11" t="str">
        <f aca="false">IF($K60="","",IF(INDEX('Prospect Tracker'!$B$5:$B$554,$K60)="","",INDEX('Prospect Tracker'!$B$5:$B$554,$K60)))</f>
        <v/>
      </c>
      <c r="D60" s="11" t="str">
        <f aca="false">IF($K60="","",IF(INDEX('Prospect Tracker'!$M$5:$M$554,$K60)="","",INDEX('Prospect Tracker'!$M$5:$M$554,$K60)))</f>
        <v/>
      </c>
      <c r="E60" s="11" t="str">
        <f aca="false">IF($K60="","",IF(INDEX('Prospect Tracker'!$R$5:$R$554,$K60)="","",INDEX('Prospect Tracker'!$R$5:$R$554,$K60)))</f>
        <v/>
      </c>
      <c r="F60" s="11" t="str">
        <f aca="false">IF($K60="","",IF(INDEX('Prospect Tracker'!$J$5:$J$554,$K60)="","",INDEX('Prospect Tracker'!$J$5:$J$554,$K60)))</f>
        <v/>
      </c>
      <c r="G60" s="11" t="str">
        <f aca="false">IF($K60="","",IF(INDEX('Prospect Tracker'!$H$5:$H$554,$K60)="","",INDEX('Prospect Tracker'!$H$5:$H$554,$K60)))</f>
        <v/>
      </c>
      <c r="H60" s="12" t="str">
        <f aca="false">IF($K60="","",IF(INDEX('Prospect Tracker'!$K$5:$K$554,$K60)="","",INDEX('Prospect Tracker'!$K$5:$K$554,$K60)))</f>
        <v/>
      </c>
      <c r="I60" s="11" t="str">
        <f aca="false">IF($K60="","",IF(INDEX('Prospect Tracker'!$T$5:$T$554,$K60)="","",INDEX('Prospect Tracker'!$T$5:$T$554,$K60)))</f>
        <v/>
      </c>
      <c r="J60" s="11" t="str">
        <f aca="false">IF($K60="","",IF(INDEX('Prospect Tracker'!$L$5:$L$554,$K60)="","",INDEX('Prospect Tracker'!$L$5:$L$554,$K60)))</f>
        <v/>
      </c>
      <c r="K60" s="1" t="n">
        <f aca="false">IFERROR(MATCH(SMALL('Prospect Tracker'!$X$5:$X$554,ROW()-4),'Prospect Tracker'!$X$5:$X$554,0),"")</f>
        <v>56</v>
      </c>
    </row>
    <row r="61" customFormat="false" ht="15" hidden="false" customHeight="true" outlineLevel="0" collapsed="false">
      <c r="A61" s="6" t="str">
        <f aca="false">IF($K61="","",IF(INDEX('Prospect Tracker'!$W$5:$W$554,$K61)="","",INDEX('Prospect Tracker'!$W$5:$W$554,$K61)))</f>
        <v/>
      </c>
      <c r="B61" s="6" t="str">
        <f aca="false">IF($K61="","",IF(INDEX('Prospect Tracker'!$A$5:$A$554,$K61)="","",INDEX('Prospect Tracker'!$A$5:$A$554,$K61)))</f>
        <v/>
      </c>
      <c r="C61" s="6" t="str">
        <f aca="false">IF($K61="","",IF(INDEX('Prospect Tracker'!$B$5:$B$554,$K61)="","",INDEX('Prospect Tracker'!$B$5:$B$554,$K61)))</f>
        <v/>
      </c>
      <c r="D61" s="6" t="str">
        <f aca="false">IF($K61="","",IF(INDEX('Prospect Tracker'!$M$5:$M$554,$K61)="","",INDEX('Prospect Tracker'!$M$5:$M$554,$K61)))</f>
        <v/>
      </c>
      <c r="E61" s="6" t="str">
        <f aca="false">IF($K61="","",IF(INDEX('Prospect Tracker'!$R$5:$R$554,$K61)="","",INDEX('Prospect Tracker'!$R$5:$R$554,$K61)))</f>
        <v/>
      </c>
      <c r="F61" s="6" t="str">
        <f aca="false">IF($K61="","",IF(INDEX('Prospect Tracker'!$J$5:$J$554,$K61)="","",INDEX('Prospect Tracker'!$J$5:$J$554,$K61)))</f>
        <v/>
      </c>
      <c r="G61" s="6" t="str">
        <f aca="false">IF($K61="","",IF(INDEX('Prospect Tracker'!$H$5:$H$554,$K61)="","",INDEX('Prospect Tracker'!$H$5:$H$554,$K61)))</f>
        <v/>
      </c>
      <c r="H61" s="7" t="str">
        <f aca="false">IF($K61="","",IF(INDEX('Prospect Tracker'!$K$5:$K$554,$K61)="","",INDEX('Prospect Tracker'!$K$5:$K$554,$K61)))</f>
        <v/>
      </c>
      <c r="I61" s="6" t="str">
        <f aca="false">IF($K61="","",IF(INDEX('Prospect Tracker'!$T$5:$T$554,$K61)="","",INDEX('Prospect Tracker'!$T$5:$T$554,$K61)))</f>
        <v/>
      </c>
      <c r="J61" s="6" t="str">
        <f aca="false">IF($K61="","",IF(INDEX('Prospect Tracker'!$L$5:$L$554,$K61)="","",INDEX('Prospect Tracker'!$L$5:$L$554,$K61)))</f>
        <v/>
      </c>
      <c r="K61" s="1" t="n">
        <f aca="false">IFERROR(MATCH(SMALL('Prospect Tracker'!$X$5:$X$554,ROW()-4),'Prospect Tracker'!$X$5:$X$554,0),"")</f>
        <v>57</v>
      </c>
    </row>
    <row r="62" customFormat="false" ht="15" hidden="false" customHeight="true" outlineLevel="0" collapsed="false">
      <c r="A62" s="11" t="str">
        <f aca="false">IF($K62="","",IF(INDEX('Prospect Tracker'!$W$5:$W$554,$K62)="","",INDEX('Prospect Tracker'!$W$5:$W$554,$K62)))</f>
        <v/>
      </c>
      <c r="B62" s="11" t="str">
        <f aca="false">IF($K62="","",IF(INDEX('Prospect Tracker'!$A$5:$A$554,$K62)="","",INDEX('Prospect Tracker'!$A$5:$A$554,$K62)))</f>
        <v/>
      </c>
      <c r="C62" s="11" t="str">
        <f aca="false">IF($K62="","",IF(INDEX('Prospect Tracker'!$B$5:$B$554,$K62)="","",INDEX('Prospect Tracker'!$B$5:$B$554,$K62)))</f>
        <v/>
      </c>
      <c r="D62" s="11" t="str">
        <f aca="false">IF($K62="","",IF(INDEX('Prospect Tracker'!$M$5:$M$554,$K62)="","",INDEX('Prospect Tracker'!$M$5:$M$554,$K62)))</f>
        <v/>
      </c>
      <c r="E62" s="11" t="str">
        <f aca="false">IF($K62="","",IF(INDEX('Prospect Tracker'!$R$5:$R$554,$K62)="","",INDEX('Prospect Tracker'!$R$5:$R$554,$K62)))</f>
        <v/>
      </c>
      <c r="F62" s="11" t="str">
        <f aca="false">IF($K62="","",IF(INDEX('Prospect Tracker'!$J$5:$J$554,$K62)="","",INDEX('Prospect Tracker'!$J$5:$J$554,$K62)))</f>
        <v/>
      </c>
      <c r="G62" s="11" t="str">
        <f aca="false">IF($K62="","",IF(INDEX('Prospect Tracker'!$H$5:$H$554,$K62)="","",INDEX('Prospect Tracker'!$H$5:$H$554,$K62)))</f>
        <v/>
      </c>
      <c r="H62" s="12" t="str">
        <f aca="false">IF($K62="","",IF(INDEX('Prospect Tracker'!$K$5:$K$554,$K62)="","",INDEX('Prospect Tracker'!$K$5:$K$554,$K62)))</f>
        <v/>
      </c>
      <c r="I62" s="11" t="str">
        <f aca="false">IF($K62="","",IF(INDEX('Prospect Tracker'!$T$5:$T$554,$K62)="","",INDEX('Prospect Tracker'!$T$5:$T$554,$K62)))</f>
        <v/>
      </c>
      <c r="J62" s="11" t="str">
        <f aca="false">IF($K62="","",IF(INDEX('Prospect Tracker'!$L$5:$L$554,$K62)="","",INDEX('Prospect Tracker'!$L$5:$L$554,$K62)))</f>
        <v/>
      </c>
      <c r="K62" s="1" t="n">
        <f aca="false">IFERROR(MATCH(SMALL('Prospect Tracker'!$X$5:$X$554,ROW()-4),'Prospect Tracker'!$X$5:$X$554,0),"")</f>
        <v>58</v>
      </c>
    </row>
    <row r="63" customFormat="false" ht="15" hidden="false" customHeight="true" outlineLevel="0" collapsed="false">
      <c r="A63" s="6" t="str">
        <f aca="false">IF($K63="","",IF(INDEX('Prospect Tracker'!$W$5:$W$554,$K63)="","",INDEX('Prospect Tracker'!$W$5:$W$554,$K63)))</f>
        <v/>
      </c>
      <c r="B63" s="6" t="str">
        <f aca="false">IF($K63="","",IF(INDEX('Prospect Tracker'!$A$5:$A$554,$K63)="","",INDEX('Prospect Tracker'!$A$5:$A$554,$K63)))</f>
        <v/>
      </c>
      <c r="C63" s="6" t="str">
        <f aca="false">IF($K63="","",IF(INDEX('Prospect Tracker'!$B$5:$B$554,$K63)="","",INDEX('Prospect Tracker'!$B$5:$B$554,$K63)))</f>
        <v/>
      </c>
      <c r="D63" s="6" t="str">
        <f aca="false">IF($K63="","",IF(INDEX('Prospect Tracker'!$M$5:$M$554,$K63)="","",INDEX('Prospect Tracker'!$M$5:$M$554,$K63)))</f>
        <v/>
      </c>
      <c r="E63" s="6" t="str">
        <f aca="false">IF($K63="","",IF(INDEX('Prospect Tracker'!$R$5:$R$554,$K63)="","",INDEX('Prospect Tracker'!$R$5:$R$554,$K63)))</f>
        <v/>
      </c>
      <c r="F63" s="6" t="str">
        <f aca="false">IF($K63="","",IF(INDEX('Prospect Tracker'!$J$5:$J$554,$K63)="","",INDEX('Prospect Tracker'!$J$5:$J$554,$K63)))</f>
        <v/>
      </c>
      <c r="G63" s="6" t="str">
        <f aca="false">IF($K63="","",IF(INDEX('Prospect Tracker'!$H$5:$H$554,$K63)="","",INDEX('Prospect Tracker'!$H$5:$H$554,$K63)))</f>
        <v/>
      </c>
      <c r="H63" s="7" t="str">
        <f aca="false">IF($K63="","",IF(INDEX('Prospect Tracker'!$K$5:$K$554,$K63)="","",INDEX('Prospect Tracker'!$K$5:$K$554,$K63)))</f>
        <v/>
      </c>
      <c r="I63" s="6" t="str">
        <f aca="false">IF($K63="","",IF(INDEX('Prospect Tracker'!$T$5:$T$554,$K63)="","",INDEX('Prospect Tracker'!$T$5:$T$554,$K63)))</f>
        <v/>
      </c>
      <c r="J63" s="6" t="str">
        <f aca="false">IF($K63="","",IF(INDEX('Prospect Tracker'!$L$5:$L$554,$K63)="","",INDEX('Prospect Tracker'!$L$5:$L$554,$K63)))</f>
        <v/>
      </c>
      <c r="K63" s="1" t="n">
        <f aca="false">IFERROR(MATCH(SMALL('Prospect Tracker'!$X$5:$X$554,ROW()-4),'Prospect Tracker'!$X$5:$X$554,0),"")</f>
        <v>59</v>
      </c>
    </row>
    <row r="64" customFormat="false" ht="15" hidden="false" customHeight="true" outlineLevel="0" collapsed="false">
      <c r="A64" s="11" t="str">
        <f aca="false">IF($K64="","",IF(INDEX('Prospect Tracker'!$W$5:$W$554,$K64)="","",INDEX('Prospect Tracker'!$W$5:$W$554,$K64)))</f>
        <v/>
      </c>
      <c r="B64" s="11" t="str">
        <f aca="false">IF($K64="","",IF(INDEX('Prospect Tracker'!$A$5:$A$554,$K64)="","",INDEX('Prospect Tracker'!$A$5:$A$554,$K64)))</f>
        <v/>
      </c>
      <c r="C64" s="11" t="str">
        <f aca="false">IF($K64="","",IF(INDEX('Prospect Tracker'!$B$5:$B$554,$K64)="","",INDEX('Prospect Tracker'!$B$5:$B$554,$K64)))</f>
        <v/>
      </c>
      <c r="D64" s="11" t="str">
        <f aca="false">IF($K64="","",IF(INDEX('Prospect Tracker'!$M$5:$M$554,$K64)="","",INDEX('Prospect Tracker'!$M$5:$M$554,$K64)))</f>
        <v/>
      </c>
      <c r="E64" s="11" t="str">
        <f aca="false">IF($K64="","",IF(INDEX('Prospect Tracker'!$R$5:$R$554,$K64)="","",INDEX('Prospect Tracker'!$R$5:$R$554,$K64)))</f>
        <v/>
      </c>
      <c r="F64" s="11" t="str">
        <f aca="false">IF($K64="","",IF(INDEX('Prospect Tracker'!$J$5:$J$554,$K64)="","",INDEX('Prospect Tracker'!$J$5:$J$554,$K64)))</f>
        <v/>
      </c>
      <c r="G64" s="11" t="str">
        <f aca="false">IF($K64="","",IF(INDEX('Prospect Tracker'!$H$5:$H$554,$K64)="","",INDEX('Prospect Tracker'!$H$5:$H$554,$K64)))</f>
        <v/>
      </c>
      <c r="H64" s="12" t="str">
        <f aca="false">IF($K64="","",IF(INDEX('Prospect Tracker'!$K$5:$K$554,$K64)="","",INDEX('Prospect Tracker'!$K$5:$K$554,$K64)))</f>
        <v/>
      </c>
      <c r="I64" s="11" t="str">
        <f aca="false">IF($K64="","",IF(INDEX('Prospect Tracker'!$T$5:$T$554,$K64)="","",INDEX('Prospect Tracker'!$T$5:$T$554,$K64)))</f>
        <v/>
      </c>
      <c r="J64" s="11" t="str">
        <f aca="false">IF($K64="","",IF(INDEX('Prospect Tracker'!$L$5:$L$554,$K64)="","",INDEX('Prospect Tracker'!$L$5:$L$554,$K64)))</f>
        <v/>
      </c>
      <c r="K64" s="1" t="n">
        <f aca="false">IFERROR(MATCH(SMALL('Prospect Tracker'!$X$5:$X$554,ROW()-4),'Prospect Tracker'!$X$5:$X$554,0),"")</f>
        <v>60</v>
      </c>
    </row>
    <row r="65" customFormat="false" ht="15" hidden="false" customHeight="true" outlineLevel="0" collapsed="false">
      <c r="A65" s="6" t="str">
        <f aca="false">IF($K65="","",IF(INDEX('Prospect Tracker'!$W$5:$W$554,$K65)="","",INDEX('Prospect Tracker'!$W$5:$W$554,$K65)))</f>
        <v/>
      </c>
      <c r="B65" s="6" t="str">
        <f aca="false">IF($K65="","",IF(INDEX('Prospect Tracker'!$A$5:$A$554,$K65)="","",INDEX('Prospect Tracker'!$A$5:$A$554,$K65)))</f>
        <v/>
      </c>
      <c r="C65" s="6" t="str">
        <f aca="false">IF($K65="","",IF(INDEX('Prospect Tracker'!$B$5:$B$554,$K65)="","",INDEX('Prospect Tracker'!$B$5:$B$554,$K65)))</f>
        <v/>
      </c>
      <c r="D65" s="6" t="str">
        <f aca="false">IF($K65="","",IF(INDEX('Prospect Tracker'!$M$5:$M$554,$K65)="","",INDEX('Prospect Tracker'!$M$5:$M$554,$K65)))</f>
        <v/>
      </c>
      <c r="E65" s="6" t="str">
        <f aca="false">IF($K65="","",IF(INDEX('Prospect Tracker'!$R$5:$R$554,$K65)="","",INDEX('Prospect Tracker'!$R$5:$R$554,$K65)))</f>
        <v/>
      </c>
      <c r="F65" s="6" t="str">
        <f aca="false">IF($K65="","",IF(INDEX('Prospect Tracker'!$J$5:$J$554,$K65)="","",INDEX('Prospect Tracker'!$J$5:$J$554,$K65)))</f>
        <v/>
      </c>
      <c r="G65" s="6" t="str">
        <f aca="false">IF($K65="","",IF(INDEX('Prospect Tracker'!$H$5:$H$554,$K65)="","",INDEX('Prospect Tracker'!$H$5:$H$554,$K65)))</f>
        <v/>
      </c>
      <c r="H65" s="7" t="str">
        <f aca="false">IF($K65="","",IF(INDEX('Prospect Tracker'!$K$5:$K$554,$K65)="","",INDEX('Prospect Tracker'!$K$5:$K$554,$K65)))</f>
        <v/>
      </c>
      <c r="I65" s="6" t="str">
        <f aca="false">IF($K65="","",IF(INDEX('Prospect Tracker'!$T$5:$T$554,$K65)="","",INDEX('Prospect Tracker'!$T$5:$T$554,$K65)))</f>
        <v/>
      </c>
      <c r="J65" s="6" t="str">
        <f aca="false">IF($K65="","",IF(INDEX('Prospect Tracker'!$L$5:$L$554,$K65)="","",INDEX('Prospect Tracker'!$L$5:$L$554,$K65)))</f>
        <v/>
      </c>
      <c r="K65" s="1" t="n">
        <f aca="false">IFERROR(MATCH(SMALL('Prospect Tracker'!$X$5:$X$554,ROW()-4),'Prospect Tracker'!$X$5:$X$554,0),"")</f>
        <v>61</v>
      </c>
    </row>
    <row r="66" customFormat="false" ht="15" hidden="false" customHeight="true" outlineLevel="0" collapsed="false">
      <c r="A66" s="11" t="str">
        <f aca="false">IF($K66="","",IF(INDEX('Prospect Tracker'!$W$5:$W$554,$K66)="","",INDEX('Prospect Tracker'!$W$5:$W$554,$K66)))</f>
        <v/>
      </c>
      <c r="B66" s="11" t="str">
        <f aca="false">IF($K66="","",IF(INDEX('Prospect Tracker'!$A$5:$A$554,$K66)="","",INDEX('Prospect Tracker'!$A$5:$A$554,$K66)))</f>
        <v/>
      </c>
      <c r="C66" s="11" t="str">
        <f aca="false">IF($K66="","",IF(INDEX('Prospect Tracker'!$B$5:$B$554,$K66)="","",INDEX('Prospect Tracker'!$B$5:$B$554,$K66)))</f>
        <v/>
      </c>
      <c r="D66" s="11" t="str">
        <f aca="false">IF($K66="","",IF(INDEX('Prospect Tracker'!$M$5:$M$554,$K66)="","",INDEX('Prospect Tracker'!$M$5:$M$554,$K66)))</f>
        <v/>
      </c>
      <c r="E66" s="11" t="str">
        <f aca="false">IF($K66="","",IF(INDEX('Prospect Tracker'!$R$5:$R$554,$K66)="","",INDEX('Prospect Tracker'!$R$5:$R$554,$K66)))</f>
        <v/>
      </c>
      <c r="F66" s="11" t="str">
        <f aca="false">IF($K66="","",IF(INDEX('Prospect Tracker'!$J$5:$J$554,$K66)="","",INDEX('Prospect Tracker'!$J$5:$J$554,$K66)))</f>
        <v/>
      </c>
      <c r="G66" s="11" t="str">
        <f aca="false">IF($K66="","",IF(INDEX('Prospect Tracker'!$H$5:$H$554,$K66)="","",INDEX('Prospect Tracker'!$H$5:$H$554,$K66)))</f>
        <v/>
      </c>
      <c r="H66" s="12" t="str">
        <f aca="false">IF($K66="","",IF(INDEX('Prospect Tracker'!$K$5:$K$554,$K66)="","",INDEX('Prospect Tracker'!$K$5:$K$554,$K66)))</f>
        <v/>
      </c>
      <c r="I66" s="11" t="str">
        <f aca="false">IF($K66="","",IF(INDEX('Prospect Tracker'!$T$5:$T$554,$K66)="","",INDEX('Prospect Tracker'!$T$5:$T$554,$K66)))</f>
        <v/>
      </c>
      <c r="J66" s="11" t="str">
        <f aca="false">IF($K66="","",IF(INDEX('Prospect Tracker'!$L$5:$L$554,$K66)="","",INDEX('Prospect Tracker'!$L$5:$L$554,$K66)))</f>
        <v/>
      </c>
      <c r="K66" s="1" t="n">
        <f aca="false">IFERROR(MATCH(SMALL('Prospect Tracker'!$X$5:$X$554,ROW()-4),'Prospect Tracker'!$X$5:$X$554,0),"")</f>
        <v>62</v>
      </c>
    </row>
    <row r="67" customFormat="false" ht="15" hidden="false" customHeight="true" outlineLevel="0" collapsed="false">
      <c r="A67" s="6" t="str">
        <f aca="false">IF($K67="","",IF(INDEX('Prospect Tracker'!$W$5:$W$554,$K67)="","",INDEX('Prospect Tracker'!$W$5:$W$554,$K67)))</f>
        <v/>
      </c>
      <c r="B67" s="6" t="str">
        <f aca="false">IF($K67="","",IF(INDEX('Prospect Tracker'!$A$5:$A$554,$K67)="","",INDEX('Prospect Tracker'!$A$5:$A$554,$K67)))</f>
        <v/>
      </c>
      <c r="C67" s="6" t="str">
        <f aca="false">IF($K67="","",IF(INDEX('Prospect Tracker'!$B$5:$B$554,$K67)="","",INDEX('Prospect Tracker'!$B$5:$B$554,$K67)))</f>
        <v/>
      </c>
      <c r="D67" s="6" t="str">
        <f aca="false">IF($K67="","",IF(INDEX('Prospect Tracker'!$M$5:$M$554,$K67)="","",INDEX('Prospect Tracker'!$M$5:$M$554,$K67)))</f>
        <v/>
      </c>
      <c r="E67" s="6" t="str">
        <f aca="false">IF($K67="","",IF(INDEX('Prospect Tracker'!$R$5:$R$554,$K67)="","",INDEX('Prospect Tracker'!$R$5:$R$554,$K67)))</f>
        <v/>
      </c>
      <c r="F67" s="6" t="str">
        <f aca="false">IF($K67="","",IF(INDEX('Prospect Tracker'!$J$5:$J$554,$K67)="","",INDEX('Prospect Tracker'!$J$5:$J$554,$K67)))</f>
        <v/>
      </c>
      <c r="G67" s="6" t="str">
        <f aca="false">IF($K67="","",IF(INDEX('Prospect Tracker'!$H$5:$H$554,$K67)="","",INDEX('Prospect Tracker'!$H$5:$H$554,$K67)))</f>
        <v/>
      </c>
      <c r="H67" s="7" t="str">
        <f aca="false">IF($K67="","",IF(INDEX('Prospect Tracker'!$K$5:$K$554,$K67)="","",INDEX('Prospect Tracker'!$K$5:$K$554,$K67)))</f>
        <v/>
      </c>
      <c r="I67" s="6" t="str">
        <f aca="false">IF($K67="","",IF(INDEX('Prospect Tracker'!$T$5:$T$554,$K67)="","",INDEX('Prospect Tracker'!$T$5:$T$554,$K67)))</f>
        <v/>
      </c>
      <c r="J67" s="6" t="str">
        <f aca="false">IF($K67="","",IF(INDEX('Prospect Tracker'!$L$5:$L$554,$K67)="","",INDEX('Prospect Tracker'!$L$5:$L$554,$K67)))</f>
        <v/>
      </c>
      <c r="K67" s="1" t="n">
        <f aca="false">IFERROR(MATCH(SMALL('Prospect Tracker'!$X$5:$X$554,ROW()-4),'Prospect Tracker'!$X$5:$X$554,0),"")</f>
        <v>63</v>
      </c>
    </row>
    <row r="68" customFormat="false" ht="15" hidden="false" customHeight="true" outlineLevel="0" collapsed="false">
      <c r="A68" s="11" t="str">
        <f aca="false">IF($K68="","",IF(INDEX('Prospect Tracker'!$W$5:$W$554,$K68)="","",INDEX('Prospect Tracker'!$W$5:$W$554,$K68)))</f>
        <v/>
      </c>
      <c r="B68" s="11" t="str">
        <f aca="false">IF($K68="","",IF(INDEX('Prospect Tracker'!$A$5:$A$554,$K68)="","",INDEX('Prospect Tracker'!$A$5:$A$554,$K68)))</f>
        <v/>
      </c>
      <c r="C68" s="11" t="str">
        <f aca="false">IF($K68="","",IF(INDEX('Prospect Tracker'!$B$5:$B$554,$K68)="","",INDEX('Prospect Tracker'!$B$5:$B$554,$K68)))</f>
        <v/>
      </c>
      <c r="D68" s="11" t="str">
        <f aca="false">IF($K68="","",IF(INDEX('Prospect Tracker'!$M$5:$M$554,$K68)="","",INDEX('Prospect Tracker'!$M$5:$M$554,$K68)))</f>
        <v/>
      </c>
      <c r="E68" s="11" t="str">
        <f aca="false">IF($K68="","",IF(INDEX('Prospect Tracker'!$R$5:$R$554,$K68)="","",INDEX('Prospect Tracker'!$R$5:$R$554,$K68)))</f>
        <v/>
      </c>
      <c r="F68" s="11" t="str">
        <f aca="false">IF($K68="","",IF(INDEX('Prospect Tracker'!$J$5:$J$554,$K68)="","",INDEX('Prospect Tracker'!$J$5:$J$554,$K68)))</f>
        <v/>
      </c>
      <c r="G68" s="11" t="str">
        <f aca="false">IF($K68="","",IF(INDEX('Prospect Tracker'!$H$5:$H$554,$K68)="","",INDEX('Prospect Tracker'!$H$5:$H$554,$K68)))</f>
        <v/>
      </c>
      <c r="H68" s="12" t="str">
        <f aca="false">IF($K68="","",IF(INDEX('Prospect Tracker'!$K$5:$K$554,$K68)="","",INDEX('Prospect Tracker'!$K$5:$K$554,$K68)))</f>
        <v/>
      </c>
      <c r="I68" s="11" t="str">
        <f aca="false">IF($K68="","",IF(INDEX('Prospect Tracker'!$T$5:$T$554,$K68)="","",INDEX('Prospect Tracker'!$T$5:$T$554,$K68)))</f>
        <v/>
      </c>
      <c r="J68" s="11" t="str">
        <f aca="false">IF($K68="","",IF(INDEX('Prospect Tracker'!$L$5:$L$554,$K68)="","",INDEX('Prospect Tracker'!$L$5:$L$554,$K68)))</f>
        <v/>
      </c>
      <c r="K68" s="1" t="n">
        <f aca="false">IFERROR(MATCH(SMALL('Prospect Tracker'!$X$5:$X$554,ROW()-4),'Prospect Tracker'!$X$5:$X$554,0),"")</f>
        <v>64</v>
      </c>
    </row>
    <row r="69" customFormat="false" ht="15" hidden="false" customHeight="true" outlineLevel="0" collapsed="false">
      <c r="A69" s="6" t="str">
        <f aca="false">IF($K69="","",IF(INDEX('Prospect Tracker'!$W$5:$W$554,$K69)="","",INDEX('Prospect Tracker'!$W$5:$W$554,$K69)))</f>
        <v/>
      </c>
      <c r="B69" s="6" t="str">
        <f aca="false">IF($K69="","",IF(INDEX('Prospect Tracker'!$A$5:$A$554,$K69)="","",INDEX('Prospect Tracker'!$A$5:$A$554,$K69)))</f>
        <v/>
      </c>
      <c r="C69" s="6" t="str">
        <f aca="false">IF($K69="","",IF(INDEX('Prospect Tracker'!$B$5:$B$554,$K69)="","",INDEX('Prospect Tracker'!$B$5:$B$554,$K69)))</f>
        <v/>
      </c>
      <c r="D69" s="6" t="str">
        <f aca="false">IF($K69="","",IF(INDEX('Prospect Tracker'!$M$5:$M$554,$K69)="","",INDEX('Prospect Tracker'!$M$5:$M$554,$K69)))</f>
        <v/>
      </c>
      <c r="E69" s="6" t="str">
        <f aca="false">IF($K69="","",IF(INDEX('Prospect Tracker'!$R$5:$R$554,$K69)="","",INDEX('Prospect Tracker'!$R$5:$R$554,$K69)))</f>
        <v/>
      </c>
      <c r="F69" s="6" t="str">
        <f aca="false">IF($K69="","",IF(INDEX('Prospect Tracker'!$J$5:$J$554,$K69)="","",INDEX('Prospect Tracker'!$J$5:$J$554,$K69)))</f>
        <v/>
      </c>
      <c r="G69" s="6" t="str">
        <f aca="false">IF($K69="","",IF(INDEX('Prospect Tracker'!$H$5:$H$554,$K69)="","",INDEX('Prospect Tracker'!$H$5:$H$554,$K69)))</f>
        <v/>
      </c>
      <c r="H69" s="7" t="str">
        <f aca="false">IF($K69="","",IF(INDEX('Prospect Tracker'!$K$5:$K$554,$K69)="","",INDEX('Prospect Tracker'!$K$5:$K$554,$K69)))</f>
        <v/>
      </c>
      <c r="I69" s="6" t="str">
        <f aca="false">IF($K69="","",IF(INDEX('Prospect Tracker'!$T$5:$T$554,$K69)="","",INDEX('Prospect Tracker'!$T$5:$T$554,$K69)))</f>
        <v/>
      </c>
      <c r="J69" s="6" t="str">
        <f aca="false">IF($K69="","",IF(INDEX('Prospect Tracker'!$L$5:$L$554,$K69)="","",INDEX('Prospect Tracker'!$L$5:$L$554,$K69)))</f>
        <v/>
      </c>
      <c r="K69" s="1" t="n">
        <f aca="false">IFERROR(MATCH(SMALL('Prospect Tracker'!$X$5:$X$554,ROW()-4),'Prospect Tracker'!$X$5:$X$554,0),"")</f>
        <v>65</v>
      </c>
    </row>
    <row r="70" customFormat="false" ht="15" hidden="false" customHeight="true" outlineLevel="0" collapsed="false">
      <c r="A70" s="11" t="str">
        <f aca="false">IF($K70="","",IF(INDEX('Prospect Tracker'!$W$5:$W$554,$K70)="","",INDEX('Prospect Tracker'!$W$5:$W$554,$K70)))</f>
        <v/>
      </c>
      <c r="B70" s="11" t="str">
        <f aca="false">IF($K70="","",IF(INDEX('Prospect Tracker'!$A$5:$A$554,$K70)="","",INDEX('Prospect Tracker'!$A$5:$A$554,$K70)))</f>
        <v/>
      </c>
      <c r="C70" s="11" t="str">
        <f aca="false">IF($K70="","",IF(INDEX('Prospect Tracker'!$B$5:$B$554,$K70)="","",INDEX('Prospect Tracker'!$B$5:$B$554,$K70)))</f>
        <v/>
      </c>
      <c r="D70" s="11" t="str">
        <f aca="false">IF($K70="","",IF(INDEX('Prospect Tracker'!$M$5:$M$554,$K70)="","",INDEX('Prospect Tracker'!$M$5:$M$554,$K70)))</f>
        <v/>
      </c>
      <c r="E70" s="11" t="str">
        <f aca="false">IF($K70="","",IF(INDEX('Prospect Tracker'!$R$5:$R$554,$K70)="","",INDEX('Prospect Tracker'!$R$5:$R$554,$K70)))</f>
        <v/>
      </c>
      <c r="F70" s="11" t="str">
        <f aca="false">IF($K70="","",IF(INDEX('Prospect Tracker'!$J$5:$J$554,$K70)="","",INDEX('Prospect Tracker'!$J$5:$J$554,$K70)))</f>
        <v/>
      </c>
      <c r="G70" s="11" t="str">
        <f aca="false">IF($K70="","",IF(INDEX('Prospect Tracker'!$H$5:$H$554,$K70)="","",INDEX('Prospect Tracker'!$H$5:$H$554,$K70)))</f>
        <v/>
      </c>
      <c r="H70" s="12" t="str">
        <f aca="false">IF($K70="","",IF(INDEX('Prospect Tracker'!$K$5:$K$554,$K70)="","",INDEX('Prospect Tracker'!$K$5:$K$554,$K70)))</f>
        <v/>
      </c>
      <c r="I70" s="11" t="str">
        <f aca="false">IF($K70="","",IF(INDEX('Prospect Tracker'!$T$5:$T$554,$K70)="","",INDEX('Prospect Tracker'!$T$5:$T$554,$K70)))</f>
        <v/>
      </c>
      <c r="J70" s="11" t="str">
        <f aca="false">IF($K70="","",IF(INDEX('Prospect Tracker'!$L$5:$L$554,$K70)="","",INDEX('Prospect Tracker'!$L$5:$L$554,$K70)))</f>
        <v/>
      </c>
      <c r="K70" s="1" t="n">
        <f aca="false">IFERROR(MATCH(SMALL('Prospect Tracker'!$X$5:$X$554,ROW()-4),'Prospect Tracker'!$X$5:$X$554,0),"")</f>
        <v>66</v>
      </c>
    </row>
    <row r="71" customFormat="false" ht="15" hidden="false" customHeight="true" outlineLevel="0" collapsed="false">
      <c r="A71" s="6" t="str">
        <f aca="false">IF($K71="","",IF(INDEX('Prospect Tracker'!$W$5:$W$554,$K71)="","",INDEX('Prospect Tracker'!$W$5:$W$554,$K71)))</f>
        <v/>
      </c>
      <c r="B71" s="6" t="str">
        <f aca="false">IF($K71="","",IF(INDEX('Prospect Tracker'!$A$5:$A$554,$K71)="","",INDEX('Prospect Tracker'!$A$5:$A$554,$K71)))</f>
        <v/>
      </c>
      <c r="C71" s="6" t="str">
        <f aca="false">IF($K71="","",IF(INDEX('Prospect Tracker'!$B$5:$B$554,$K71)="","",INDEX('Prospect Tracker'!$B$5:$B$554,$K71)))</f>
        <v/>
      </c>
      <c r="D71" s="6" t="str">
        <f aca="false">IF($K71="","",IF(INDEX('Prospect Tracker'!$M$5:$M$554,$K71)="","",INDEX('Prospect Tracker'!$M$5:$M$554,$K71)))</f>
        <v/>
      </c>
      <c r="E71" s="6" t="str">
        <f aca="false">IF($K71="","",IF(INDEX('Prospect Tracker'!$R$5:$R$554,$K71)="","",INDEX('Prospect Tracker'!$R$5:$R$554,$K71)))</f>
        <v/>
      </c>
      <c r="F71" s="6" t="str">
        <f aca="false">IF($K71="","",IF(INDEX('Prospect Tracker'!$J$5:$J$554,$K71)="","",INDEX('Prospect Tracker'!$J$5:$J$554,$K71)))</f>
        <v/>
      </c>
      <c r="G71" s="6" t="str">
        <f aca="false">IF($K71="","",IF(INDEX('Prospect Tracker'!$H$5:$H$554,$K71)="","",INDEX('Prospect Tracker'!$H$5:$H$554,$K71)))</f>
        <v/>
      </c>
      <c r="H71" s="7" t="str">
        <f aca="false">IF($K71="","",IF(INDEX('Prospect Tracker'!$K$5:$K$554,$K71)="","",INDEX('Prospect Tracker'!$K$5:$K$554,$K71)))</f>
        <v/>
      </c>
      <c r="I71" s="6" t="str">
        <f aca="false">IF($K71="","",IF(INDEX('Prospect Tracker'!$T$5:$T$554,$K71)="","",INDEX('Prospect Tracker'!$T$5:$T$554,$K71)))</f>
        <v/>
      </c>
      <c r="J71" s="6" t="str">
        <f aca="false">IF($K71="","",IF(INDEX('Prospect Tracker'!$L$5:$L$554,$K71)="","",INDEX('Prospect Tracker'!$L$5:$L$554,$K71)))</f>
        <v/>
      </c>
      <c r="K71" s="1" t="n">
        <f aca="false">IFERROR(MATCH(SMALL('Prospect Tracker'!$X$5:$X$554,ROW()-4),'Prospect Tracker'!$X$5:$X$554,0),"")</f>
        <v>67</v>
      </c>
    </row>
    <row r="72" customFormat="false" ht="15" hidden="false" customHeight="true" outlineLevel="0" collapsed="false">
      <c r="A72" s="11" t="str">
        <f aca="false">IF($K72="","",IF(INDEX('Prospect Tracker'!$W$5:$W$554,$K72)="","",INDEX('Prospect Tracker'!$W$5:$W$554,$K72)))</f>
        <v/>
      </c>
      <c r="B72" s="11" t="str">
        <f aca="false">IF($K72="","",IF(INDEX('Prospect Tracker'!$A$5:$A$554,$K72)="","",INDEX('Prospect Tracker'!$A$5:$A$554,$K72)))</f>
        <v/>
      </c>
      <c r="C72" s="11" t="str">
        <f aca="false">IF($K72="","",IF(INDEX('Prospect Tracker'!$B$5:$B$554,$K72)="","",INDEX('Prospect Tracker'!$B$5:$B$554,$K72)))</f>
        <v/>
      </c>
      <c r="D72" s="11" t="str">
        <f aca="false">IF($K72="","",IF(INDEX('Prospect Tracker'!$M$5:$M$554,$K72)="","",INDEX('Prospect Tracker'!$M$5:$M$554,$K72)))</f>
        <v/>
      </c>
      <c r="E72" s="11" t="str">
        <f aca="false">IF($K72="","",IF(INDEX('Prospect Tracker'!$R$5:$R$554,$K72)="","",INDEX('Prospect Tracker'!$R$5:$R$554,$K72)))</f>
        <v/>
      </c>
      <c r="F72" s="11" t="str">
        <f aca="false">IF($K72="","",IF(INDEX('Prospect Tracker'!$J$5:$J$554,$K72)="","",INDEX('Prospect Tracker'!$J$5:$J$554,$K72)))</f>
        <v/>
      </c>
      <c r="G72" s="11" t="str">
        <f aca="false">IF($K72="","",IF(INDEX('Prospect Tracker'!$H$5:$H$554,$K72)="","",INDEX('Prospect Tracker'!$H$5:$H$554,$K72)))</f>
        <v/>
      </c>
      <c r="H72" s="12" t="str">
        <f aca="false">IF($K72="","",IF(INDEX('Prospect Tracker'!$K$5:$K$554,$K72)="","",INDEX('Prospect Tracker'!$K$5:$K$554,$K72)))</f>
        <v/>
      </c>
      <c r="I72" s="11" t="str">
        <f aca="false">IF($K72="","",IF(INDEX('Prospect Tracker'!$T$5:$T$554,$K72)="","",INDEX('Prospect Tracker'!$T$5:$T$554,$K72)))</f>
        <v/>
      </c>
      <c r="J72" s="11" t="str">
        <f aca="false">IF($K72="","",IF(INDEX('Prospect Tracker'!$L$5:$L$554,$K72)="","",INDEX('Prospect Tracker'!$L$5:$L$554,$K72)))</f>
        <v/>
      </c>
      <c r="K72" s="1" t="n">
        <f aca="false">IFERROR(MATCH(SMALL('Prospect Tracker'!$X$5:$X$554,ROW()-4),'Prospect Tracker'!$X$5:$X$554,0),"")</f>
        <v>68</v>
      </c>
    </row>
    <row r="73" customFormat="false" ht="15" hidden="false" customHeight="true" outlineLevel="0" collapsed="false">
      <c r="A73" s="6" t="str">
        <f aca="false">IF($K73="","",IF(INDEX('Prospect Tracker'!$W$5:$W$554,$K73)="","",INDEX('Prospect Tracker'!$W$5:$W$554,$K73)))</f>
        <v/>
      </c>
      <c r="B73" s="6" t="str">
        <f aca="false">IF($K73="","",IF(INDEX('Prospect Tracker'!$A$5:$A$554,$K73)="","",INDEX('Prospect Tracker'!$A$5:$A$554,$K73)))</f>
        <v/>
      </c>
      <c r="C73" s="6" t="str">
        <f aca="false">IF($K73="","",IF(INDEX('Prospect Tracker'!$B$5:$B$554,$K73)="","",INDEX('Prospect Tracker'!$B$5:$B$554,$K73)))</f>
        <v/>
      </c>
      <c r="D73" s="6" t="str">
        <f aca="false">IF($K73="","",IF(INDEX('Prospect Tracker'!$M$5:$M$554,$K73)="","",INDEX('Prospect Tracker'!$M$5:$M$554,$K73)))</f>
        <v/>
      </c>
      <c r="E73" s="6" t="str">
        <f aca="false">IF($K73="","",IF(INDEX('Prospect Tracker'!$R$5:$R$554,$K73)="","",INDEX('Prospect Tracker'!$R$5:$R$554,$K73)))</f>
        <v/>
      </c>
      <c r="F73" s="6" t="str">
        <f aca="false">IF($K73="","",IF(INDEX('Prospect Tracker'!$J$5:$J$554,$K73)="","",INDEX('Prospect Tracker'!$J$5:$J$554,$K73)))</f>
        <v/>
      </c>
      <c r="G73" s="6" t="str">
        <f aca="false">IF($K73="","",IF(INDEX('Prospect Tracker'!$H$5:$H$554,$K73)="","",INDEX('Prospect Tracker'!$H$5:$H$554,$K73)))</f>
        <v/>
      </c>
      <c r="H73" s="7" t="str">
        <f aca="false">IF($K73="","",IF(INDEX('Prospect Tracker'!$K$5:$K$554,$K73)="","",INDEX('Prospect Tracker'!$K$5:$K$554,$K73)))</f>
        <v/>
      </c>
      <c r="I73" s="6" t="str">
        <f aca="false">IF($K73="","",IF(INDEX('Prospect Tracker'!$T$5:$T$554,$K73)="","",INDEX('Prospect Tracker'!$T$5:$T$554,$K73)))</f>
        <v/>
      </c>
      <c r="J73" s="6" t="str">
        <f aca="false">IF($K73="","",IF(INDEX('Prospect Tracker'!$L$5:$L$554,$K73)="","",INDEX('Prospect Tracker'!$L$5:$L$554,$K73)))</f>
        <v/>
      </c>
      <c r="K73" s="1" t="n">
        <f aca="false">IFERROR(MATCH(SMALL('Prospect Tracker'!$X$5:$X$554,ROW()-4),'Prospect Tracker'!$X$5:$X$554,0),"")</f>
        <v>69</v>
      </c>
    </row>
    <row r="74" customFormat="false" ht="15" hidden="false" customHeight="true" outlineLevel="0" collapsed="false">
      <c r="A74" s="11" t="str">
        <f aca="false">IF($K74="","",IF(INDEX('Prospect Tracker'!$W$5:$W$554,$K74)="","",INDEX('Prospect Tracker'!$W$5:$W$554,$K74)))</f>
        <v/>
      </c>
      <c r="B74" s="11" t="str">
        <f aca="false">IF($K74="","",IF(INDEX('Prospect Tracker'!$A$5:$A$554,$K74)="","",INDEX('Prospect Tracker'!$A$5:$A$554,$K74)))</f>
        <v/>
      </c>
      <c r="C74" s="11" t="str">
        <f aca="false">IF($K74="","",IF(INDEX('Prospect Tracker'!$B$5:$B$554,$K74)="","",INDEX('Prospect Tracker'!$B$5:$B$554,$K74)))</f>
        <v/>
      </c>
      <c r="D74" s="11" t="str">
        <f aca="false">IF($K74="","",IF(INDEX('Prospect Tracker'!$M$5:$M$554,$K74)="","",INDEX('Prospect Tracker'!$M$5:$M$554,$K74)))</f>
        <v/>
      </c>
      <c r="E74" s="11" t="str">
        <f aca="false">IF($K74="","",IF(INDEX('Prospect Tracker'!$R$5:$R$554,$K74)="","",INDEX('Prospect Tracker'!$R$5:$R$554,$K74)))</f>
        <v/>
      </c>
      <c r="F74" s="11" t="str">
        <f aca="false">IF($K74="","",IF(INDEX('Prospect Tracker'!$J$5:$J$554,$K74)="","",INDEX('Prospect Tracker'!$J$5:$J$554,$K74)))</f>
        <v/>
      </c>
      <c r="G74" s="11" t="str">
        <f aca="false">IF($K74="","",IF(INDEX('Prospect Tracker'!$H$5:$H$554,$K74)="","",INDEX('Prospect Tracker'!$H$5:$H$554,$K74)))</f>
        <v/>
      </c>
      <c r="H74" s="12" t="str">
        <f aca="false">IF($K74="","",IF(INDEX('Prospect Tracker'!$K$5:$K$554,$K74)="","",INDEX('Prospect Tracker'!$K$5:$K$554,$K74)))</f>
        <v/>
      </c>
      <c r="I74" s="11" t="str">
        <f aca="false">IF($K74="","",IF(INDEX('Prospect Tracker'!$T$5:$T$554,$K74)="","",INDEX('Prospect Tracker'!$T$5:$T$554,$K74)))</f>
        <v/>
      </c>
      <c r="J74" s="11" t="str">
        <f aca="false">IF($K74="","",IF(INDEX('Prospect Tracker'!$L$5:$L$554,$K74)="","",INDEX('Prospect Tracker'!$L$5:$L$554,$K74)))</f>
        <v/>
      </c>
      <c r="K74" s="1" t="n">
        <f aca="false">IFERROR(MATCH(SMALL('Prospect Tracker'!$X$5:$X$554,ROW()-4),'Prospect Tracker'!$X$5:$X$554,0),"")</f>
        <v>70</v>
      </c>
    </row>
    <row r="75" customFormat="false" ht="15" hidden="false" customHeight="true" outlineLevel="0" collapsed="false">
      <c r="A75" s="6" t="str">
        <f aca="false">IF($K75="","",IF(INDEX('Prospect Tracker'!$W$5:$W$554,$K75)="","",INDEX('Prospect Tracker'!$W$5:$W$554,$K75)))</f>
        <v/>
      </c>
      <c r="B75" s="6" t="str">
        <f aca="false">IF($K75="","",IF(INDEX('Prospect Tracker'!$A$5:$A$554,$K75)="","",INDEX('Prospect Tracker'!$A$5:$A$554,$K75)))</f>
        <v/>
      </c>
      <c r="C75" s="6" t="str">
        <f aca="false">IF($K75="","",IF(INDEX('Prospect Tracker'!$B$5:$B$554,$K75)="","",INDEX('Prospect Tracker'!$B$5:$B$554,$K75)))</f>
        <v/>
      </c>
      <c r="D75" s="6" t="str">
        <f aca="false">IF($K75="","",IF(INDEX('Prospect Tracker'!$M$5:$M$554,$K75)="","",INDEX('Prospect Tracker'!$M$5:$M$554,$K75)))</f>
        <v/>
      </c>
      <c r="E75" s="6" t="str">
        <f aca="false">IF($K75="","",IF(INDEX('Prospect Tracker'!$R$5:$R$554,$K75)="","",INDEX('Prospect Tracker'!$R$5:$R$554,$K75)))</f>
        <v/>
      </c>
      <c r="F75" s="6" t="str">
        <f aca="false">IF($K75="","",IF(INDEX('Prospect Tracker'!$J$5:$J$554,$K75)="","",INDEX('Prospect Tracker'!$J$5:$J$554,$K75)))</f>
        <v/>
      </c>
      <c r="G75" s="6" t="str">
        <f aca="false">IF($K75="","",IF(INDEX('Prospect Tracker'!$H$5:$H$554,$K75)="","",INDEX('Prospect Tracker'!$H$5:$H$554,$K75)))</f>
        <v/>
      </c>
      <c r="H75" s="7" t="str">
        <f aca="false">IF($K75="","",IF(INDEX('Prospect Tracker'!$K$5:$K$554,$K75)="","",INDEX('Prospect Tracker'!$K$5:$K$554,$K75)))</f>
        <v/>
      </c>
      <c r="I75" s="6" t="str">
        <f aca="false">IF($K75="","",IF(INDEX('Prospect Tracker'!$T$5:$T$554,$K75)="","",INDEX('Prospect Tracker'!$T$5:$T$554,$K75)))</f>
        <v/>
      </c>
      <c r="J75" s="6" t="str">
        <f aca="false">IF($K75="","",IF(INDEX('Prospect Tracker'!$L$5:$L$554,$K75)="","",INDEX('Prospect Tracker'!$L$5:$L$554,$K75)))</f>
        <v/>
      </c>
      <c r="K75" s="1" t="n">
        <f aca="false">IFERROR(MATCH(SMALL('Prospect Tracker'!$X$5:$X$554,ROW()-4),'Prospect Tracker'!$X$5:$X$554,0),"")</f>
        <v>71</v>
      </c>
    </row>
    <row r="76" customFormat="false" ht="15" hidden="false" customHeight="true" outlineLevel="0" collapsed="false">
      <c r="A76" s="11" t="str">
        <f aca="false">IF($K76="","",IF(INDEX('Prospect Tracker'!$W$5:$W$554,$K76)="","",INDEX('Prospect Tracker'!$W$5:$W$554,$K76)))</f>
        <v/>
      </c>
      <c r="B76" s="11" t="str">
        <f aca="false">IF($K76="","",IF(INDEX('Prospect Tracker'!$A$5:$A$554,$K76)="","",INDEX('Prospect Tracker'!$A$5:$A$554,$K76)))</f>
        <v/>
      </c>
      <c r="C76" s="11" t="str">
        <f aca="false">IF($K76="","",IF(INDEX('Prospect Tracker'!$B$5:$B$554,$K76)="","",INDEX('Prospect Tracker'!$B$5:$B$554,$K76)))</f>
        <v/>
      </c>
      <c r="D76" s="11" t="str">
        <f aca="false">IF($K76="","",IF(INDEX('Prospect Tracker'!$M$5:$M$554,$K76)="","",INDEX('Prospect Tracker'!$M$5:$M$554,$K76)))</f>
        <v/>
      </c>
      <c r="E76" s="11" t="str">
        <f aca="false">IF($K76="","",IF(INDEX('Prospect Tracker'!$R$5:$R$554,$K76)="","",INDEX('Prospect Tracker'!$R$5:$R$554,$K76)))</f>
        <v/>
      </c>
      <c r="F76" s="11" t="str">
        <f aca="false">IF($K76="","",IF(INDEX('Prospect Tracker'!$J$5:$J$554,$K76)="","",INDEX('Prospect Tracker'!$J$5:$J$554,$K76)))</f>
        <v/>
      </c>
      <c r="G76" s="11" t="str">
        <f aca="false">IF($K76="","",IF(INDEX('Prospect Tracker'!$H$5:$H$554,$K76)="","",INDEX('Prospect Tracker'!$H$5:$H$554,$K76)))</f>
        <v/>
      </c>
      <c r="H76" s="12" t="str">
        <f aca="false">IF($K76="","",IF(INDEX('Prospect Tracker'!$K$5:$K$554,$K76)="","",INDEX('Prospect Tracker'!$K$5:$K$554,$K76)))</f>
        <v/>
      </c>
      <c r="I76" s="11" t="str">
        <f aca="false">IF($K76="","",IF(INDEX('Prospect Tracker'!$T$5:$T$554,$K76)="","",INDEX('Prospect Tracker'!$T$5:$T$554,$K76)))</f>
        <v/>
      </c>
      <c r="J76" s="11" t="str">
        <f aca="false">IF($K76="","",IF(INDEX('Prospect Tracker'!$L$5:$L$554,$K76)="","",INDEX('Prospect Tracker'!$L$5:$L$554,$K76)))</f>
        <v/>
      </c>
      <c r="K76" s="1" t="n">
        <f aca="false">IFERROR(MATCH(SMALL('Prospect Tracker'!$X$5:$X$554,ROW()-4),'Prospect Tracker'!$X$5:$X$554,0),"")</f>
        <v>72</v>
      </c>
    </row>
    <row r="77" customFormat="false" ht="15" hidden="false" customHeight="true" outlineLevel="0" collapsed="false">
      <c r="A77" s="6" t="str">
        <f aca="false">IF($K77="","",IF(INDEX('Prospect Tracker'!$W$5:$W$554,$K77)="","",INDEX('Prospect Tracker'!$W$5:$W$554,$K77)))</f>
        <v/>
      </c>
      <c r="B77" s="6" t="str">
        <f aca="false">IF($K77="","",IF(INDEX('Prospect Tracker'!$A$5:$A$554,$K77)="","",INDEX('Prospect Tracker'!$A$5:$A$554,$K77)))</f>
        <v/>
      </c>
      <c r="C77" s="6" t="str">
        <f aca="false">IF($K77="","",IF(INDEX('Prospect Tracker'!$B$5:$B$554,$K77)="","",INDEX('Prospect Tracker'!$B$5:$B$554,$K77)))</f>
        <v/>
      </c>
      <c r="D77" s="6" t="str">
        <f aca="false">IF($K77="","",IF(INDEX('Prospect Tracker'!$M$5:$M$554,$K77)="","",INDEX('Prospect Tracker'!$M$5:$M$554,$K77)))</f>
        <v/>
      </c>
      <c r="E77" s="6" t="str">
        <f aca="false">IF($K77="","",IF(INDEX('Prospect Tracker'!$R$5:$R$554,$K77)="","",INDEX('Prospect Tracker'!$R$5:$R$554,$K77)))</f>
        <v/>
      </c>
      <c r="F77" s="6" t="str">
        <f aca="false">IF($K77="","",IF(INDEX('Prospect Tracker'!$J$5:$J$554,$K77)="","",INDEX('Prospect Tracker'!$J$5:$J$554,$K77)))</f>
        <v/>
      </c>
      <c r="G77" s="6" t="str">
        <f aca="false">IF($K77="","",IF(INDEX('Prospect Tracker'!$H$5:$H$554,$K77)="","",INDEX('Prospect Tracker'!$H$5:$H$554,$K77)))</f>
        <v/>
      </c>
      <c r="H77" s="7" t="str">
        <f aca="false">IF($K77="","",IF(INDEX('Prospect Tracker'!$K$5:$K$554,$K77)="","",INDEX('Prospect Tracker'!$K$5:$K$554,$K77)))</f>
        <v/>
      </c>
      <c r="I77" s="6" t="str">
        <f aca="false">IF($K77="","",IF(INDEX('Prospect Tracker'!$T$5:$T$554,$K77)="","",INDEX('Prospect Tracker'!$T$5:$T$554,$K77)))</f>
        <v/>
      </c>
      <c r="J77" s="6" t="str">
        <f aca="false">IF($K77="","",IF(INDEX('Prospect Tracker'!$L$5:$L$554,$K77)="","",INDEX('Prospect Tracker'!$L$5:$L$554,$K77)))</f>
        <v/>
      </c>
      <c r="K77" s="1" t="n">
        <f aca="false">IFERROR(MATCH(SMALL('Prospect Tracker'!$X$5:$X$554,ROW()-4),'Prospect Tracker'!$X$5:$X$554,0),"")</f>
        <v>73</v>
      </c>
    </row>
    <row r="78" customFormat="false" ht="15" hidden="false" customHeight="true" outlineLevel="0" collapsed="false">
      <c r="A78" s="11" t="str">
        <f aca="false">IF($K78="","",IF(INDEX('Prospect Tracker'!$W$5:$W$554,$K78)="","",INDEX('Prospect Tracker'!$W$5:$W$554,$K78)))</f>
        <v/>
      </c>
      <c r="B78" s="11" t="str">
        <f aca="false">IF($K78="","",IF(INDEX('Prospect Tracker'!$A$5:$A$554,$K78)="","",INDEX('Prospect Tracker'!$A$5:$A$554,$K78)))</f>
        <v/>
      </c>
      <c r="C78" s="11" t="str">
        <f aca="false">IF($K78="","",IF(INDEX('Prospect Tracker'!$B$5:$B$554,$K78)="","",INDEX('Prospect Tracker'!$B$5:$B$554,$K78)))</f>
        <v/>
      </c>
      <c r="D78" s="11" t="str">
        <f aca="false">IF($K78="","",IF(INDEX('Prospect Tracker'!$M$5:$M$554,$K78)="","",INDEX('Prospect Tracker'!$M$5:$M$554,$K78)))</f>
        <v/>
      </c>
      <c r="E78" s="11" t="str">
        <f aca="false">IF($K78="","",IF(INDEX('Prospect Tracker'!$R$5:$R$554,$K78)="","",INDEX('Prospect Tracker'!$R$5:$R$554,$K78)))</f>
        <v/>
      </c>
      <c r="F78" s="11" t="str">
        <f aca="false">IF($K78="","",IF(INDEX('Prospect Tracker'!$J$5:$J$554,$K78)="","",INDEX('Prospect Tracker'!$J$5:$J$554,$K78)))</f>
        <v/>
      </c>
      <c r="G78" s="11" t="str">
        <f aca="false">IF($K78="","",IF(INDEX('Prospect Tracker'!$H$5:$H$554,$K78)="","",INDEX('Prospect Tracker'!$H$5:$H$554,$K78)))</f>
        <v/>
      </c>
      <c r="H78" s="12" t="str">
        <f aca="false">IF($K78="","",IF(INDEX('Prospect Tracker'!$K$5:$K$554,$K78)="","",INDEX('Prospect Tracker'!$K$5:$K$554,$K78)))</f>
        <v/>
      </c>
      <c r="I78" s="11" t="str">
        <f aca="false">IF($K78="","",IF(INDEX('Prospect Tracker'!$T$5:$T$554,$K78)="","",INDEX('Prospect Tracker'!$T$5:$T$554,$K78)))</f>
        <v/>
      </c>
      <c r="J78" s="11" t="str">
        <f aca="false">IF($K78="","",IF(INDEX('Prospect Tracker'!$L$5:$L$554,$K78)="","",INDEX('Prospect Tracker'!$L$5:$L$554,$K78)))</f>
        <v/>
      </c>
      <c r="K78" s="1" t="n">
        <f aca="false">IFERROR(MATCH(SMALL('Prospect Tracker'!$X$5:$X$554,ROW()-4),'Prospect Tracker'!$X$5:$X$554,0),"")</f>
        <v>74</v>
      </c>
    </row>
    <row r="79" customFormat="false" ht="15" hidden="false" customHeight="true" outlineLevel="0" collapsed="false">
      <c r="A79" s="6" t="str">
        <f aca="false">IF($K79="","",IF(INDEX('Prospect Tracker'!$W$5:$W$554,$K79)="","",INDEX('Prospect Tracker'!$W$5:$W$554,$K79)))</f>
        <v/>
      </c>
      <c r="B79" s="6" t="str">
        <f aca="false">IF($K79="","",IF(INDEX('Prospect Tracker'!$A$5:$A$554,$K79)="","",INDEX('Prospect Tracker'!$A$5:$A$554,$K79)))</f>
        <v/>
      </c>
      <c r="C79" s="6" t="str">
        <f aca="false">IF($K79="","",IF(INDEX('Prospect Tracker'!$B$5:$B$554,$K79)="","",INDEX('Prospect Tracker'!$B$5:$B$554,$K79)))</f>
        <v/>
      </c>
      <c r="D79" s="6" t="str">
        <f aca="false">IF($K79="","",IF(INDEX('Prospect Tracker'!$M$5:$M$554,$K79)="","",INDEX('Prospect Tracker'!$M$5:$M$554,$K79)))</f>
        <v/>
      </c>
      <c r="E79" s="6" t="str">
        <f aca="false">IF($K79="","",IF(INDEX('Prospect Tracker'!$R$5:$R$554,$K79)="","",INDEX('Prospect Tracker'!$R$5:$R$554,$K79)))</f>
        <v/>
      </c>
      <c r="F79" s="6" t="str">
        <f aca="false">IF($K79="","",IF(INDEX('Prospect Tracker'!$J$5:$J$554,$K79)="","",INDEX('Prospect Tracker'!$J$5:$J$554,$K79)))</f>
        <v/>
      </c>
      <c r="G79" s="6" t="str">
        <f aca="false">IF($K79="","",IF(INDEX('Prospect Tracker'!$H$5:$H$554,$K79)="","",INDEX('Prospect Tracker'!$H$5:$H$554,$K79)))</f>
        <v/>
      </c>
      <c r="H79" s="7" t="str">
        <f aca="false">IF($K79="","",IF(INDEX('Prospect Tracker'!$K$5:$K$554,$K79)="","",INDEX('Prospect Tracker'!$K$5:$K$554,$K79)))</f>
        <v/>
      </c>
      <c r="I79" s="6" t="str">
        <f aca="false">IF($K79="","",IF(INDEX('Prospect Tracker'!$T$5:$T$554,$K79)="","",INDEX('Prospect Tracker'!$T$5:$T$554,$K79)))</f>
        <v/>
      </c>
      <c r="J79" s="6" t="str">
        <f aca="false">IF($K79="","",IF(INDEX('Prospect Tracker'!$L$5:$L$554,$K79)="","",INDEX('Prospect Tracker'!$L$5:$L$554,$K79)))</f>
        <v/>
      </c>
      <c r="K79" s="1" t="n">
        <f aca="false">IFERROR(MATCH(SMALL('Prospect Tracker'!$X$5:$X$554,ROW()-4),'Prospect Tracker'!$X$5:$X$554,0),"")</f>
        <v>75</v>
      </c>
    </row>
    <row r="80" customFormat="false" ht="15" hidden="false" customHeight="true" outlineLevel="0" collapsed="false">
      <c r="A80" s="11" t="str">
        <f aca="false">IF($K80="","",IF(INDEX('Prospect Tracker'!$W$5:$W$554,$K80)="","",INDEX('Prospect Tracker'!$W$5:$W$554,$K80)))</f>
        <v/>
      </c>
      <c r="B80" s="11" t="str">
        <f aca="false">IF($K80="","",IF(INDEX('Prospect Tracker'!$A$5:$A$554,$K80)="","",INDEX('Prospect Tracker'!$A$5:$A$554,$K80)))</f>
        <v/>
      </c>
      <c r="C80" s="11" t="str">
        <f aca="false">IF($K80="","",IF(INDEX('Prospect Tracker'!$B$5:$B$554,$K80)="","",INDEX('Prospect Tracker'!$B$5:$B$554,$K80)))</f>
        <v/>
      </c>
      <c r="D80" s="11" t="str">
        <f aca="false">IF($K80="","",IF(INDEX('Prospect Tracker'!$M$5:$M$554,$K80)="","",INDEX('Prospect Tracker'!$M$5:$M$554,$K80)))</f>
        <v/>
      </c>
      <c r="E80" s="11" t="str">
        <f aca="false">IF($K80="","",IF(INDEX('Prospect Tracker'!$R$5:$R$554,$K80)="","",INDEX('Prospect Tracker'!$R$5:$R$554,$K80)))</f>
        <v/>
      </c>
      <c r="F80" s="11" t="str">
        <f aca="false">IF($K80="","",IF(INDEX('Prospect Tracker'!$J$5:$J$554,$K80)="","",INDEX('Prospect Tracker'!$J$5:$J$554,$K80)))</f>
        <v/>
      </c>
      <c r="G80" s="11" t="str">
        <f aca="false">IF($K80="","",IF(INDEX('Prospect Tracker'!$H$5:$H$554,$K80)="","",INDEX('Prospect Tracker'!$H$5:$H$554,$K80)))</f>
        <v/>
      </c>
      <c r="H80" s="12" t="str">
        <f aca="false">IF($K80="","",IF(INDEX('Prospect Tracker'!$K$5:$K$554,$K80)="","",INDEX('Prospect Tracker'!$K$5:$K$554,$K80)))</f>
        <v/>
      </c>
      <c r="I80" s="11" t="str">
        <f aca="false">IF($K80="","",IF(INDEX('Prospect Tracker'!$T$5:$T$554,$K80)="","",INDEX('Prospect Tracker'!$T$5:$T$554,$K80)))</f>
        <v/>
      </c>
      <c r="J80" s="11" t="str">
        <f aca="false">IF($K80="","",IF(INDEX('Prospect Tracker'!$L$5:$L$554,$K80)="","",INDEX('Prospect Tracker'!$L$5:$L$554,$K80)))</f>
        <v/>
      </c>
      <c r="K80" s="1" t="n">
        <f aca="false">IFERROR(MATCH(SMALL('Prospect Tracker'!$X$5:$X$554,ROW()-4),'Prospect Tracker'!$X$5:$X$554,0),"")</f>
        <v>76</v>
      </c>
    </row>
    <row r="81" customFormat="false" ht="15" hidden="false" customHeight="true" outlineLevel="0" collapsed="false">
      <c r="A81" s="6" t="str">
        <f aca="false">IF($K81="","",IF(INDEX('Prospect Tracker'!$W$5:$W$554,$K81)="","",INDEX('Prospect Tracker'!$W$5:$W$554,$K81)))</f>
        <v/>
      </c>
      <c r="B81" s="6" t="str">
        <f aca="false">IF($K81="","",IF(INDEX('Prospect Tracker'!$A$5:$A$554,$K81)="","",INDEX('Prospect Tracker'!$A$5:$A$554,$K81)))</f>
        <v/>
      </c>
      <c r="C81" s="6" t="str">
        <f aca="false">IF($K81="","",IF(INDEX('Prospect Tracker'!$B$5:$B$554,$K81)="","",INDEX('Prospect Tracker'!$B$5:$B$554,$K81)))</f>
        <v/>
      </c>
      <c r="D81" s="6" t="str">
        <f aca="false">IF($K81="","",IF(INDEX('Prospect Tracker'!$M$5:$M$554,$K81)="","",INDEX('Prospect Tracker'!$M$5:$M$554,$K81)))</f>
        <v/>
      </c>
      <c r="E81" s="6" t="str">
        <f aca="false">IF($K81="","",IF(INDEX('Prospect Tracker'!$R$5:$R$554,$K81)="","",INDEX('Prospect Tracker'!$R$5:$R$554,$K81)))</f>
        <v/>
      </c>
      <c r="F81" s="6" t="str">
        <f aca="false">IF($K81="","",IF(INDEX('Prospect Tracker'!$J$5:$J$554,$K81)="","",INDEX('Prospect Tracker'!$J$5:$J$554,$K81)))</f>
        <v/>
      </c>
      <c r="G81" s="6" t="str">
        <f aca="false">IF($K81="","",IF(INDEX('Prospect Tracker'!$H$5:$H$554,$K81)="","",INDEX('Prospect Tracker'!$H$5:$H$554,$K81)))</f>
        <v/>
      </c>
      <c r="H81" s="7" t="str">
        <f aca="false">IF($K81="","",IF(INDEX('Prospect Tracker'!$K$5:$K$554,$K81)="","",INDEX('Prospect Tracker'!$K$5:$K$554,$K81)))</f>
        <v/>
      </c>
      <c r="I81" s="6" t="str">
        <f aca="false">IF($K81="","",IF(INDEX('Prospect Tracker'!$T$5:$T$554,$K81)="","",INDEX('Prospect Tracker'!$T$5:$T$554,$K81)))</f>
        <v/>
      </c>
      <c r="J81" s="6" t="str">
        <f aca="false">IF($K81="","",IF(INDEX('Prospect Tracker'!$L$5:$L$554,$K81)="","",INDEX('Prospect Tracker'!$L$5:$L$554,$K81)))</f>
        <v/>
      </c>
      <c r="K81" s="1" t="n">
        <f aca="false">IFERROR(MATCH(SMALL('Prospect Tracker'!$X$5:$X$554,ROW()-4),'Prospect Tracker'!$X$5:$X$554,0),"")</f>
        <v>77</v>
      </c>
    </row>
    <row r="82" customFormat="false" ht="15" hidden="false" customHeight="true" outlineLevel="0" collapsed="false">
      <c r="A82" s="11" t="str">
        <f aca="false">IF($K82="","",IF(INDEX('Prospect Tracker'!$W$5:$W$554,$K82)="","",INDEX('Prospect Tracker'!$W$5:$W$554,$K82)))</f>
        <v/>
      </c>
      <c r="B82" s="11" t="str">
        <f aca="false">IF($K82="","",IF(INDEX('Prospect Tracker'!$A$5:$A$554,$K82)="","",INDEX('Prospect Tracker'!$A$5:$A$554,$K82)))</f>
        <v/>
      </c>
      <c r="C82" s="11" t="str">
        <f aca="false">IF($K82="","",IF(INDEX('Prospect Tracker'!$B$5:$B$554,$K82)="","",INDEX('Prospect Tracker'!$B$5:$B$554,$K82)))</f>
        <v/>
      </c>
      <c r="D82" s="11" t="str">
        <f aca="false">IF($K82="","",IF(INDEX('Prospect Tracker'!$M$5:$M$554,$K82)="","",INDEX('Prospect Tracker'!$M$5:$M$554,$K82)))</f>
        <v/>
      </c>
      <c r="E82" s="11" t="str">
        <f aca="false">IF($K82="","",IF(INDEX('Prospect Tracker'!$R$5:$R$554,$K82)="","",INDEX('Prospect Tracker'!$R$5:$R$554,$K82)))</f>
        <v/>
      </c>
      <c r="F82" s="11" t="str">
        <f aca="false">IF($K82="","",IF(INDEX('Prospect Tracker'!$J$5:$J$554,$K82)="","",INDEX('Prospect Tracker'!$J$5:$J$554,$K82)))</f>
        <v/>
      </c>
      <c r="G82" s="11" t="str">
        <f aca="false">IF($K82="","",IF(INDEX('Prospect Tracker'!$H$5:$H$554,$K82)="","",INDEX('Prospect Tracker'!$H$5:$H$554,$K82)))</f>
        <v/>
      </c>
      <c r="H82" s="12" t="str">
        <f aca="false">IF($K82="","",IF(INDEX('Prospect Tracker'!$K$5:$K$554,$K82)="","",INDEX('Prospect Tracker'!$K$5:$K$554,$K82)))</f>
        <v/>
      </c>
      <c r="I82" s="11" t="str">
        <f aca="false">IF($K82="","",IF(INDEX('Prospect Tracker'!$T$5:$T$554,$K82)="","",INDEX('Prospect Tracker'!$T$5:$T$554,$K82)))</f>
        <v/>
      </c>
      <c r="J82" s="11" t="str">
        <f aca="false">IF($K82="","",IF(INDEX('Prospect Tracker'!$L$5:$L$554,$K82)="","",INDEX('Prospect Tracker'!$L$5:$L$554,$K82)))</f>
        <v/>
      </c>
      <c r="K82" s="1" t="n">
        <f aca="false">IFERROR(MATCH(SMALL('Prospect Tracker'!$X$5:$X$554,ROW()-4),'Prospect Tracker'!$X$5:$X$554,0),"")</f>
        <v>78</v>
      </c>
    </row>
    <row r="83" customFormat="false" ht="15" hidden="false" customHeight="true" outlineLevel="0" collapsed="false">
      <c r="A83" s="6" t="str">
        <f aca="false">IF($K83="","",IF(INDEX('Prospect Tracker'!$W$5:$W$554,$K83)="","",INDEX('Prospect Tracker'!$W$5:$W$554,$K83)))</f>
        <v/>
      </c>
      <c r="B83" s="6" t="str">
        <f aca="false">IF($K83="","",IF(INDEX('Prospect Tracker'!$A$5:$A$554,$K83)="","",INDEX('Prospect Tracker'!$A$5:$A$554,$K83)))</f>
        <v/>
      </c>
      <c r="C83" s="6" t="str">
        <f aca="false">IF($K83="","",IF(INDEX('Prospect Tracker'!$B$5:$B$554,$K83)="","",INDEX('Prospect Tracker'!$B$5:$B$554,$K83)))</f>
        <v/>
      </c>
      <c r="D83" s="6" t="str">
        <f aca="false">IF($K83="","",IF(INDEX('Prospect Tracker'!$M$5:$M$554,$K83)="","",INDEX('Prospect Tracker'!$M$5:$M$554,$K83)))</f>
        <v/>
      </c>
      <c r="E83" s="6" t="str">
        <f aca="false">IF($K83="","",IF(INDEX('Prospect Tracker'!$R$5:$R$554,$K83)="","",INDEX('Prospect Tracker'!$R$5:$R$554,$K83)))</f>
        <v/>
      </c>
      <c r="F83" s="6" t="str">
        <f aca="false">IF($K83="","",IF(INDEX('Prospect Tracker'!$J$5:$J$554,$K83)="","",INDEX('Prospect Tracker'!$J$5:$J$554,$K83)))</f>
        <v/>
      </c>
      <c r="G83" s="6" t="str">
        <f aca="false">IF($K83="","",IF(INDEX('Prospect Tracker'!$H$5:$H$554,$K83)="","",INDEX('Prospect Tracker'!$H$5:$H$554,$K83)))</f>
        <v/>
      </c>
      <c r="H83" s="7" t="str">
        <f aca="false">IF($K83="","",IF(INDEX('Prospect Tracker'!$K$5:$K$554,$K83)="","",INDEX('Prospect Tracker'!$K$5:$K$554,$K83)))</f>
        <v/>
      </c>
      <c r="I83" s="6" t="str">
        <f aca="false">IF($K83="","",IF(INDEX('Prospect Tracker'!$T$5:$T$554,$K83)="","",INDEX('Prospect Tracker'!$T$5:$T$554,$K83)))</f>
        <v/>
      </c>
      <c r="J83" s="6" t="str">
        <f aca="false">IF($K83="","",IF(INDEX('Prospect Tracker'!$L$5:$L$554,$K83)="","",INDEX('Prospect Tracker'!$L$5:$L$554,$K83)))</f>
        <v/>
      </c>
      <c r="K83" s="1" t="n">
        <f aca="false">IFERROR(MATCH(SMALL('Prospect Tracker'!$X$5:$X$554,ROW()-4),'Prospect Tracker'!$X$5:$X$554,0),"")</f>
        <v>79</v>
      </c>
    </row>
    <row r="84" customFormat="false" ht="15" hidden="false" customHeight="true" outlineLevel="0" collapsed="false">
      <c r="A84" s="11" t="str">
        <f aca="false">IF($K84="","",IF(INDEX('Prospect Tracker'!$W$5:$W$554,$K84)="","",INDEX('Prospect Tracker'!$W$5:$W$554,$K84)))</f>
        <v/>
      </c>
      <c r="B84" s="11" t="str">
        <f aca="false">IF($K84="","",IF(INDEX('Prospect Tracker'!$A$5:$A$554,$K84)="","",INDEX('Prospect Tracker'!$A$5:$A$554,$K84)))</f>
        <v/>
      </c>
      <c r="C84" s="11" t="str">
        <f aca="false">IF($K84="","",IF(INDEX('Prospect Tracker'!$B$5:$B$554,$K84)="","",INDEX('Prospect Tracker'!$B$5:$B$554,$K84)))</f>
        <v/>
      </c>
      <c r="D84" s="11" t="str">
        <f aca="false">IF($K84="","",IF(INDEX('Prospect Tracker'!$M$5:$M$554,$K84)="","",INDEX('Prospect Tracker'!$M$5:$M$554,$K84)))</f>
        <v/>
      </c>
      <c r="E84" s="11" t="str">
        <f aca="false">IF($K84="","",IF(INDEX('Prospect Tracker'!$R$5:$R$554,$K84)="","",INDEX('Prospect Tracker'!$R$5:$R$554,$K84)))</f>
        <v/>
      </c>
      <c r="F84" s="11" t="str">
        <f aca="false">IF($K84="","",IF(INDEX('Prospect Tracker'!$J$5:$J$554,$K84)="","",INDEX('Prospect Tracker'!$J$5:$J$554,$K84)))</f>
        <v/>
      </c>
      <c r="G84" s="11" t="str">
        <f aca="false">IF($K84="","",IF(INDEX('Prospect Tracker'!$H$5:$H$554,$K84)="","",INDEX('Prospect Tracker'!$H$5:$H$554,$K84)))</f>
        <v/>
      </c>
      <c r="H84" s="12" t="str">
        <f aca="false">IF($K84="","",IF(INDEX('Prospect Tracker'!$K$5:$K$554,$K84)="","",INDEX('Prospect Tracker'!$K$5:$K$554,$K84)))</f>
        <v/>
      </c>
      <c r="I84" s="11" t="str">
        <f aca="false">IF($K84="","",IF(INDEX('Prospect Tracker'!$T$5:$T$554,$K84)="","",INDEX('Prospect Tracker'!$T$5:$T$554,$K84)))</f>
        <v/>
      </c>
      <c r="J84" s="11" t="str">
        <f aca="false">IF($K84="","",IF(INDEX('Prospect Tracker'!$L$5:$L$554,$K84)="","",INDEX('Prospect Tracker'!$L$5:$L$554,$K84)))</f>
        <v/>
      </c>
      <c r="K84" s="1" t="n">
        <f aca="false">IFERROR(MATCH(SMALL('Prospect Tracker'!$X$5:$X$554,ROW()-4),'Prospect Tracker'!$X$5:$X$554,0),"")</f>
        <v>80</v>
      </c>
    </row>
    <row r="85" customFormat="false" ht="15" hidden="false" customHeight="true" outlineLevel="0" collapsed="false">
      <c r="A85" s="6" t="str">
        <f aca="false">IF($K85="","",IF(INDEX('Prospect Tracker'!$W$5:$W$554,$K85)="","",INDEX('Prospect Tracker'!$W$5:$W$554,$K85)))</f>
        <v/>
      </c>
      <c r="B85" s="6" t="str">
        <f aca="false">IF($K85="","",IF(INDEX('Prospect Tracker'!$A$5:$A$554,$K85)="","",INDEX('Prospect Tracker'!$A$5:$A$554,$K85)))</f>
        <v/>
      </c>
      <c r="C85" s="6" t="str">
        <f aca="false">IF($K85="","",IF(INDEX('Prospect Tracker'!$B$5:$B$554,$K85)="","",INDEX('Prospect Tracker'!$B$5:$B$554,$K85)))</f>
        <v/>
      </c>
      <c r="D85" s="6" t="str">
        <f aca="false">IF($K85="","",IF(INDEX('Prospect Tracker'!$M$5:$M$554,$K85)="","",INDEX('Prospect Tracker'!$M$5:$M$554,$K85)))</f>
        <v/>
      </c>
      <c r="E85" s="6" t="str">
        <f aca="false">IF($K85="","",IF(INDEX('Prospect Tracker'!$R$5:$R$554,$K85)="","",INDEX('Prospect Tracker'!$R$5:$R$554,$K85)))</f>
        <v/>
      </c>
      <c r="F85" s="6" t="str">
        <f aca="false">IF($K85="","",IF(INDEX('Prospect Tracker'!$J$5:$J$554,$K85)="","",INDEX('Prospect Tracker'!$J$5:$J$554,$K85)))</f>
        <v/>
      </c>
      <c r="G85" s="6" t="str">
        <f aca="false">IF($K85="","",IF(INDEX('Prospect Tracker'!$H$5:$H$554,$K85)="","",INDEX('Prospect Tracker'!$H$5:$H$554,$K85)))</f>
        <v/>
      </c>
      <c r="H85" s="7" t="str">
        <f aca="false">IF($K85="","",IF(INDEX('Prospect Tracker'!$K$5:$K$554,$K85)="","",INDEX('Prospect Tracker'!$K$5:$K$554,$K85)))</f>
        <v/>
      </c>
      <c r="I85" s="6" t="str">
        <f aca="false">IF($K85="","",IF(INDEX('Prospect Tracker'!$T$5:$T$554,$K85)="","",INDEX('Prospect Tracker'!$T$5:$T$554,$K85)))</f>
        <v/>
      </c>
      <c r="J85" s="6" t="str">
        <f aca="false">IF($K85="","",IF(INDEX('Prospect Tracker'!$L$5:$L$554,$K85)="","",INDEX('Prospect Tracker'!$L$5:$L$554,$K85)))</f>
        <v/>
      </c>
      <c r="K85" s="1" t="n">
        <f aca="false">IFERROR(MATCH(SMALL('Prospect Tracker'!$X$5:$X$554,ROW()-4),'Prospect Tracker'!$X$5:$X$554,0),"")</f>
        <v>81</v>
      </c>
    </row>
    <row r="86" customFormat="false" ht="15" hidden="false" customHeight="true" outlineLevel="0" collapsed="false">
      <c r="A86" s="11" t="str">
        <f aca="false">IF($K86="","",IF(INDEX('Prospect Tracker'!$W$5:$W$554,$K86)="","",INDEX('Prospect Tracker'!$W$5:$W$554,$K86)))</f>
        <v/>
      </c>
      <c r="B86" s="11" t="str">
        <f aca="false">IF($K86="","",IF(INDEX('Prospect Tracker'!$A$5:$A$554,$K86)="","",INDEX('Prospect Tracker'!$A$5:$A$554,$K86)))</f>
        <v/>
      </c>
      <c r="C86" s="11" t="str">
        <f aca="false">IF($K86="","",IF(INDEX('Prospect Tracker'!$B$5:$B$554,$K86)="","",INDEX('Prospect Tracker'!$B$5:$B$554,$K86)))</f>
        <v/>
      </c>
      <c r="D86" s="11" t="str">
        <f aca="false">IF($K86="","",IF(INDEX('Prospect Tracker'!$M$5:$M$554,$K86)="","",INDEX('Prospect Tracker'!$M$5:$M$554,$K86)))</f>
        <v/>
      </c>
      <c r="E86" s="11" t="str">
        <f aca="false">IF($K86="","",IF(INDEX('Prospect Tracker'!$R$5:$R$554,$K86)="","",INDEX('Prospect Tracker'!$R$5:$R$554,$K86)))</f>
        <v/>
      </c>
      <c r="F86" s="11" t="str">
        <f aca="false">IF($K86="","",IF(INDEX('Prospect Tracker'!$J$5:$J$554,$K86)="","",INDEX('Prospect Tracker'!$J$5:$J$554,$K86)))</f>
        <v/>
      </c>
      <c r="G86" s="11" t="str">
        <f aca="false">IF($K86="","",IF(INDEX('Prospect Tracker'!$H$5:$H$554,$K86)="","",INDEX('Prospect Tracker'!$H$5:$H$554,$K86)))</f>
        <v/>
      </c>
      <c r="H86" s="12" t="str">
        <f aca="false">IF($K86="","",IF(INDEX('Prospect Tracker'!$K$5:$K$554,$K86)="","",INDEX('Prospect Tracker'!$K$5:$K$554,$K86)))</f>
        <v/>
      </c>
      <c r="I86" s="11" t="str">
        <f aca="false">IF($K86="","",IF(INDEX('Prospect Tracker'!$T$5:$T$554,$K86)="","",INDEX('Prospect Tracker'!$T$5:$T$554,$K86)))</f>
        <v/>
      </c>
      <c r="J86" s="11" t="str">
        <f aca="false">IF($K86="","",IF(INDEX('Prospect Tracker'!$L$5:$L$554,$K86)="","",INDEX('Prospect Tracker'!$L$5:$L$554,$K86)))</f>
        <v/>
      </c>
      <c r="K86" s="1" t="n">
        <f aca="false">IFERROR(MATCH(SMALL('Prospect Tracker'!$X$5:$X$554,ROW()-4),'Prospect Tracker'!$X$5:$X$554,0),"")</f>
        <v>82</v>
      </c>
    </row>
    <row r="87" customFormat="false" ht="15" hidden="false" customHeight="true" outlineLevel="0" collapsed="false">
      <c r="A87" s="6" t="str">
        <f aca="false">IF($K87="","",IF(INDEX('Prospect Tracker'!$W$5:$W$554,$K87)="","",INDEX('Prospect Tracker'!$W$5:$W$554,$K87)))</f>
        <v/>
      </c>
      <c r="B87" s="6" t="str">
        <f aca="false">IF($K87="","",IF(INDEX('Prospect Tracker'!$A$5:$A$554,$K87)="","",INDEX('Prospect Tracker'!$A$5:$A$554,$K87)))</f>
        <v/>
      </c>
      <c r="C87" s="6" t="str">
        <f aca="false">IF($K87="","",IF(INDEX('Prospect Tracker'!$B$5:$B$554,$K87)="","",INDEX('Prospect Tracker'!$B$5:$B$554,$K87)))</f>
        <v/>
      </c>
      <c r="D87" s="6" t="str">
        <f aca="false">IF($K87="","",IF(INDEX('Prospect Tracker'!$M$5:$M$554,$K87)="","",INDEX('Prospect Tracker'!$M$5:$M$554,$K87)))</f>
        <v/>
      </c>
      <c r="E87" s="6" t="str">
        <f aca="false">IF($K87="","",IF(INDEX('Prospect Tracker'!$R$5:$R$554,$K87)="","",INDEX('Prospect Tracker'!$R$5:$R$554,$K87)))</f>
        <v/>
      </c>
      <c r="F87" s="6" t="str">
        <f aca="false">IF($K87="","",IF(INDEX('Prospect Tracker'!$J$5:$J$554,$K87)="","",INDEX('Prospect Tracker'!$J$5:$J$554,$K87)))</f>
        <v/>
      </c>
      <c r="G87" s="6" t="str">
        <f aca="false">IF($K87="","",IF(INDEX('Prospect Tracker'!$H$5:$H$554,$K87)="","",INDEX('Prospect Tracker'!$H$5:$H$554,$K87)))</f>
        <v/>
      </c>
      <c r="H87" s="7" t="str">
        <f aca="false">IF($K87="","",IF(INDEX('Prospect Tracker'!$K$5:$K$554,$K87)="","",INDEX('Prospect Tracker'!$K$5:$K$554,$K87)))</f>
        <v/>
      </c>
      <c r="I87" s="6" t="str">
        <f aca="false">IF($K87="","",IF(INDEX('Prospect Tracker'!$T$5:$T$554,$K87)="","",INDEX('Prospect Tracker'!$T$5:$T$554,$K87)))</f>
        <v/>
      </c>
      <c r="J87" s="6" t="str">
        <f aca="false">IF($K87="","",IF(INDEX('Prospect Tracker'!$L$5:$L$554,$K87)="","",INDEX('Prospect Tracker'!$L$5:$L$554,$K87)))</f>
        <v/>
      </c>
      <c r="K87" s="1" t="n">
        <f aca="false">IFERROR(MATCH(SMALL('Prospect Tracker'!$X$5:$X$554,ROW()-4),'Prospect Tracker'!$X$5:$X$554,0),"")</f>
        <v>83</v>
      </c>
    </row>
    <row r="88" customFormat="false" ht="15" hidden="false" customHeight="true" outlineLevel="0" collapsed="false">
      <c r="A88" s="11" t="str">
        <f aca="false">IF($K88="","",IF(INDEX('Prospect Tracker'!$W$5:$W$554,$K88)="","",INDEX('Prospect Tracker'!$W$5:$W$554,$K88)))</f>
        <v/>
      </c>
      <c r="B88" s="11" t="str">
        <f aca="false">IF($K88="","",IF(INDEX('Prospect Tracker'!$A$5:$A$554,$K88)="","",INDEX('Prospect Tracker'!$A$5:$A$554,$K88)))</f>
        <v/>
      </c>
      <c r="C88" s="11" t="str">
        <f aca="false">IF($K88="","",IF(INDEX('Prospect Tracker'!$B$5:$B$554,$K88)="","",INDEX('Prospect Tracker'!$B$5:$B$554,$K88)))</f>
        <v/>
      </c>
      <c r="D88" s="11" t="str">
        <f aca="false">IF($K88="","",IF(INDEX('Prospect Tracker'!$M$5:$M$554,$K88)="","",INDEX('Prospect Tracker'!$M$5:$M$554,$K88)))</f>
        <v/>
      </c>
      <c r="E88" s="11" t="str">
        <f aca="false">IF($K88="","",IF(INDEX('Prospect Tracker'!$R$5:$R$554,$K88)="","",INDEX('Prospect Tracker'!$R$5:$R$554,$K88)))</f>
        <v/>
      </c>
      <c r="F88" s="11" t="str">
        <f aca="false">IF($K88="","",IF(INDEX('Prospect Tracker'!$J$5:$J$554,$K88)="","",INDEX('Prospect Tracker'!$J$5:$J$554,$K88)))</f>
        <v/>
      </c>
      <c r="G88" s="11" t="str">
        <f aca="false">IF($K88="","",IF(INDEX('Prospect Tracker'!$H$5:$H$554,$K88)="","",INDEX('Prospect Tracker'!$H$5:$H$554,$K88)))</f>
        <v/>
      </c>
      <c r="H88" s="12" t="str">
        <f aca="false">IF($K88="","",IF(INDEX('Prospect Tracker'!$K$5:$K$554,$K88)="","",INDEX('Prospect Tracker'!$K$5:$K$554,$K88)))</f>
        <v/>
      </c>
      <c r="I88" s="11" t="str">
        <f aca="false">IF($K88="","",IF(INDEX('Prospect Tracker'!$T$5:$T$554,$K88)="","",INDEX('Prospect Tracker'!$T$5:$T$554,$K88)))</f>
        <v/>
      </c>
      <c r="J88" s="11" t="str">
        <f aca="false">IF($K88="","",IF(INDEX('Prospect Tracker'!$L$5:$L$554,$K88)="","",INDEX('Prospect Tracker'!$L$5:$L$554,$K88)))</f>
        <v/>
      </c>
      <c r="K88" s="1" t="n">
        <f aca="false">IFERROR(MATCH(SMALL('Prospect Tracker'!$X$5:$X$554,ROW()-4),'Prospect Tracker'!$X$5:$X$554,0),"")</f>
        <v>84</v>
      </c>
    </row>
    <row r="89" customFormat="false" ht="15" hidden="false" customHeight="true" outlineLevel="0" collapsed="false">
      <c r="A89" s="6" t="str">
        <f aca="false">IF($K89="","",IF(INDEX('Prospect Tracker'!$W$5:$W$554,$K89)="","",INDEX('Prospect Tracker'!$W$5:$W$554,$K89)))</f>
        <v/>
      </c>
      <c r="B89" s="6" t="str">
        <f aca="false">IF($K89="","",IF(INDEX('Prospect Tracker'!$A$5:$A$554,$K89)="","",INDEX('Prospect Tracker'!$A$5:$A$554,$K89)))</f>
        <v/>
      </c>
      <c r="C89" s="6" t="str">
        <f aca="false">IF($K89="","",IF(INDEX('Prospect Tracker'!$B$5:$B$554,$K89)="","",INDEX('Prospect Tracker'!$B$5:$B$554,$K89)))</f>
        <v/>
      </c>
      <c r="D89" s="6" t="str">
        <f aca="false">IF($K89="","",IF(INDEX('Prospect Tracker'!$M$5:$M$554,$K89)="","",INDEX('Prospect Tracker'!$M$5:$M$554,$K89)))</f>
        <v/>
      </c>
      <c r="E89" s="6" t="str">
        <f aca="false">IF($K89="","",IF(INDEX('Prospect Tracker'!$R$5:$R$554,$K89)="","",INDEX('Prospect Tracker'!$R$5:$R$554,$K89)))</f>
        <v/>
      </c>
      <c r="F89" s="6" t="str">
        <f aca="false">IF($K89="","",IF(INDEX('Prospect Tracker'!$J$5:$J$554,$K89)="","",INDEX('Prospect Tracker'!$J$5:$J$554,$K89)))</f>
        <v/>
      </c>
      <c r="G89" s="6" t="str">
        <f aca="false">IF($K89="","",IF(INDEX('Prospect Tracker'!$H$5:$H$554,$K89)="","",INDEX('Prospect Tracker'!$H$5:$H$554,$K89)))</f>
        <v/>
      </c>
      <c r="H89" s="7" t="str">
        <f aca="false">IF($K89="","",IF(INDEX('Prospect Tracker'!$K$5:$K$554,$K89)="","",INDEX('Prospect Tracker'!$K$5:$K$554,$K89)))</f>
        <v/>
      </c>
      <c r="I89" s="6" t="str">
        <f aca="false">IF($K89="","",IF(INDEX('Prospect Tracker'!$T$5:$T$554,$K89)="","",INDEX('Prospect Tracker'!$T$5:$T$554,$K89)))</f>
        <v/>
      </c>
      <c r="J89" s="6" t="str">
        <f aca="false">IF($K89="","",IF(INDEX('Prospect Tracker'!$L$5:$L$554,$K89)="","",INDEX('Prospect Tracker'!$L$5:$L$554,$K89)))</f>
        <v/>
      </c>
      <c r="K89" s="1" t="n">
        <f aca="false">IFERROR(MATCH(SMALL('Prospect Tracker'!$X$5:$X$554,ROW()-4),'Prospect Tracker'!$X$5:$X$554,0),"")</f>
        <v>85</v>
      </c>
    </row>
    <row r="90" customFormat="false" ht="15" hidden="false" customHeight="true" outlineLevel="0" collapsed="false">
      <c r="A90" s="11" t="str">
        <f aca="false">IF($K90="","",IF(INDEX('Prospect Tracker'!$W$5:$W$554,$K90)="","",INDEX('Prospect Tracker'!$W$5:$W$554,$K90)))</f>
        <v/>
      </c>
      <c r="B90" s="11" t="str">
        <f aca="false">IF($K90="","",IF(INDEX('Prospect Tracker'!$A$5:$A$554,$K90)="","",INDEX('Prospect Tracker'!$A$5:$A$554,$K90)))</f>
        <v/>
      </c>
      <c r="C90" s="11" t="str">
        <f aca="false">IF($K90="","",IF(INDEX('Prospect Tracker'!$B$5:$B$554,$K90)="","",INDEX('Prospect Tracker'!$B$5:$B$554,$K90)))</f>
        <v/>
      </c>
      <c r="D90" s="11" t="str">
        <f aca="false">IF($K90="","",IF(INDEX('Prospect Tracker'!$M$5:$M$554,$K90)="","",INDEX('Prospect Tracker'!$M$5:$M$554,$K90)))</f>
        <v/>
      </c>
      <c r="E90" s="11" t="str">
        <f aca="false">IF($K90="","",IF(INDEX('Prospect Tracker'!$R$5:$R$554,$K90)="","",INDEX('Prospect Tracker'!$R$5:$R$554,$K90)))</f>
        <v/>
      </c>
      <c r="F90" s="11" t="str">
        <f aca="false">IF($K90="","",IF(INDEX('Prospect Tracker'!$J$5:$J$554,$K90)="","",INDEX('Prospect Tracker'!$J$5:$J$554,$K90)))</f>
        <v/>
      </c>
      <c r="G90" s="11" t="str">
        <f aca="false">IF($K90="","",IF(INDEX('Prospect Tracker'!$H$5:$H$554,$K90)="","",INDEX('Prospect Tracker'!$H$5:$H$554,$K90)))</f>
        <v/>
      </c>
      <c r="H90" s="12" t="str">
        <f aca="false">IF($K90="","",IF(INDEX('Prospect Tracker'!$K$5:$K$554,$K90)="","",INDEX('Prospect Tracker'!$K$5:$K$554,$K90)))</f>
        <v/>
      </c>
      <c r="I90" s="11" t="str">
        <f aca="false">IF($K90="","",IF(INDEX('Prospect Tracker'!$T$5:$T$554,$K90)="","",INDEX('Prospect Tracker'!$T$5:$T$554,$K90)))</f>
        <v/>
      </c>
      <c r="J90" s="11" t="str">
        <f aca="false">IF($K90="","",IF(INDEX('Prospect Tracker'!$L$5:$L$554,$K90)="","",INDEX('Prospect Tracker'!$L$5:$L$554,$K90)))</f>
        <v/>
      </c>
      <c r="K90" s="1" t="n">
        <f aca="false">IFERROR(MATCH(SMALL('Prospect Tracker'!$X$5:$X$554,ROW()-4),'Prospect Tracker'!$X$5:$X$554,0),"")</f>
        <v>86</v>
      </c>
    </row>
    <row r="91" customFormat="false" ht="15" hidden="false" customHeight="true" outlineLevel="0" collapsed="false">
      <c r="A91" s="6" t="str">
        <f aca="false">IF($K91="","",IF(INDEX('Prospect Tracker'!$W$5:$W$554,$K91)="","",INDEX('Prospect Tracker'!$W$5:$W$554,$K91)))</f>
        <v/>
      </c>
      <c r="B91" s="6" t="str">
        <f aca="false">IF($K91="","",IF(INDEX('Prospect Tracker'!$A$5:$A$554,$K91)="","",INDEX('Prospect Tracker'!$A$5:$A$554,$K91)))</f>
        <v/>
      </c>
      <c r="C91" s="6" t="str">
        <f aca="false">IF($K91="","",IF(INDEX('Prospect Tracker'!$B$5:$B$554,$K91)="","",INDEX('Prospect Tracker'!$B$5:$B$554,$K91)))</f>
        <v/>
      </c>
      <c r="D91" s="6" t="str">
        <f aca="false">IF($K91="","",IF(INDEX('Prospect Tracker'!$M$5:$M$554,$K91)="","",INDEX('Prospect Tracker'!$M$5:$M$554,$K91)))</f>
        <v/>
      </c>
      <c r="E91" s="6" t="str">
        <f aca="false">IF($K91="","",IF(INDEX('Prospect Tracker'!$R$5:$R$554,$K91)="","",INDEX('Prospect Tracker'!$R$5:$R$554,$K91)))</f>
        <v/>
      </c>
      <c r="F91" s="6" t="str">
        <f aca="false">IF($K91="","",IF(INDEX('Prospect Tracker'!$J$5:$J$554,$K91)="","",INDEX('Prospect Tracker'!$J$5:$J$554,$K91)))</f>
        <v/>
      </c>
      <c r="G91" s="6" t="str">
        <f aca="false">IF($K91="","",IF(INDEX('Prospect Tracker'!$H$5:$H$554,$K91)="","",INDEX('Prospect Tracker'!$H$5:$H$554,$K91)))</f>
        <v/>
      </c>
      <c r="H91" s="7" t="str">
        <f aca="false">IF($K91="","",IF(INDEX('Prospect Tracker'!$K$5:$K$554,$K91)="","",INDEX('Prospect Tracker'!$K$5:$K$554,$K91)))</f>
        <v/>
      </c>
      <c r="I91" s="6" t="str">
        <f aca="false">IF($K91="","",IF(INDEX('Prospect Tracker'!$T$5:$T$554,$K91)="","",INDEX('Prospect Tracker'!$T$5:$T$554,$K91)))</f>
        <v/>
      </c>
      <c r="J91" s="6" t="str">
        <f aca="false">IF($K91="","",IF(INDEX('Prospect Tracker'!$L$5:$L$554,$K91)="","",INDEX('Prospect Tracker'!$L$5:$L$554,$K91)))</f>
        <v/>
      </c>
      <c r="K91" s="1" t="n">
        <f aca="false">IFERROR(MATCH(SMALL('Prospect Tracker'!$X$5:$X$554,ROW()-4),'Prospect Tracker'!$X$5:$X$554,0),"")</f>
        <v>87</v>
      </c>
    </row>
    <row r="92" customFormat="false" ht="15" hidden="false" customHeight="true" outlineLevel="0" collapsed="false">
      <c r="A92" s="11" t="str">
        <f aca="false">IF($K92="","",IF(INDEX('Prospect Tracker'!$W$5:$W$554,$K92)="","",INDEX('Prospect Tracker'!$W$5:$W$554,$K92)))</f>
        <v/>
      </c>
      <c r="B92" s="11" t="str">
        <f aca="false">IF($K92="","",IF(INDEX('Prospect Tracker'!$A$5:$A$554,$K92)="","",INDEX('Prospect Tracker'!$A$5:$A$554,$K92)))</f>
        <v/>
      </c>
      <c r="C92" s="11" t="str">
        <f aca="false">IF($K92="","",IF(INDEX('Prospect Tracker'!$B$5:$B$554,$K92)="","",INDEX('Prospect Tracker'!$B$5:$B$554,$K92)))</f>
        <v/>
      </c>
      <c r="D92" s="11" t="str">
        <f aca="false">IF($K92="","",IF(INDEX('Prospect Tracker'!$M$5:$M$554,$K92)="","",INDEX('Prospect Tracker'!$M$5:$M$554,$K92)))</f>
        <v/>
      </c>
      <c r="E92" s="11" t="str">
        <f aca="false">IF($K92="","",IF(INDEX('Prospect Tracker'!$R$5:$R$554,$K92)="","",INDEX('Prospect Tracker'!$R$5:$R$554,$K92)))</f>
        <v/>
      </c>
      <c r="F92" s="11" t="str">
        <f aca="false">IF($K92="","",IF(INDEX('Prospect Tracker'!$J$5:$J$554,$K92)="","",INDEX('Prospect Tracker'!$J$5:$J$554,$K92)))</f>
        <v/>
      </c>
      <c r="G92" s="11" t="str">
        <f aca="false">IF($K92="","",IF(INDEX('Prospect Tracker'!$H$5:$H$554,$K92)="","",INDEX('Prospect Tracker'!$H$5:$H$554,$K92)))</f>
        <v/>
      </c>
      <c r="H92" s="12" t="str">
        <f aca="false">IF($K92="","",IF(INDEX('Prospect Tracker'!$K$5:$K$554,$K92)="","",INDEX('Prospect Tracker'!$K$5:$K$554,$K92)))</f>
        <v/>
      </c>
      <c r="I92" s="11" t="str">
        <f aca="false">IF($K92="","",IF(INDEX('Prospect Tracker'!$T$5:$T$554,$K92)="","",INDEX('Prospect Tracker'!$T$5:$T$554,$K92)))</f>
        <v/>
      </c>
      <c r="J92" s="11" t="str">
        <f aca="false">IF($K92="","",IF(INDEX('Prospect Tracker'!$L$5:$L$554,$K92)="","",INDEX('Prospect Tracker'!$L$5:$L$554,$K92)))</f>
        <v/>
      </c>
      <c r="K92" s="1" t="n">
        <f aca="false">IFERROR(MATCH(SMALL('Prospect Tracker'!$X$5:$X$554,ROW()-4),'Prospect Tracker'!$X$5:$X$554,0),"")</f>
        <v>88</v>
      </c>
    </row>
    <row r="93" customFormat="false" ht="15" hidden="false" customHeight="true" outlineLevel="0" collapsed="false">
      <c r="A93" s="6" t="str">
        <f aca="false">IF($K93="","",IF(INDEX('Prospect Tracker'!$W$5:$W$554,$K93)="","",INDEX('Prospect Tracker'!$W$5:$W$554,$K93)))</f>
        <v/>
      </c>
      <c r="B93" s="6" t="str">
        <f aca="false">IF($K93="","",IF(INDEX('Prospect Tracker'!$A$5:$A$554,$K93)="","",INDEX('Prospect Tracker'!$A$5:$A$554,$K93)))</f>
        <v/>
      </c>
      <c r="C93" s="6" t="str">
        <f aca="false">IF($K93="","",IF(INDEX('Prospect Tracker'!$B$5:$B$554,$K93)="","",INDEX('Prospect Tracker'!$B$5:$B$554,$K93)))</f>
        <v/>
      </c>
      <c r="D93" s="6" t="str">
        <f aca="false">IF($K93="","",IF(INDEX('Prospect Tracker'!$M$5:$M$554,$K93)="","",INDEX('Prospect Tracker'!$M$5:$M$554,$K93)))</f>
        <v/>
      </c>
      <c r="E93" s="6" t="str">
        <f aca="false">IF($K93="","",IF(INDEX('Prospect Tracker'!$R$5:$R$554,$K93)="","",INDEX('Prospect Tracker'!$R$5:$R$554,$K93)))</f>
        <v/>
      </c>
      <c r="F93" s="6" t="str">
        <f aca="false">IF($K93="","",IF(INDEX('Prospect Tracker'!$J$5:$J$554,$K93)="","",INDEX('Prospect Tracker'!$J$5:$J$554,$K93)))</f>
        <v/>
      </c>
      <c r="G93" s="6" t="str">
        <f aca="false">IF($K93="","",IF(INDEX('Prospect Tracker'!$H$5:$H$554,$K93)="","",INDEX('Prospect Tracker'!$H$5:$H$554,$K93)))</f>
        <v/>
      </c>
      <c r="H93" s="7" t="str">
        <f aca="false">IF($K93="","",IF(INDEX('Prospect Tracker'!$K$5:$K$554,$K93)="","",INDEX('Prospect Tracker'!$K$5:$K$554,$K93)))</f>
        <v/>
      </c>
      <c r="I93" s="6" t="str">
        <f aca="false">IF($K93="","",IF(INDEX('Prospect Tracker'!$T$5:$T$554,$K93)="","",INDEX('Prospect Tracker'!$T$5:$T$554,$K93)))</f>
        <v/>
      </c>
      <c r="J93" s="6" t="str">
        <f aca="false">IF($K93="","",IF(INDEX('Prospect Tracker'!$L$5:$L$554,$K93)="","",INDEX('Prospect Tracker'!$L$5:$L$554,$K93)))</f>
        <v/>
      </c>
      <c r="K93" s="1" t="n">
        <f aca="false">IFERROR(MATCH(SMALL('Prospect Tracker'!$X$5:$X$554,ROW()-4),'Prospect Tracker'!$X$5:$X$554,0),"")</f>
        <v>89</v>
      </c>
    </row>
    <row r="94" customFormat="false" ht="15" hidden="false" customHeight="true" outlineLevel="0" collapsed="false">
      <c r="A94" s="11" t="str">
        <f aca="false">IF($K94="","",IF(INDEX('Prospect Tracker'!$W$5:$W$554,$K94)="","",INDEX('Prospect Tracker'!$W$5:$W$554,$K94)))</f>
        <v/>
      </c>
      <c r="B94" s="11" t="str">
        <f aca="false">IF($K94="","",IF(INDEX('Prospect Tracker'!$A$5:$A$554,$K94)="","",INDEX('Prospect Tracker'!$A$5:$A$554,$K94)))</f>
        <v/>
      </c>
      <c r="C94" s="11" t="str">
        <f aca="false">IF($K94="","",IF(INDEX('Prospect Tracker'!$B$5:$B$554,$K94)="","",INDEX('Prospect Tracker'!$B$5:$B$554,$K94)))</f>
        <v/>
      </c>
      <c r="D94" s="11" t="str">
        <f aca="false">IF($K94="","",IF(INDEX('Prospect Tracker'!$M$5:$M$554,$K94)="","",INDEX('Prospect Tracker'!$M$5:$M$554,$K94)))</f>
        <v/>
      </c>
      <c r="E94" s="11" t="str">
        <f aca="false">IF($K94="","",IF(INDEX('Prospect Tracker'!$R$5:$R$554,$K94)="","",INDEX('Prospect Tracker'!$R$5:$R$554,$K94)))</f>
        <v/>
      </c>
      <c r="F94" s="11" t="str">
        <f aca="false">IF($K94="","",IF(INDEX('Prospect Tracker'!$J$5:$J$554,$K94)="","",INDEX('Prospect Tracker'!$J$5:$J$554,$K94)))</f>
        <v/>
      </c>
      <c r="G94" s="11" t="str">
        <f aca="false">IF($K94="","",IF(INDEX('Prospect Tracker'!$H$5:$H$554,$K94)="","",INDEX('Prospect Tracker'!$H$5:$H$554,$K94)))</f>
        <v/>
      </c>
      <c r="H94" s="12" t="str">
        <f aca="false">IF($K94="","",IF(INDEX('Prospect Tracker'!$K$5:$K$554,$K94)="","",INDEX('Prospect Tracker'!$K$5:$K$554,$K94)))</f>
        <v/>
      </c>
      <c r="I94" s="11" t="str">
        <f aca="false">IF($K94="","",IF(INDEX('Prospect Tracker'!$T$5:$T$554,$K94)="","",INDEX('Prospect Tracker'!$T$5:$T$554,$K94)))</f>
        <v/>
      </c>
      <c r="J94" s="11" t="str">
        <f aca="false">IF($K94="","",IF(INDEX('Prospect Tracker'!$L$5:$L$554,$K94)="","",INDEX('Prospect Tracker'!$L$5:$L$554,$K94)))</f>
        <v/>
      </c>
      <c r="K94" s="1" t="n">
        <f aca="false">IFERROR(MATCH(SMALL('Prospect Tracker'!$X$5:$X$554,ROW()-4),'Prospect Tracker'!$X$5:$X$554,0),"")</f>
        <v>90</v>
      </c>
    </row>
    <row r="95" customFormat="false" ht="15" hidden="false" customHeight="true" outlineLevel="0" collapsed="false">
      <c r="A95" s="6" t="str">
        <f aca="false">IF($K95="","",IF(INDEX('Prospect Tracker'!$W$5:$W$554,$K95)="","",INDEX('Prospect Tracker'!$W$5:$W$554,$K95)))</f>
        <v/>
      </c>
      <c r="B95" s="6" t="str">
        <f aca="false">IF($K95="","",IF(INDEX('Prospect Tracker'!$A$5:$A$554,$K95)="","",INDEX('Prospect Tracker'!$A$5:$A$554,$K95)))</f>
        <v/>
      </c>
      <c r="C95" s="6" t="str">
        <f aca="false">IF($K95="","",IF(INDEX('Prospect Tracker'!$B$5:$B$554,$K95)="","",INDEX('Prospect Tracker'!$B$5:$B$554,$K95)))</f>
        <v/>
      </c>
      <c r="D95" s="6" t="str">
        <f aca="false">IF($K95="","",IF(INDEX('Prospect Tracker'!$M$5:$M$554,$K95)="","",INDEX('Prospect Tracker'!$M$5:$M$554,$K95)))</f>
        <v/>
      </c>
      <c r="E95" s="6" t="str">
        <f aca="false">IF($K95="","",IF(INDEX('Prospect Tracker'!$R$5:$R$554,$K95)="","",INDEX('Prospect Tracker'!$R$5:$R$554,$K95)))</f>
        <v/>
      </c>
      <c r="F95" s="6" t="str">
        <f aca="false">IF($K95="","",IF(INDEX('Prospect Tracker'!$J$5:$J$554,$K95)="","",INDEX('Prospect Tracker'!$J$5:$J$554,$K95)))</f>
        <v/>
      </c>
      <c r="G95" s="6" t="str">
        <f aca="false">IF($K95="","",IF(INDEX('Prospect Tracker'!$H$5:$H$554,$K95)="","",INDEX('Prospect Tracker'!$H$5:$H$554,$K95)))</f>
        <v/>
      </c>
      <c r="H95" s="7" t="str">
        <f aca="false">IF($K95="","",IF(INDEX('Prospect Tracker'!$K$5:$K$554,$K95)="","",INDEX('Prospect Tracker'!$K$5:$K$554,$K95)))</f>
        <v/>
      </c>
      <c r="I95" s="6" t="str">
        <f aca="false">IF($K95="","",IF(INDEX('Prospect Tracker'!$T$5:$T$554,$K95)="","",INDEX('Prospect Tracker'!$T$5:$T$554,$K95)))</f>
        <v/>
      </c>
      <c r="J95" s="6" t="str">
        <f aca="false">IF($K95="","",IF(INDEX('Prospect Tracker'!$L$5:$L$554,$K95)="","",INDEX('Prospect Tracker'!$L$5:$L$554,$K95)))</f>
        <v/>
      </c>
      <c r="K95" s="1" t="n">
        <f aca="false">IFERROR(MATCH(SMALL('Prospect Tracker'!$X$5:$X$554,ROW()-4),'Prospect Tracker'!$X$5:$X$554,0),"")</f>
        <v>91</v>
      </c>
    </row>
    <row r="96" customFormat="false" ht="15" hidden="false" customHeight="true" outlineLevel="0" collapsed="false">
      <c r="A96" s="11" t="str">
        <f aca="false">IF($K96="","",IF(INDEX('Prospect Tracker'!$W$5:$W$554,$K96)="","",INDEX('Prospect Tracker'!$W$5:$W$554,$K96)))</f>
        <v/>
      </c>
      <c r="B96" s="11" t="str">
        <f aca="false">IF($K96="","",IF(INDEX('Prospect Tracker'!$A$5:$A$554,$K96)="","",INDEX('Prospect Tracker'!$A$5:$A$554,$K96)))</f>
        <v/>
      </c>
      <c r="C96" s="11" t="str">
        <f aca="false">IF($K96="","",IF(INDEX('Prospect Tracker'!$B$5:$B$554,$K96)="","",INDEX('Prospect Tracker'!$B$5:$B$554,$K96)))</f>
        <v/>
      </c>
      <c r="D96" s="11" t="str">
        <f aca="false">IF($K96="","",IF(INDEX('Prospect Tracker'!$M$5:$M$554,$K96)="","",INDEX('Prospect Tracker'!$M$5:$M$554,$K96)))</f>
        <v/>
      </c>
      <c r="E96" s="11" t="str">
        <f aca="false">IF($K96="","",IF(INDEX('Prospect Tracker'!$R$5:$R$554,$K96)="","",INDEX('Prospect Tracker'!$R$5:$R$554,$K96)))</f>
        <v/>
      </c>
      <c r="F96" s="11" t="str">
        <f aca="false">IF($K96="","",IF(INDEX('Prospect Tracker'!$J$5:$J$554,$K96)="","",INDEX('Prospect Tracker'!$J$5:$J$554,$K96)))</f>
        <v/>
      </c>
      <c r="G96" s="11" t="str">
        <f aca="false">IF($K96="","",IF(INDEX('Prospect Tracker'!$H$5:$H$554,$K96)="","",INDEX('Prospect Tracker'!$H$5:$H$554,$K96)))</f>
        <v/>
      </c>
      <c r="H96" s="12" t="str">
        <f aca="false">IF($K96="","",IF(INDEX('Prospect Tracker'!$K$5:$K$554,$K96)="","",INDEX('Prospect Tracker'!$K$5:$K$554,$K96)))</f>
        <v/>
      </c>
      <c r="I96" s="11" t="str">
        <f aca="false">IF($K96="","",IF(INDEX('Prospect Tracker'!$T$5:$T$554,$K96)="","",INDEX('Prospect Tracker'!$T$5:$T$554,$K96)))</f>
        <v/>
      </c>
      <c r="J96" s="11" t="str">
        <f aca="false">IF($K96="","",IF(INDEX('Prospect Tracker'!$L$5:$L$554,$K96)="","",INDEX('Prospect Tracker'!$L$5:$L$554,$K96)))</f>
        <v/>
      </c>
      <c r="K96" s="1" t="n">
        <f aca="false">IFERROR(MATCH(SMALL('Prospect Tracker'!$X$5:$X$554,ROW()-4),'Prospect Tracker'!$X$5:$X$554,0),"")</f>
        <v>92</v>
      </c>
    </row>
    <row r="97" customFormat="false" ht="15" hidden="false" customHeight="true" outlineLevel="0" collapsed="false">
      <c r="A97" s="6" t="str">
        <f aca="false">IF($K97="","",IF(INDEX('Prospect Tracker'!$W$5:$W$554,$K97)="","",INDEX('Prospect Tracker'!$W$5:$W$554,$K97)))</f>
        <v/>
      </c>
      <c r="B97" s="6" t="str">
        <f aca="false">IF($K97="","",IF(INDEX('Prospect Tracker'!$A$5:$A$554,$K97)="","",INDEX('Prospect Tracker'!$A$5:$A$554,$K97)))</f>
        <v/>
      </c>
      <c r="C97" s="6" t="str">
        <f aca="false">IF($K97="","",IF(INDEX('Prospect Tracker'!$B$5:$B$554,$K97)="","",INDEX('Prospect Tracker'!$B$5:$B$554,$K97)))</f>
        <v/>
      </c>
      <c r="D97" s="6" t="str">
        <f aca="false">IF($K97="","",IF(INDEX('Prospect Tracker'!$M$5:$M$554,$K97)="","",INDEX('Prospect Tracker'!$M$5:$M$554,$K97)))</f>
        <v/>
      </c>
      <c r="E97" s="6" t="str">
        <f aca="false">IF($K97="","",IF(INDEX('Prospect Tracker'!$R$5:$R$554,$K97)="","",INDEX('Prospect Tracker'!$R$5:$R$554,$K97)))</f>
        <v/>
      </c>
      <c r="F97" s="6" t="str">
        <f aca="false">IF($K97="","",IF(INDEX('Prospect Tracker'!$J$5:$J$554,$K97)="","",INDEX('Prospect Tracker'!$J$5:$J$554,$K97)))</f>
        <v/>
      </c>
      <c r="G97" s="6" t="str">
        <f aca="false">IF($K97="","",IF(INDEX('Prospect Tracker'!$H$5:$H$554,$K97)="","",INDEX('Prospect Tracker'!$H$5:$H$554,$K97)))</f>
        <v/>
      </c>
      <c r="H97" s="7" t="str">
        <f aca="false">IF($K97="","",IF(INDEX('Prospect Tracker'!$K$5:$K$554,$K97)="","",INDEX('Prospect Tracker'!$K$5:$K$554,$K97)))</f>
        <v/>
      </c>
      <c r="I97" s="6" t="str">
        <f aca="false">IF($K97="","",IF(INDEX('Prospect Tracker'!$T$5:$T$554,$K97)="","",INDEX('Prospect Tracker'!$T$5:$T$554,$K97)))</f>
        <v/>
      </c>
      <c r="J97" s="6" t="str">
        <f aca="false">IF($K97="","",IF(INDEX('Prospect Tracker'!$L$5:$L$554,$K97)="","",INDEX('Prospect Tracker'!$L$5:$L$554,$K97)))</f>
        <v/>
      </c>
      <c r="K97" s="1" t="n">
        <f aca="false">IFERROR(MATCH(SMALL('Prospect Tracker'!$X$5:$X$554,ROW()-4),'Prospect Tracker'!$X$5:$X$554,0),"")</f>
        <v>93</v>
      </c>
    </row>
    <row r="98" customFormat="false" ht="15" hidden="false" customHeight="true" outlineLevel="0" collapsed="false">
      <c r="A98" s="11" t="str">
        <f aca="false">IF($K98="","",IF(INDEX('Prospect Tracker'!$W$5:$W$554,$K98)="","",INDEX('Prospect Tracker'!$W$5:$W$554,$K98)))</f>
        <v/>
      </c>
      <c r="B98" s="11" t="str">
        <f aca="false">IF($K98="","",IF(INDEX('Prospect Tracker'!$A$5:$A$554,$K98)="","",INDEX('Prospect Tracker'!$A$5:$A$554,$K98)))</f>
        <v/>
      </c>
      <c r="C98" s="11" t="str">
        <f aca="false">IF($K98="","",IF(INDEX('Prospect Tracker'!$B$5:$B$554,$K98)="","",INDEX('Prospect Tracker'!$B$5:$B$554,$K98)))</f>
        <v/>
      </c>
      <c r="D98" s="11" t="str">
        <f aca="false">IF($K98="","",IF(INDEX('Prospect Tracker'!$M$5:$M$554,$K98)="","",INDEX('Prospect Tracker'!$M$5:$M$554,$K98)))</f>
        <v/>
      </c>
      <c r="E98" s="11" t="str">
        <f aca="false">IF($K98="","",IF(INDEX('Prospect Tracker'!$R$5:$R$554,$K98)="","",INDEX('Prospect Tracker'!$R$5:$R$554,$K98)))</f>
        <v/>
      </c>
      <c r="F98" s="11" t="str">
        <f aca="false">IF($K98="","",IF(INDEX('Prospect Tracker'!$J$5:$J$554,$K98)="","",INDEX('Prospect Tracker'!$J$5:$J$554,$K98)))</f>
        <v/>
      </c>
      <c r="G98" s="11" t="str">
        <f aca="false">IF($K98="","",IF(INDEX('Prospect Tracker'!$H$5:$H$554,$K98)="","",INDEX('Prospect Tracker'!$H$5:$H$554,$K98)))</f>
        <v/>
      </c>
      <c r="H98" s="12" t="str">
        <f aca="false">IF($K98="","",IF(INDEX('Prospect Tracker'!$K$5:$K$554,$K98)="","",INDEX('Prospect Tracker'!$K$5:$K$554,$K98)))</f>
        <v/>
      </c>
      <c r="I98" s="11" t="str">
        <f aca="false">IF($K98="","",IF(INDEX('Prospect Tracker'!$T$5:$T$554,$K98)="","",INDEX('Prospect Tracker'!$T$5:$T$554,$K98)))</f>
        <v/>
      </c>
      <c r="J98" s="11" t="str">
        <f aca="false">IF($K98="","",IF(INDEX('Prospect Tracker'!$L$5:$L$554,$K98)="","",INDEX('Prospect Tracker'!$L$5:$L$554,$K98)))</f>
        <v/>
      </c>
      <c r="K98" s="1" t="n">
        <f aca="false">IFERROR(MATCH(SMALL('Prospect Tracker'!$X$5:$X$554,ROW()-4),'Prospect Tracker'!$X$5:$X$554,0),"")</f>
        <v>94</v>
      </c>
    </row>
    <row r="99" customFormat="false" ht="15" hidden="false" customHeight="true" outlineLevel="0" collapsed="false">
      <c r="A99" s="6" t="str">
        <f aca="false">IF($K99="","",IF(INDEX('Prospect Tracker'!$W$5:$W$554,$K99)="","",INDEX('Prospect Tracker'!$W$5:$W$554,$K99)))</f>
        <v/>
      </c>
      <c r="B99" s="6" t="str">
        <f aca="false">IF($K99="","",IF(INDEX('Prospect Tracker'!$A$5:$A$554,$K99)="","",INDEX('Prospect Tracker'!$A$5:$A$554,$K99)))</f>
        <v/>
      </c>
      <c r="C99" s="6" t="str">
        <f aca="false">IF($K99="","",IF(INDEX('Prospect Tracker'!$B$5:$B$554,$K99)="","",INDEX('Prospect Tracker'!$B$5:$B$554,$K99)))</f>
        <v/>
      </c>
      <c r="D99" s="6" t="str">
        <f aca="false">IF($K99="","",IF(INDEX('Prospect Tracker'!$M$5:$M$554,$K99)="","",INDEX('Prospect Tracker'!$M$5:$M$554,$K99)))</f>
        <v/>
      </c>
      <c r="E99" s="6" t="str">
        <f aca="false">IF($K99="","",IF(INDEX('Prospect Tracker'!$R$5:$R$554,$K99)="","",INDEX('Prospect Tracker'!$R$5:$R$554,$K99)))</f>
        <v/>
      </c>
      <c r="F99" s="6" t="str">
        <f aca="false">IF($K99="","",IF(INDEX('Prospect Tracker'!$J$5:$J$554,$K99)="","",INDEX('Prospect Tracker'!$J$5:$J$554,$K99)))</f>
        <v/>
      </c>
      <c r="G99" s="6" t="str">
        <f aca="false">IF($K99="","",IF(INDEX('Prospect Tracker'!$H$5:$H$554,$K99)="","",INDEX('Prospect Tracker'!$H$5:$H$554,$K99)))</f>
        <v/>
      </c>
      <c r="H99" s="7" t="str">
        <f aca="false">IF($K99="","",IF(INDEX('Prospect Tracker'!$K$5:$K$554,$K99)="","",INDEX('Prospect Tracker'!$K$5:$K$554,$K99)))</f>
        <v/>
      </c>
      <c r="I99" s="6" t="str">
        <f aca="false">IF($K99="","",IF(INDEX('Prospect Tracker'!$T$5:$T$554,$K99)="","",INDEX('Prospect Tracker'!$T$5:$T$554,$K99)))</f>
        <v/>
      </c>
      <c r="J99" s="6" t="str">
        <f aca="false">IF($K99="","",IF(INDEX('Prospect Tracker'!$L$5:$L$554,$K99)="","",INDEX('Prospect Tracker'!$L$5:$L$554,$K99)))</f>
        <v/>
      </c>
      <c r="K99" s="1" t="n">
        <f aca="false">IFERROR(MATCH(SMALL('Prospect Tracker'!$X$5:$X$554,ROW()-4),'Prospect Tracker'!$X$5:$X$554,0),"")</f>
        <v>95</v>
      </c>
    </row>
    <row r="100" customFormat="false" ht="15" hidden="false" customHeight="true" outlineLevel="0" collapsed="false">
      <c r="A100" s="11" t="str">
        <f aca="false">IF($K100="","",IF(INDEX('Prospect Tracker'!$W$5:$W$554,$K100)="","",INDEX('Prospect Tracker'!$W$5:$W$554,$K100)))</f>
        <v/>
      </c>
      <c r="B100" s="11" t="str">
        <f aca="false">IF($K100="","",IF(INDEX('Prospect Tracker'!$A$5:$A$554,$K100)="","",INDEX('Prospect Tracker'!$A$5:$A$554,$K100)))</f>
        <v/>
      </c>
      <c r="C100" s="11" t="str">
        <f aca="false">IF($K100="","",IF(INDEX('Prospect Tracker'!$B$5:$B$554,$K100)="","",INDEX('Prospect Tracker'!$B$5:$B$554,$K100)))</f>
        <v/>
      </c>
      <c r="D100" s="11" t="str">
        <f aca="false">IF($K100="","",IF(INDEX('Prospect Tracker'!$M$5:$M$554,$K100)="","",INDEX('Prospect Tracker'!$M$5:$M$554,$K100)))</f>
        <v/>
      </c>
      <c r="E100" s="11" t="str">
        <f aca="false">IF($K100="","",IF(INDEX('Prospect Tracker'!$R$5:$R$554,$K100)="","",INDEX('Prospect Tracker'!$R$5:$R$554,$K100)))</f>
        <v/>
      </c>
      <c r="F100" s="11" t="str">
        <f aca="false">IF($K100="","",IF(INDEX('Prospect Tracker'!$J$5:$J$554,$K100)="","",INDEX('Prospect Tracker'!$J$5:$J$554,$K100)))</f>
        <v/>
      </c>
      <c r="G100" s="11" t="str">
        <f aca="false">IF($K100="","",IF(INDEX('Prospect Tracker'!$H$5:$H$554,$K100)="","",INDEX('Prospect Tracker'!$H$5:$H$554,$K100)))</f>
        <v/>
      </c>
      <c r="H100" s="12" t="str">
        <f aca="false">IF($K100="","",IF(INDEX('Prospect Tracker'!$K$5:$K$554,$K100)="","",INDEX('Prospect Tracker'!$K$5:$K$554,$K100)))</f>
        <v/>
      </c>
      <c r="I100" s="11" t="str">
        <f aca="false">IF($K100="","",IF(INDEX('Prospect Tracker'!$T$5:$T$554,$K100)="","",INDEX('Prospect Tracker'!$T$5:$T$554,$K100)))</f>
        <v/>
      </c>
      <c r="J100" s="11" t="str">
        <f aca="false">IF($K100="","",IF(INDEX('Prospect Tracker'!$L$5:$L$554,$K100)="","",INDEX('Prospect Tracker'!$L$5:$L$554,$K100)))</f>
        <v/>
      </c>
      <c r="K100" s="1" t="n">
        <f aca="false">IFERROR(MATCH(SMALL('Prospect Tracker'!$X$5:$X$554,ROW()-4),'Prospect Tracker'!$X$5:$X$554,0),"")</f>
        <v>96</v>
      </c>
    </row>
    <row r="101" customFormat="false" ht="15" hidden="false" customHeight="true" outlineLevel="0" collapsed="false">
      <c r="A101" s="6" t="str">
        <f aca="false">IF($K101="","",IF(INDEX('Prospect Tracker'!$W$5:$W$554,$K101)="","",INDEX('Prospect Tracker'!$W$5:$W$554,$K101)))</f>
        <v/>
      </c>
      <c r="B101" s="6" t="str">
        <f aca="false">IF($K101="","",IF(INDEX('Prospect Tracker'!$A$5:$A$554,$K101)="","",INDEX('Prospect Tracker'!$A$5:$A$554,$K101)))</f>
        <v/>
      </c>
      <c r="C101" s="6" t="str">
        <f aca="false">IF($K101="","",IF(INDEX('Prospect Tracker'!$B$5:$B$554,$K101)="","",INDEX('Prospect Tracker'!$B$5:$B$554,$K101)))</f>
        <v/>
      </c>
      <c r="D101" s="6" t="str">
        <f aca="false">IF($K101="","",IF(INDEX('Prospect Tracker'!$M$5:$M$554,$K101)="","",INDEX('Prospect Tracker'!$M$5:$M$554,$K101)))</f>
        <v/>
      </c>
      <c r="E101" s="6" t="str">
        <f aca="false">IF($K101="","",IF(INDEX('Prospect Tracker'!$R$5:$R$554,$K101)="","",INDEX('Prospect Tracker'!$R$5:$R$554,$K101)))</f>
        <v/>
      </c>
      <c r="F101" s="6" t="str">
        <f aca="false">IF($K101="","",IF(INDEX('Prospect Tracker'!$J$5:$J$554,$K101)="","",INDEX('Prospect Tracker'!$J$5:$J$554,$K101)))</f>
        <v/>
      </c>
      <c r="G101" s="6" t="str">
        <f aca="false">IF($K101="","",IF(INDEX('Prospect Tracker'!$H$5:$H$554,$K101)="","",INDEX('Prospect Tracker'!$H$5:$H$554,$K101)))</f>
        <v/>
      </c>
      <c r="H101" s="7" t="str">
        <f aca="false">IF($K101="","",IF(INDEX('Prospect Tracker'!$K$5:$K$554,$K101)="","",INDEX('Prospect Tracker'!$K$5:$K$554,$K101)))</f>
        <v/>
      </c>
      <c r="I101" s="6" t="str">
        <f aca="false">IF($K101="","",IF(INDEX('Prospect Tracker'!$T$5:$T$554,$K101)="","",INDEX('Prospect Tracker'!$T$5:$T$554,$K101)))</f>
        <v/>
      </c>
      <c r="J101" s="6" t="str">
        <f aca="false">IF($K101="","",IF(INDEX('Prospect Tracker'!$L$5:$L$554,$K101)="","",INDEX('Prospect Tracker'!$L$5:$L$554,$K101)))</f>
        <v/>
      </c>
      <c r="K101" s="1" t="n">
        <f aca="false">IFERROR(MATCH(SMALL('Prospect Tracker'!$X$5:$X$554,ROW()-4),'Prospect Tracker'!$X$5:$X$554,0),"")</f>
        <v>97</v>
      </c>
    </row>
    <row r="102" customFormat="false" ht="15" hidden="false" customHeight="true" outlineLevel="0" collapsed="false">
      <c r="A102" s="11" t="str">
        <f aca="false">IF($K102="","",IF(INDEX('Prospect Tracker'!$W$5:$W$554,$K102)="","",INDEX('Prospect Tracker'!$W$5:$W$554,$K102)))</f>
        <v/>
      </c>
      <c r="B102" s="11" t="str">
        <f aca="false">IF($K102="","",IF(INDEX('Prospect Tracker'!$A$5:$A$554,$K102)="","",INDEX('Prospect Tracker'!$A$5:$A$554,$K102)))</f>
        <v/>
      </c>
      <c r="C102" s="11" t="str">
        <f aca="false">IF($K102="","",IF(INDEX('Prospect Tracker'!$B$5:$B$554,$K102)="","",INDEX('Prospect Tracker'!$B$5:$B$554,$K102)))</f>
        <v/>
      </c>
      <c r="D102" s="11" t="str">
        <f aca="false">IF($K102="","",IF(INDEX('Prospect Tracker'!$M$5:$M$554,$K102)="","",INDEX('Prospect Tracker'!$M$5:$M$554,$K102)))</f>
        <v/>
      </c>
      <c r="E102" s="11" t="str">
        <f aca="false">IF($K102="","",IF(INDEX('Prospect Tracker'!$R$5:$R$554,$K102)="","",INDEX('Prospect Tracker'!$R$5:$R$554,$K102)))</f>
        <v/>
      </c>
      <c r="F102" s="11" t="str">
        <f aca="false">IF($K102="","",IF(INDEX('Prospect Tracker'!$J$5:$J$554,$K102)="","",INDEX('Prospect Tracker'!$J$5:$J$554,$K102)))</f>
        <v/>
      </c>
      <c r="G102" s="11" t="str">
        <f aca="false">IF($K102="","",IF(INDEX('Prospect Tracker'!$H$5:$H$554,$K102)="","",INDEX('Prospect Tracker'!$H$5:$H$554,$K102)))</f>
        <v/>
      </c>
      <c r="H102" s="12" t="str">
        <f aca="false">IF($K102="","",IF(INDEX('Prospect Tracker'!$K$5:$K$554,$K102)="","",INDEX('Prospect Tracker'!$K$5:$K$554,$K102)))</f>
        <v/>
      </c>
      <c r="I102" s="11" t="str">
        <f aca="false">IF($K102="","",IF(INDEX('Prospect Tracker'!$T$5:$T$554,$K102)="","",INDEX('Prospect Tracker'!$T$5:$T$554,$K102)))</f>
        <v/>
      </c>
      <c r="J102" s="11" t="str">
        <f aca="false">IF($K102="","",IF(INDEX('Prospect Tracker'!$L$5:$L$554,$K102)="","",INDEX('Prospect Tracker'!$L$5:$L$554,$K102)))</f>
        <v/>
      </c>
      <c r="K102" s="1" t="n">
        <f aca="false">IFERROR(MATCH(SMALL('Prospect Tracker'!$X$5:$X$554,ROW()-4),'Prospect Tracker'!$X$5:$X$554,0),"")</f>
        <v>98</v>
      </c>
    </row>
    <row r="103" customFormat="false" ht="15" hidden="false" customHeight="true" outlineLevel="0" collapsed="false">
      <c r="A103" s="6" t="str">
        <f aca="false">IF($K103="","",IF(INDEX('Prospect Tracker'!$W$5:$W$554,$K103)="","",INDEX('Prospect Tracker'!$W$5:$W$554,$K103)))</f>
        <v/>
      </c>
      <c r="B103" s="6" t="str">
        <f aca="false">IF($K103="","",IF(INDEX('Prospect Tracker'!$A$5:$A$554,$K103)="","",INDEX('Prospect Tracker'!$A$5:$A$554,$K103)))</f>
        <v/>
      </c>
      <c r="C103" s="6" t="str">
        <f aca="false">IF($K103="","",IF(INDEX('Prospect Tracker'!$B$5:$B$554,$K103)="","",INDEX('Prospect Tracker'!$B$5:$B$554,$K103)))</f>
        <v/>
      </c>
      <c r="D103" s="6" t="str">
        <f aca="false">IF($K103="","",IF(INDEX('Prospect Tracker'!$M$5:$M$554,$K103)="","",INDEX('Prospect Tracker'!$M$5:$M$554,$K103)))</f>
        <v/>
      </c>
      <c r="E103" s="6" t="str">
        <f aca="false">IF($K103="","",IF(INDEX('Prospect Tracker'!$R$5:$R$554,$K103)="","",INDEX('Prospect Tracker'!$R$5:$R$554,$K103)))</f>
        <v/>
      </c>
      <c r="F103" s="6" t="str">
        <f aca="false">IF($K103="","",IF(INDEX('Prospect Tracker'!$J$5:$J$554,$K103)="","",INDEX('Prospect Tracker'!$J$5:$J$554,$K103)))</f>
        <v/>
      </c>
      <c r="G103" s="6" t="str">
        <f aca="false">IF($K103="","",IF(INDEX('Prospect Tracker'!$H$5:$H$554,$K103)="","",INDEX('Prospect Tracker'!$H$5:$H$554,$K103)))</f>
        <v/>
      </c>
      <c r="H103" s="7" t="str">
        <f aca="false">IF($K103="","",IF(INDEX('Prospect Tracker'!$K$5:$K$554,$K103)="","",INDEX('Prospect Tracker'!$K$5:$K$554,$K103)))</f>
        <v/>
      </c>
      <c r="I103" s="6" t="str">
        <f aca="false">IF($K103="","",IF(INDEX('Prospect Tracker'!$T$5:$T$554,$K103)="","",INDEX('Prospect Tracker'!$T$5:$T$554,$K103)))</f>
        <v/>
      </c>
      <c r="J103" s="6" t="str">
        <f aca="false">IF($K103="","",IF(INDEX('Prospect Tracker'!$L$5:$L$554,$K103)="","",INDEX('Prospect Tracker'!$L$5:$L$554,$K103)))</f>
        <v/>
      </c>
      <c r="K103" s="1" t="n">
        <f aca="false">IFERROR(MATCH(SMALL('Prospect Tracker'!$X$5:$X$554,ROW()-4),'Prospect Tracker'!$X$5:$X$554,0),"")</f>
        <v>99</v>
      </c>
    </row>
    <row r="104" customFormat="false" ht="15" hidden="false" customHeight="true" outlineLevel="0" collapsed="false">
      <c r="A104" s="11" t="str">
        <f aca="false">IF($K104="","",IF(INDEX('Prospect Tracker'!$W$5:$W$554,$K104)="","",INDEX('Prospect Tracker'!$W$5:$W$554,$K104)))</f>
        <v/>
      </c>
      <c r="B104" s="11" t="str">
        <f aca="false">IF($K104="","",IF(INDEX('Prospect Tracker'!$A$5:$A$554,$K104)="","",INDEX('Prospect Tracker'!$A$5:$A$554,$K104)))</f>
        <v/>
      </c>
      <c r="C104" s="11" t="str">
        <f aca="false">IF($K104="","",IF(INDEX('Prospect Tracker'!$B$5:$B$554,$K104)="","",INDEX('Prospect Tracker'!$B$5:$B$554,$K104)))</f>
        <v/>
      </c>
      <c r="D104" s="11" t="str">
        <f aca="false">IF($K104="","",IF(INDEX('Prospect Tracker'!$M$5:$M$554,$K104)="","",INDEX('Prospect Tracker'!$M$5:$M$554,$K104)))</f>
        <v/>
      </c>
      <c r="E104" s="11" t="str">
        <f aca="false">IF($K104="","",IF(INDEX('Prospect Tracker'!$R$5:$R$554,$K104)="","",INDEX('Prospect Tracker'!$R$5:$R$554,$K104)))</f>
        <v/>
      </c>
      <c r="F104" s="11" t="str">
        <f aca="false">IF($K104="","",IF(INDEX('Prospect Tracker'!$J$5:$J$554,$K104)="","",INDEX('Prospect Tracker'!$J$5:$J$554,$K104)))</f>
        <v/>
      </c>
      <c r="G104" s="11" t="str">
        <f aca="false">IF($K104="","",IF(INDEX('Prospect Tracker'!$H$5:$H$554,$K104)="","",INDEX('Prospect Tracker'!$H$5:$H$554,$K104)))</f>
        <v/>
      </c>
      <c r="H104" s="12" t="str">
        <f aca="false">IF($K104="","",IF(INDEX('Prospect Tracker'!$K$5:$K$554,$K104)="","",INDEX('Prospect Tracker'!$K$5:$K$554,$K104)))</f>
        <v/>
      </c>
      <c r="I104" s="11" t="str">
        <f aca="false">IF($K104="","",IF(INDEX('Prospect Tracker'!$T$5:$T$554,$K104)="","",INDEX('Prospect Tracker'!$T$5:$T$554,$K104)))</f>
        <v/>
      </c>
      <c r="J104" s="11" t="str">
        <f aca="false">IF($K104="","",IF(INDEX('Prospect Tracker'!$L$5:$L$554,$K104)="","",INDEX('Prospect Tracker'!$L$5:$L$554,$K104)))</f>
        <v/>
      </c>
      <c r="K104" s="1" t="n">
        <f aca="false">IFERROR(MATCH(SMALL('Prospect Tracker'!$X$5:$X$554,ROW()-4),'Prospect Tracker'!$X$5:$X$554,0),"")</f>
        <v>100</v>
      </c>
    </row>
    <row r="105" customFormat="false" ht="15" hidden="false" customHeight="true" outlineLevel="0" collapsed="false">
      <c r="A105" s="6" t="str">
        <f aca="false">IF($K105="","",IF(INDEX('Prospect Tracker'!$W$5:$W$554,$K105)="","",INDEX('Prospect Tracker'!$W$5:$W$554,$K105)))</f>
        <v/>
      </c>
      <c r="B105" s="6" t="str">
        <f aca="false">IF($K105="","",IF(INDEX('Prospect Tracker'!$A$5:$A$554,$K105)="","",INDEX('Prospect Tracker'!$A$5:$A$554,$K105)))</f>
        <v/>
      </c>
      <c r="C105" s="6" t="str">
        <f aca="false">IF($K105="","",IF(INDEX('Prospect Tracker'!$B$5:$B$554,$K105)="","",INDEX('Prospect Tracker'!$B$5:$B$554,$K105)))</f>
        <v/>
      </c>
      <c r="D105" s="6" t="str">
        <f aca="false">IF($K105="","",IF(INDEX('Prospect Tracker'!$M$5:$M$554,$K105)="","",INDEX('Prospect Tracker'!$M$5:$M$554,$K105)))</f>
        <v/>
      </c>
      <c r="E105" s="6" t="str">
        <f aca="false">IF($K105="","",IF(INDEX('Prospect Tracker'!$R$5:$R$554,$K105)="","",INDEX('Prospect Tracker'!$R$5:$R$554,$K105)))</f>
        <v/>
      </c>
      <c r="F105" s="6" t="str">
        <f aca="false">IF($K105="","",IF(INDEX('Prospect Tracker'!$J$5:$J$554,$K105)="","",INDEX('Prospect Tracker'!$J$5:$J$554,$K105)))</f>
        <v/>
      </c>
      <c r="G105" s="6" t="str">
        <f aca="false">IF($K105="","",IF(INDEX('Prospect Tracker'!$H$5:$H$554,$K105)="","",INDEX('Prospect Tracker'!$H$5:$H$554,$K105)))</f>
        <v/>
      </c>
      <c r="H105" s="7" t="str">
        <f aca="false">IF($K105="","",IF(INDEX('Prospect Tracker'!$K$5:$K$554,$K105)="","",INDEX('Prospect Tracker'!$K$5:$K$554,$K105)))</f>
        <v/>
      </c>
      <c r="I105" s="6" t="str">
        <f aca="false">IF($K105="","",IF(INDEX('Prospect Tracker'!$T$5:$T$554,$K105)="","",INDEX('Prospect Tracker'!$T$5:$T$554,$K105)))</f>
        <v/>
      </c>
      <c r="J105" s="6" t="str">
        <f aca="false">IF($K105="","",IF(INDEX('Prospect Tracker'!$L$5:$L$554,$K105)="","",INDEX('Prospect Tracker'!$L$5:$L$554,$K105)))</f>
        <v/>
      </c>
      <c r="K105" s="1" t="n">
        <f aca="false">IFERROR(MATCH(SMALL('Prospect Tracker'!$X$5:$X$554,ROW()-4),'Prospect Tracker'!$X$5:$X$554,0),"")</f>
        <v>101</v>
      </c>
    </row>
    <row r="106" customFormat="false" ht="15" hidden="false" customHeight="true" outlineLevel="0" collapsed="false">
      <c r="A106" s="11" t="str">
        <f aca="false">IF($K106="","",IF(INDEX('Prospect Tracker'!$W$5:$W$554,$K106)="","",INDEX('Prospect Tracker'!$W$5:$W$554,$K106)))</f>
        <v/>
      </c>
      <c r="B106" s="11" t="str">
        <f aca="false">IF($K106="","",IF(INDEX('Prospect Tracker'!$A$5:$A$554,$K106)="","",INDEX('Prospect Tracker'!$A$5:$A$554,$K106)))</f>
        <v/>
      </c>
      <c r="C106" s="11" t="str">
        <f aca="false">IF($K106="","",IF(INDEX('Prospect Tracker'!$B$5:$B$554,$K106)="","",INDEX('Prospect Tracker'!$B$5:$B$554,$K106)))</f>
        <v/>
      </c>
      <c r="D106" s="11" t="str">
        <f aca="false">IF($K106="","",IF(INDEX('Prospect Tracker'!$M$5:$M$554,$K106)="","",INDEX('Prospect Tracker'!$M$5:$M$554,$K106)))</f>
        <v/>
      </c>
      <c r="E106" s="11" t="str">
        <f aca="false">IF($K106="","",IF(INDEX('Prospect Tracker'!$R$5:$R$554,$K106)="","",INDEX('Prospect Tracker'!$R$5:$R$554,$K106)))</f>
        <v/>
      </c>
      <c r="F106" s="11" t="str">
        <f aca="false">IF($K106="","",IF(INDEX('Prospect Tracker'!$J$5:$J$554,$K106)="","",INDEX('Prospect Tracker'!$J$5:$J$554,$K106)))</f>
        <v/>
      </c>
      <c r="G106" s="11" t="str">
        <f aca="false">IF($K106="","",IF(INDEX('Prospect Tracker'!$H$5:$H$554,$K106)="","",INDEX('Prospect Tracker'!$H$5:$H$554,$K106)))</f>
        <v/>
      </c>
      <c r="H106" s="12" t="str">
        <f aca="false">IF($K106="","",IF(INDEX('Prospect Tracker'!$K$5:$K$554,$K106)="","",INDEX('Prospect Tracker'!$K$5:$K$554,$K106)))</f>
        <v/>
      </c>
      <c r="I106" s="11" t="str">
        <f aca="false">IF($K106="","",IF(INDEX('Prospect Tracker'!$T$5:$T$554,$K106)="","",INDEX('Prospect Tracker'!$T$5:$T$554,$K106)))</f>
        <v/>
      </c>
      <c r="J106" s="11" t="str">
        <f aca="false">IF($K106="","",IF(INDEX('Prospect Tracker'!$L$5:$L$554,$K106)="","",INDEX('Prospect Tracker'!$L$5:$L$554,$K106)))</f>
        <v/>
      </c>
      <c r="K106" s="1" t="n">
        <f aca="false">IFERROR(MATCH(SMALL('Prospect Tracker'!$X$5:$X$554,ROW()-4),'Prospect Tracker'!$X$5:$X$554,0),"")</f>
        <v>102</v>
      </c>
    </row>
    <row r="107" customFormat="false" ht="15" hidden="false" customHeight="true" outlineLevel="0" collapsed="false">
      <c r="A107" s="6" t="str">
        <f aca="false">IF($K107="","",IF(INDEX('Prospect Tracker'!$W$5:$W$554,$K107)="","",INDEX('Prospect Tracker'!$W$5:$W$554,$K107)))</f>
        <v/>
      </c>
      <c r="B107" s="6" t="str">
        <f aca="false">IF($K107="","",IF(INDEX('Prospect Tracker'!$A$5:$A$554,$K107)="","",INDEX('Prospect Tracker'!$A$5:$A$554,$K107)))</f>
        <v/>
      </c>
      <c r="C107" s="6" t="str">
        <f aca="false">IF($K107="","",IF(INDEX('Prospect Tracker'!$B$5:$B$554,$K107)="","",INDEX('Prospect Tracker'!$B$5:$B$554,$K107)))</f>
        <v/>
      </c>
      <c r="D107" s="6" t="str">
        <f aca="false">IF($K107="","",IF(INDEX('Prospect Tracker'!$M$5:$M$554,$K107)="","",INDEX('Prospect Tracker'!$M$5:$M$554,$K107)))</f>
        <v/>
      </c>
      <c r="E107" s="6" t="str">
        <f aca="false">IF($K107="","",IF(INDEX('Prospect Tracker'!$R$5:$R$554,$K107)="","",INDEX('Prospect Tracker'!$R$5:$R$554,$K107)))</f>
        <v/>
      </c>
      <c r="F107" s="6" t="str">
        <f aca="false">IF($K107="","",IF(INDEX('Prospect Tracker'!$J$5:$J$554,$K107)="","",INDEX('Prospect Tracker'!$J$5:$J$554,$K107)))</f>
        <v/>
      </c>
      <c r="G107" s="6" t="str">
        <f aca="false">IF($K107="","",IF(INDEX('Prospect Tracker'!$H$5:$H$554,$K107)="","",INDEX('Prospect Tracker'!$H$5:$H$554,$K107)))</f>
        <v/>
      </c>
      <c r="H107" s="7" t="str">
        <f aca="false">IF($K107="","",IF(INDEX('Prospect Tracker'!$K$5:$K$554,$K107)="","",INDEX('Prospect Tracker'!$K$5:$K$554,$K107)))</f>
        <v/>
      </c>
      <c r="I107" s="6" t="str">
        <f aca="false">IF($K107="","",IF(INDEX('Prospect Tracker'!$T$5:$T$554,$K107)="","",INDEX('Prospect Tracker'!$T$5:$T$554,$K107)))</f>
        <v/>
      </c>
      <c r="J107" s="6" t="str">
        <f aca="false">IF($K107="","",IF(INDEX('Prospect Tracker'!$L$5:$L$554,$K107)="","",INDEX('Prospect Tracker'!$L$5:$L$554,$K107)))</f>
        <v/>
      </c>
      <c r="K107" s="1" t="n">
        <f aca="false">IFERROR(MATCH(SMALL('Prospect Tracker'!$X$5:$X$554,ROW()-4),'Prospect Tracker'!$X$5:$X$554,0),"")</f>
        <v>103</v>
      </c>
    </row>
    <row r="108" customFormat="false" ht="15" hidden="false" customHeight="true" outlineLevel="0" collapsed="false">
      <c r="A108" s="11" t="str">
        <f aca="false">IF($K108="","",IF(INDEX('Prospect Tracker'!$W$5:$W$554,$K108)="","",INDEX('Prospect Tracker'!$W$5:$W$554,$K108)))</f>
        <v/>
      </c>
      <c r="B108" s="11" t="str">
        <f aca="false">IF($K108="","",IF(INDEX('Prospect Tracker'!$A$5:$A$554,$K108)="","",INDEX('Prospect Tracker'!$A$5:$A$554,$K108)))</f>
        <v/>
      </c>
      <c r="C108" s="11" t="str">
        <f aca="false">IF($K108="","",IF(INDEX('Prospect Tracker'!$B$5:$B$554,$K108)="","",INDEX('Prospect Tracker'!$B$5:$B$554,$K108)))</f>
        <v/>
      </c>
      <c r="D108" s="11" t="str">
        <f aca="false">IF($K108="","",IF(INDEX('Prospect Tracker'!$M$5:$M$554,$K108)="","",INDEX('Prospect Tracker'!$M$5:$M$554,$K108)))</f>
        <v/>
      </c>
      <c r="E108" s="11" t="str">
        <f aca="false">IF($K108="","",IF(INDEX('Prospect Tracker'!$R$5:$R$554,$K108)="","",INDEX('Prospect Tracker'!$R$5:$R$554,$K108)))</f>
        <v/>
      </c>
      <c r="F108" s="11" t="str">
        <f aca="false">IF($K108="","",IF(INDEX('Prospect Tracker'!$J$5:$J$554,$K108)="","",INDEX('Prospect Tracker'!$J$5:$J$554,$K108)))</f>
        <v/>
      </c>
      <c r="G108" s="11" t="str">
        <f aca="false">IF($K108="","",IF(INDEX('Prospect Tracker'!$H$5:$H$554,$K108)="","",INDEX('Prospect Tracker'!$H$5:$H$554,$K108)))</f>
        <v/>
      </c>
      <c r="H108" s="12" t="str">
        <f aca="false">IF($K108="","",IF(INDEX('Prospect Tracker'!$K$5:$K$554,$K108)="","",INDEX('Prospect Tracker'!$K$5:$K$554,$K108)))</f>
        <v/>
      </c>
      <c r="I108" s="11" t="str">
        <f aca="false">IF($K108="","",IF(INDEX('Prospect Tracker'!$T$5:$T$554,$K108)="","",INDEX('Prospect Tracker'!$T$5:$T$554,$K108)))</f>
        <v/>
      </c>
      <c r="J108" s="11" t="str">
        <f aca="false">IF($K108="","",IF(INDEX('Prospect Tracker'!$L$5:$L$554,$K108)="","",INDEX('Prospect Tracker'!$L$5:$L$554,$K108)))</f>
        <v/>
      </c>
      <c r="K108" s="1" t="n">
        <f aca="false">IFERROR(MATCH(SMALL('Prospect Tracker'!$X$5:$X$554,ROW()-4),'Prospect Tracker'!$X$5:$X$554,0),"")</f>
        <v>104</v>
      </c>
    </row>
    <row r="109" customFormat="false" ht="15" hidden="false" customHeight="true" outlineLevel="0" collapsed="false">
      <c r="A109" s="6" t="str">
        <f aca="false">IF($K109="","",IF(INDEX('Prospect Tracker'!$W$5:$W$554,$K109)="","",INDEX('Prospect Tracker'!$W$5:$W$554,$K109)))</f>
        <v/>
      </c>
      <c r="B109" s="6" t="str">
        <f aca="false">IF($K109="","",IF(INDEX('Prospect Tracker'!$A$5:$A$554,$K109)="","",INDEX('Prospect Tracker'!$A$5:$A$554,$K109)))</f>
        <v/>
      </c>
      <c r="C109" s="6" t="str">
        <f aca="false">IF($K109="","",IF(INDEX('Prospect Tracker'!$B$5:$B$554,$K109)="","",INDEX('Prospect Tracker'!$B$5:$B$554,$K109)))</f>
        <v/>
      </c>
      <c r="D109" s="6" t="str">
        <f aca="false">IF($K109="","",IF(INDEX('Prospect Tracker'!$M$5:$M$554,$K109)="","",INDEX('Prospect Tracker'!$M$5:$M$554,$K109)))</f>
        <v/>
      </c>
      <c r="E109" s="6" t="str">
        <f aca="false">IF($K109="","",IF(INDEX('Prospect Tracker'!$R$5:$R$554,$K109)="","",INDEX('Prospect Tracker'!$R$5:$R$554,$K109)))</f>
        <v/>
      </c>
      <c r="F109" s="6" t="str">
        <f aca="false">IF($K109="","",IF(INDEX('Prospect Tracker'!$J$5:$J$554,$K109)="","",INDEX('Prospect Tracker'!$J$5:$J$554,$K109)))</f>
        <v/>
      </c>
      <c r="G109" s="6" t="str">
        <f aca="false">IF($K109="","",IF(INDEX('Prospect Tracker'!$H$5:$H$554,$K109)="","",INDEX('Prospect Tracker'!$H$5:$H$554,$K109)))</f>
        <v/>
      </c>
      <c r="H109" s="7" t="str">
        <f aca="false">IF($K109="","",IF(INDEX('Prospect Tracker'!$K$5:$K$554,$K109)="","",INDEX('Prospect Tracker'!$K$5:$K$554,$K109)))</f>
        <v/>
      </c>
      <c r="I109" s="6" t="str">
        <f aca="false">IF($K109="","",IF(INDEX('Prospect Tracker'!$T$5:$T$554,$K109)="","",INDEX('Prospect Tracker'!$T$5:$T$554,$K109)))</f>
        <v/>
      </c>
      <c r="J109" s="6" t="str">
        <f aca="false">IF($K109="","",IF(INDEX('Prospect Tracker'!$L$5:$L$554,$K109)="","",INDEX('Prospect Tracker'!$L$5:$L$554,$K109)))</f>
        <v/>
      </c>
      <c r="K109" s="1" t="n">
        <f aca="false">IFERROR(MATCH(SMALL('Prospect Tracker'!$X$5:$X$554,ROW()-4),'Prospect Tracker'!$X$5:$X$554,0),"")</f>
        <v>105</v>
      </c>
    </row>
    <row r="110" customFormat="false" ht="15" hidden="false" customHeight="true" outlineLevel="0" collapsed="false">
      <c r="A110" s="11" t="str">
        <f aca="false">IF($K110="","",IF(INDEX('Prospect Tracker'!$W$5:$W$554,$K110)="","",INDEX('Prospect Tracker'!$W$5:$W$554,$K110)))</f>
        <v/>
      </c>
      <c r="B110" s="11" t="str">
        <f aca="false">IF($K110="","",IF(INDEX('Prospect Tracker'!$A$5:$A$554,$K110)="","",INDEX('Prospect Tracker'!$A$5:$A$554,$K110)))</f>
        <v/>
      </c>
      <c r="C110" s="11" t="str">
        <f aca="false">IF($K110="","",IF(INDEX('Prospect Tracker'!$B$5:$B$554,$K110)="","",INDEX('Prospect Tracker'!$B$5:$B$554,$K110)))</f>
        <v/>
      </c>
      <c r="D110" s="11" t="str">
        <f aca="false">IF($K110="","",IF(INDEX('Prospect Tracker'!$M$5:$M$554,$K110)="","",INDEX('Prospect Tracker'!$M$5:$M$554,$K110)))</f>
        <v/>
      </c>
      <c r="E110" s="11" t="str">
        <f aca="false">IF($K110="","",IF(INDEX('Prospect Tracker'!$R$5:$R$554,$K110)="","",INDEX('Prospect Tracker'!$R$5:$R$554,$K110)))</f>
        <v/>
      </c>
      <c r="F110" s="11" t="str">
        <f aca="false">IF($K110="","",IF(INDEX('Prospect Tracker'!$J$5:$J$554,$K110)="","",INDEX('Prospect Tracker'!$J$5:$J$554,$K110)))</f>
        <v/>
      </c>
      <c r="G110" s="11" t="str">
        <f aca="false">IF($K110="","",IF(INDEX('Prospect Tracker'!$H$5:$H$554,$K110)="","",INDEX('Prospect Tracker'!$H$5:$H$554,$K110)))</f>
        <v/>
      </c>
      <c r="H110" s="12" t="str">
        <f aca="false">IF($K110="","",IF(INDEX('Prospect Tracker'!$K$5:$K$554,$K110)="","",INDEX('Prospect Tracker'!$K$5:$K$554,$K110)))</f>
        <v/>
      </c>
      <c r="I110" s="11" t="str">
        <f aca="false">IF($K110="","",IF(INDEX('Prospect Tracker'!$T$5:$T$554,$K110)="","",INDEX('Prospect Tracker'!$T$5:$T$554,$K110)))</f>
        <v/>
      </c>
      <c r="J110" s="11" t="str">
        <f aca="false">IF($K110="","",IF(INDEX('Prospect Tracker'!$L$5:$L$554,$K110)="","",INDEX('Prospect Tracker'!$L$5:$L$554,$K110)))</f>
        <v/>
      </c>
      <c r="K110" s="1" t="n">
        <f aca="false">IFERROR(MATCH(SMALL('Prospect Tracker'!$X$5:$X$554,ROW()-4),'Prospect Tracker'!$X$5:$X$554,0),"")</f>
        <v>106</v>
      </c>
    </row>
    <row r="111" customFormat="false" ht="15" hidden="false" customHeight="true" outlineLevel="0" collapsed="false">
      <c r="A111" s="6" t="str">
        <f aca="false">IF($K111="","",IF(INDEX('Prospect Tracker'!$W$5:$W$554,$K111)="","",INDEX('Prospect Tracker'!$W$5:$W$554,$K111)))</f>
        <v/>
      </c>
      <c r="B111" s="6" t="str">
        <f aca="false">IF($K111="","",IF(INDEX('Prospect Tracker'!$A$5:$A$554,$K111)="","",INDEX('Prospect Tracker'!$A$5:$A$554,$K111)))</f>
        <v/>
      </c>
      <c r="C111" s="6" t="str">
        <f aca="false">IF($K111="","",IF(INDEX('Prospect Tracker'!$B$5:$B$554,$K111)="","",INDEX('Prospect Tracker'!$B$5:$B$554,$K111)))</f>
        <v/>
      </c>
      <c r="D111" s="6" t="str">
        <f aca="false">IF($K111="","",IF(INDEX('Prospect Tracker'!$M$5:$M$554,$K111)="","",INDEX('Prospect Tracker'!$M$5:$M$554,$K111)))</f>
        <v/>
      </c>
      <c r="E111" s="6" t="str">
        <f aca="false">IF($K111="","",IF(INDEX('Prospect Tracker'!$R$5:$R$554,$K111)="","",INDEX('Prospect Tracker'!$R$5:$R$554,$K111)))</f>
        <v/>
      </c>
      <c r="F111" s="6" t="str">
        <f aca="false">IF($K111="","",IF(INDEX('Prospect Tracker'!$J$5:$J$554,$K111)="","",INDEX('Prospect Tracker'!$J$5:$J$554,$K111)))</f>
        <v/>
      </c>
      <c r="G111" s="6" t="str">
        <f aca="false">IF($K111="","",IF(INDEX('Prospect Tracker'!$H$5:$H$554,$K111)="","",INDEX('Prospect Tracker'!$H$5:$H$554,$K111)))</f>
        <v/>
      </c>
      <c r="H111" s="7" t="str">
        <f aca="false">IF($K111="","",IF(INDEX('Prospect Tracker'!$K$5:$K$554,$K111)="","",INDEX('Prospect Tracker'!$K$5:$K$554,$K111)))</f>
        <v/>
      </c>
      <c r="I111" s="6" t="str">
        <f aca="false">IF($K111="","",IF(INDEX('Prospect Tracker'!$T$5:$T$554,$K111)="","",INDEX('Prospect Tracker'!$T$5:$T$554,$K111)))</f>
        <v/>
      </c>
      <c r="J111" s="6" t="str">
        <f aca="false">IF($K111="","",IF(INDEX('Prospect Tracker'!$L$5:$L$554,$K111)="","",INDEX('Prospect Tracker'!$L$5:$L$554,$K111)))</f>
        <v/>
      </c>
      <c r="K111" s="1" t="n">
        <f aca="false">IFERROR(MATCH(SMALL('Prospect Tracker'!$X$5:$X$554,ROW()-4),'Prospect Tracker'!$X$5:$X$554,0),"")</f>
        <v>107</v>
      </c>
    </row>
    <row r="112" customFormat="false" ht="15" hidden="false" customHeight="true" outlineLevel="0" collapsed="false">
      <c r="A112" s="11" t="str">
        <f aca="false">IF($K112="","",IF(INDEX('Prospect Tracker'!$W$5:$W$554,$K112)="","",INDEX('Prospect Tracker'!$W$5:$W$554,$K112)))</f>
        <v/>
      </c>
      <c r="B112" s="11" t="str">
        <f aca="false">IF($K112="","",IF(INDEX('Prospect Tracker'!$A$5:$A$554,$K112)="","",INDEX('Prospect Tracker'!$A$5:$A$554,$K112)))</f>
        <v/>
      </c>
      <c r="C112" s="11" t="str">
        <f aca="false">IF($K112="","",IF(INDEX('Prospect Tracker'!$B$5:$B$554,$K112)="","",INDEX('Prospect Tracker'!$B$5:$B$554,$K112)))</f>
        <v/>
      </c>
      <c r="D112" s="11" t="str">
        <f aca="false">IF($K112="","",IF(INDEX('Prospect Tracker'!$M$5:$M$554,$K112)="","",INDEX('Prospect Tracker'!$M$5:$M$554,$K112)))</f>
        <v/>
      </c>
      <c r="E112" s="11" t="str">
        <f aca="false">IF($K112="","",IF(INDEX('Prospect Tracker'!$R$5:$R$554,$K112)="","",INDEX('Prospect Tracker'!$R$5:$R$554,$K112)))</f>
        <v/>
      </c>
      <c r="F112" s="11" t="str">
        <f aca="false">IF($K112="","",IF(INDEX('Prospect Tracker'!$J$5:$J$554,$K112)="","",INDEX('Prospect Tracker'!$J$5:$J$554,$K112)))</f>
        <v/>
      </c>
      <c r="G112" s="11" t="str">
        <f aca="false">IF($K112="","",IF(INDEX('Prospect Tracker'!$H$5:$H$554,$K112)="","",INDEX('Prospect Tracker'!$H$5:$H$554,$K112)))</f>
        <v/>
      </c>
      <c r="H112" s="12" t="str">
        <f aca="false">IF($K112="","",IF(INDEX('Prospect Tracker'!$K$5:$K$554,$K112)="","",INDEX('Prospect Tracker'!$K$5:$K$554,$K112)))</f>
        <v/>
      </c>
      <c r="I112" s="11" t="str">
        <f aca="false">IF($K112="","",IF(INDEX('Prospect Tracker'!$T$5:$T$554,$K112)="","",INDEX('Prospect Tracker'!$T$5:$T$554,$K112)))</f>
        <v/>
      </c>
      <c r="J112" s="11" t="str">
        <f aca="false">IF($K112="","",IF(INDEX('Prospect Tracker'!$L$5:$L$554,$K112)="","",INDEX('Prospect Tracker'!$L$5:$L$554,$K112)))</f>
        <v/>
      </c>
      <c r="K112" s="1" t="n">
        <f aca="false">IFERROR(MATCH(SMALL('Prospect Tracker'!$X$5:$X$554,ROW()-4),'Prospect Tracker'!$X$5:$X$554,0),"")</f>
        <v>108</v>
      </c>
    </row>
    <row r="113" customFormat="false" ht="15" hidden="false" customHeight="true" outlineLevel="0" collapsed="false">
      <c r="A113" s="6" t="str">
        <f aca="false">IF($K113="","",IF(INDEX('Prospect Tracker'!$W$5:$W$554,$K113)="","",INDEX('Prospect Tracker'!$W$5:$W$554,$K113)))</f>
        <v/>
      </c>
      <c r="B113" s="6" t="str">
        <f aca="false">IF($K113="","",IF(INDEX('Prospect Tracker'!$A$5:$A$554,$K113)="","",INDEX('Prospect Tracker'!$A$5:$A$554,$K113)))</f>
        <v/>
      </c>
      <c r="C113" s="6" t="str">
        <f aca="false">IF($K113="","",IF(INDEX('Prospect Tracker'!$B$5:$B$554,$K113)="","",INDEX('Prospect Tracker'!$B$5:$B$554,$K113)))</f>
        <v/>
      </c>
      <c r="D113" s="6" t="str">
        <f aca="false">IF($K113="","",IF(INDEX('Prospect Tracker'!$M$5:$M$554,$K113)="","",INDEX('Prospect Tracker'!$M$5:$M$554,$K113)))</f>
        <v/>
      </c>
      <c r="E113" s="6" t="str">
        <f aca="false">IF($K113="","",IF(INDEX('Prospect Tracker'!$R$5:$R$554,$K113)="","",INDEX('Prospect Tracker'!$R$5:$R$554,$K113)))</f>
        <v/>
      </c>
      <c r="F113" s="6" t="str">
        <f aca="false">IF($K113="","",IF(INDEX('Prospect Tracker'!$J$5:$J$554,$K113)="","",INDEX('Prospect Tracker'!$J$5:$J$554,$K113)))</f>
        <v/>
      </c>
      <c r="G113" s="6" t="str">
        <f aca="false">IF($K113="","",IF(INDEX('Prospect Tracker'!$H$5:$H$554,$K113)="","",INDEX('Prospect Tracker'!$H$5:$H$554,$K113)))</f>
        <v/>
      </c>
      <c r="H113" s="7" t="str">
        <f aca="false">IF($K113="","",IF(INDEX('Prospect Tracker'!$K$5:$K$554,$K113)="","",INDEX('Prospect Tracker'!$K$5:$K$554,$K113)))</f>
        <v/>
      </c>
      <c r="I113" s="6" t="str">
        <f aca="false">IF($K113="","",IF(INDEX('Prospect Tracker'!$T$5:$T$554,$K113)="","",INDEX('Prospect Tracker'!$T$5:$T$554,$K113)))</f>
        <v/>
      </c>
      <c r="J113" s="6" t="str">
        <f aca="false">IF($K113="","",IF(INDEX('Prospect Tracker'!$L$5:$L$554,$K113)="","",INDEX('Prospect Tracker'!$L$5:$L$554,$K113)))</f>
        <v/>
      </c>
      <c r="K113" s="1" t="n">
        <f aca="false">IFERROR(MATCH(SMALL('Prospect Tracker'!$X$5:$X$554,ROW()-4),'Prospect Tracker'!$X$5:$X$554,0),"")</f>
        <v>109</v>
      </c>
    </row>
    <row r="114" customFormat="false" ht="15" hidden="false" customHeight="true" outlineLevel="0" collapsed="false">
      <c r="A114" s="11" t="str">
        <f aca="false">IF($K114="","",IF(INDEX('Prospect Tracker'!$W$5:$W$554,$K114)="","",INDEX('Prospect Tracker'!$W$5:$W$554,$K114)))</f>
        <v/>
      </c>
      <c r="B114" s="11" t="str">
        <f aca="false">IF($K114="","",IF(INDEX('Prospect Tracker'!$A$5:$A$554,$K114)="","",INDEX('Prospect Tracker'!$A$5:$A$554,$K114)))</f>
        <v/>
      </c>
      <c r="C114" s="11" t="str">
        <f aca="false">IF($K114="","",IF(INDEX('Prospect Tracker'!$B$5:$B$554,$K114)="","",INDEX('Prospect Tracker'!$B$5:$B$554,$K114)))</f>
        <v/>
      </c>
      <c r="D114" s="11" t="str">
        <f aca="false">IF($K114="","",IF(INDEX('Prospect Tracker'!$M$5:$M$554,$K114)="","",INDEX('Prospect Tracker'!$M$5:$M$554,$K114)))</f>
        <v/>
      </c>
      <c r="E114" s="11" t="str">
        <f aca="false">IF($K114="","",IF(INDEX('Prospect Tracker'!$R$5:$R$554,$K114)="","",INDEX('Prospect Tracker'!$R$5:$R$554,$K114)))</f>
        <v/>
      </c>
      <c r="F114" s="11" t="str">
        <f aca="false">IF($K114="","",IF(INDEX('Prospect Tracker'!$J$5:$J$554,$K114)="","",INDEX('Prospect Tracker'!$J$5:$J$554,$K114)))</f>
        <v/>
      </c>
      <c r="G114" s="11" t="str">
        <f aca="false">IF($K114="","",IF(INDEX('Prospect Tracker'!$H$5:$H$554,$K114)="","",INDEX('Prospect Tracker'!$H$5:$H$554,$K114)))</f>
        <v/>
      </c>
      <c r="H114" s="12" t="str">
        <f aca="false">IF($K114="","",IF(INDEX('Prospect Tracker'!$K$5:$K$554,$K114)="","",INDEX('Prospect Tracker'!$K$5:$K$554,$K114)))</f>
        <v/>
      </c>
      <c r="I114" s="11" t="str">
        <f aca="false">IF($K114="","",IF(INDEX('Prospect Tracker'!$T$5:$T$554,$K114)="","",INDEX('Prospect Tracker'!$T$5:$T$554,$K114)))</f>
        <v/>
      </c>
      <c r="J114" s="11" t="str">
        <f aca="false">IF($K114="","",IF(INDEX('Prospect Tracker'!$L$5:$L$554,$K114)="","",INDEX('Prospect Tracker'!$L$5:$L$554,$K114)))</f>
        <v/>
      </c>
      <c r="K114" s="1" t="n">
        <f aca="false">IFERROR(MATCH(SMALL('Prospect Tracker'!$X$5:$X$554,ROW()-4),'Prospect Tracker'!$X$5:$X$554,0),"")</f>
        <v>110</v>
      </c>
    </row>
    <row r="115" customFormat="false" ht="15" hidden="false" customHeight="true" outlineLevel="0" collapsed="false">
      <c r="A115" s="6" t="str">
        <f aca="false">IF($K115="","",IF(INDEX('Prospect Tracker'!$W$5:$W$554,$K115)="","",INDEX('Prospect Tracker'!$W$5:$W$554,$K115)))</f>
        <v/>
      </c>
      <c r="B115" s="6" t="str">
        <f aca="false">IF($K115="","",IF(INDEX('Prospect Tracker'!$A$5:$A$554,$K115)="","",INDEX('Prospect Tracker'!$A$5:$A$554,$K115)))</f>
        <v/>
      </c>
      <c r="C115" s="6" t="str">
        <f aca="false">IF($K115="","",IF(INDEX('Prospect Tracker'!$B$5:$B$554,$K115)="","",INDEX('Prospect Tracker'!$B$5:$B$554,$K115)))</f>
        <v/>
      </c>
      <c r="D115" s="6" t="str">
        <f aca="false">IF($K115="","",IF(INDEX('Prospect Tracker'!$M$5:$M$554,$K115)="","",INDEX('Prospect Tracker'!$M$5:$M$554,$K115)))</f>
        <v/>
      </c>
      <c r="E115" s="6" t="str">
        <f aca="false">IF($K115="","",IF(INDEX('Prospect Tracker'!$R$5:$R$554,$K115)="","",INDEX('Prospect Tracker'!$R$5:$R$554,$K115)))</f>
        <v/>
      </c>
      <c r="F115" s="6" t="str">
        <f aca="false">IF($K115="","",IF(INDEX('Prospect Tracker'!$J$5:$J$554,$K115)="","",INDEX('Prospect Tracker'!$J$5:$J$554,$K115)))</f>
        <v/>
      </c>
      <c r="G115" s="6" t="str">
        <f aca="false">IF($K115="","",IF(INDEX('Prospect Tracker'!$H$5:$H$554,$K115)="","",INDEX('Prospect Tracker'!$H$5:$H$554,$K115)))</f>
        <v/>
      </c>
      <c r="H115" s="7" t="str">
        <f aca="false">IF($K115="","",IF(INDEX('Prospect Tracker'!$K$5:$K$554,$K115)="","",INDEX('Prospect Tracker'!$K$5:$K$554,$K115)))</f>
        <v/>
      </c>
      <c r="I115" s="6" t="str">
        <f aca="false">IF($K115="","",IF(INDEX('Prospect Tracker'!$T$5:$T$554,$K115)="","",INDEX('Prospect Tracker'!$T$5:$T$554,$K115)))</f>
        <v/>
      </c>
      <c r="J115" s="6" t="str">
        <f aca="false">IF($K115="","",IF(INDEX('Prospect Tracker'!$L$5:$L$554,$K115)="","",INDEX('Prospect Tracker'!$L$5:$L$554,$K115)))</f>
        <v/>
      </c>
      <c r="K115" s="1" t="n">
        <f aca="false">IFERROR(MATCH(SMALL('Prospect Tracker'!$X$5:$X$554,ROW()-4),'Prospect Tracker'!$X$5:$X$554,0),"")</f>
        <v>111</v>
      </c>
    </row>
    <row r="116" customFormat="false" ht="15" hidden="false" customHeight="true" outlineLevel="0" collapsed="false">
      <c r="A116" s="11" t="str">
        <f aca="false">IF($K116="","",IF(INDEX('Prospect Tracker'!$W$5:$W$554,$K116)="","",INDEX('Prospect Tracker'!$W$5:$W$554,$K116)))</f>
        <v/>
      </c>
      <c r="B116" s="11" t="str">
        <f aca="false">IF($K116="","",IF(INDEX('Prospect Tracker'!$A$5:$A$554,$K116)="","",INDEX('Prospect Tracker'!$A$5:$A$554,$K116)))</f>
        <v/>
      </c>
      <c r="C116" s="11" t="str">
        <f aca="false">IF($K116="","",IF(INDEX('Prospect Tracker'!$B$5:$B$554,$K116)="","",INDEX('Prospect Tracker'!$B$5:$B$554,$K116)))</f>
        <v/>
      </c>
      <c r="D116" s="11" t="str">
        <f aca="false">IF($K116="","",IF(INDEX('Prospect Tracker'!$M$5:$M$554,$K116)="","",INDEX('Prospect Tracker'!$M$5:$M$554,$K116)))</f>
        <v/>
      </c>
      <c r="E116" s="11" t="str">
        <f aca="false">IF($K116="","",IF(INDEX('Prospect Tracker'!$R$5:$R$554,$K116)="","",INDEX('Prospect Tracker'!$R$5:$R$554,$K116)))</f>
        <v/>
      </c>
      <c r="F116" s="11" t="str">
        <f aca="false">IF($K116="","",IF(INDEX('Prospect Tracker'!$J$5:$J$554,$K116)="","",INDEX('Prospect Tracker'!$J$5:$J$554,$K116)))</f>
        <v/>
      </c>
      <c r="G116" s="11" t="str">
        <f aca="false">IF($K116="","",IF(INDEX('Prospect Tracker'!$H$5:$H$554,$K116)="","",INDEX('Prospect Tracker'!$H$5:$H$554,$K116)))</f>
        <v/>
      </c>
      <c r="H116" s="12" t="str">
        <f aca="false">IF($K116="","",IF(INDEX('Prospect Tracker'!$K$5:$K$554,$K116)="","",INDEX('Prospect Tracker'!$K$5:$K$554,$K116)))</f>
        <v/>
      </c>
      <c r="I116" s="11" t="str">
        <f aca="false">IF($K116="","",IF(INDEX('Prospect Tracker'!$T$5:$T$554,$K116)="","",INDEX('Prospect Tracker'!$T$5:$T$554,$K116)))</f>
        <v/>
      </c>
      <c r="J116" s="11" t="str">
        <f aca="false">IF($K116="","",IF(INDEX('Prospect Tracker'!$L$5:$L$554,$K116)="","",INDEX('Prospect Tracker'!$L$5:$L$554,$K116)))</f>
        <v/>
      </c>
      <c r="K116" s="1" t="n">
        <f aca="false">IFERROR(MATCH(SMALL('Prospect Tracker'!$X$5:$X$554,ROW()-4),'Prospect Tracker'!$X$5:$X$554,0),"")</f>
        <v>112</v>
      </c>
    </row>
    <row r="117" customFormat="false" ht="15" hidden="false" customHeight="true" outlineLevel="0" collapsed="false">
      <c r="A117" s="6" t="str">
        <f aca="false">IF($K117="","",IF(INDEX('Prospect Tracker'!$W$5:$W$554,$K117)="","",INDEX('Prospect Tracker'!$W$5:$W$554,$K117)))</f>
        <v/>
      </c>
      <c r="B117" s="6" t="str">
        <f aca="false">IF($K117="","",IF(INDEX('Prospect Tracker'!$A$5:$A$554,$K117)="","",INDEX('Prospect Tracker'!$A$5:$A$554,$K117)))</f>
        <v/>
      </c>
      <c r="C117" s="6" t="str">
        <f aca="false">IF($K117="","",IF(INDEX('Prospect Tracker'!$B$5:$B$554,$K117)="","",INDEX('Prospect Tracker'!$B$5:$B$554,$K117)))</f>
        <v/>
      </c>
      <c r="D117" s="6" t="str">
        <f aca="false">IF($K117="","",IF(INDEX('Prospect Tracker'!$M$5:$M$554,$K117)="","",INDEX('Prospect Tracker'!$M$5:$M$554,$K117)))</f>
        <v/>
      </c>
      <c r="E117" s="6" t="str">
        <f aca="false">IF($K117="","",IF(INDEX('Prospect Tracker'!$R$5:$R$554,$K117)="","",INDEX('Prospect Tracker'!$R$5:$R$554,$K117)))</f>
        <v/>
      </c>
      <c r="F117" s="6" t="str">
        <f aca="false">IF($K117="","",IF(INDEX('Prospect Tracker'!$J$5:$J$554,$K117)="","",INDEX('Prospect Tracker'!$J$5:$J$554,$K117)))</f>
        <v/>
      </c>
      <c r="G117" s="6" t="str">
        <f aca="false">IF($K117="","",IF(INDEX('Prospect Tracker'!$H$5:$H$554,$K117)="","",INDEX('Prospect Tracker'!$H$5:$H$554,$K117)))</f>
        <v/>
      </c>
      <c r="H117" s="7" t="str">
        <f aca="false">IF($K117="","",IF(INDEX('Prospect Tracker'!$K$5:$K$554,$K117)="","",INDEX('Prospect Tracker'!$K$5:$K$554,$K117)))</f>
        <v/>
      </c>
      <c r="I117" s="6" t="str">
        <f aca="false">IF($K117="","",IF(INDEX('Prospect Tracker'!$T$5:$T$554,$K117)="","",INDEX('Prospect Tracker'!$T$5:$T$554,$K117)))</f>
        <v/>
      </c>
      <c r="J117" s="6" t="str">
        <f aca="false">IF($K117="","",IF(INDEX('Prospect Tracker'!$L$5:$L$554,$K117)="","",INDEX('Prospect Tracker'!$L$5:$L$554,$K117)))</f>
        <v/>
      </c>
      <c r="K117" s="1" t="n">
        <f aca="false">IFERROR(MATCH(SMALL('Prospect Tracker'!$X$5:$X$554,ROW()-4),'Prospect Tracker'!$X$5:$X$554,0),"")</f>
        <v>113</v>
      </c>
    </row>
    <row r="118" customFormat="false" ht="15" hidden="false" customHeight="true" outlineLevel="0" collapsed="false">
      <c r="A118" s="11" t="str">
        <f aca="false">IF($K118="","",IF(INDEX('Prospect Tracker'!$W$5:$W$554,$K118)="","",INDEX('Prospect Tracker'!$W$5:$W$554,$K118)))</f>
        <v/>
      </c>
      <c r="B118" s="11" t="str">
        <f aca="false">IF($K118="","",IF(INDEX('Prospect Tracker'!$A$5:$A$554,$K118)="","",INDEX('Prospect Tracker'!$A$5:$A$554,$K118)))</f>
        <v/>
      </c>
      <c r="C118" s="11" t="str">
        <f aca="false">IF($K118="","",IF(INDEX('Prospect Tracker'!$B$5:$B$554,$K118)="","",INDEX('Prospect Tracker'!$B$5:$B$554,$K118)))</f>
        <v/>
      </c>
      <c r="D118" s="11" t="str">
        <f aca="false">IF($K118="","",IF(INDEX('Prospect Tracker'!$M$5:$M$554,$K118)="","",INDEX('Prospect Tracker'!$M$5:$M$554,$K118)))</f>
        <v/>
      </c>
      <c r="E118" s="11" t="str">
        <f aca="false">IF($K118="","",IF(INDEX('Prospect Tracker'!$R$5:$R$554,$K118)="","",INDEX('Prospect Tracker'!$R$5:$R$554,$K118)))</f>
        <v/>
      </c>
      <c r="F118" s="11" t="str">
        <f aca="false">IF($K118="","",IF(INDEX('Prospect Tracker'!$J$5:$J$554,$K118)="","",INDEX('Prospect Tracker'!$J$5:$J$554,$K118)))</f>
        <v/>
      </c>
      <c r="G118" s="11" t="str">
        <f aca="false">IF($K118="","",IF(INDEX('Prospect Tracker'!$H$5:$H$554,$K118)="","",INDEX('Prospect Tracker'!$H$5:$H$554,$K118)))</f>
        <v/>
      </c>
      <c r="H118" s="12" t="str">
        <f aca="false">IF($K118="","",IF(INDEX('Prospect Tracker'!$K$5:$K$554,$K118)="","",INDEX('Prospect Tracker'!$K$5:$K$554,$K118)))</f>
        <v/>
      </c>
      <c r="I118" s="11" t="str">
        <f aca="false">IF($K118="","",IF(INDEX('Prospect Tracker'!$T$5:$T$554,$K118)="","",INDEX('Prospect Tracker'!$T$5:$T$554,$K118)))</f>
        <v/>
      </c>
      <c r="J118" s="11" t="str">
        <f aca="false">IF($K118="","",IF(INDEX('Prospect Tracker'!$L$5:$L$554,$K118)="","",INDEX('Prospect Tracker'!$L$5:$L$554,$K118)))</f>
        <v/>
      </c>
      <c r="K118" s="1" t="n">
        <f aca="false">IFERROR(MATCH(SMALL('Prospect Tracker'!$X$5:$X$554,ROW()-4),'Prospect Tracker'!$X$5:$X$554,0),"")</f>
        <v>114</v>
      </c>
    </row>
    <row r="119" customFormat="false" ht="15" hidden="false" customHeight="true" outlineLevel="0" collapsed="false">
      <c r="A119" s="6" t="str">
        <f aca="false">IF($K119="","",IF(INDEX('Prospect Tracker'!$W$5:$W$554,$K119)="","",INDEX('Prospect Tracker'!$W$5:$W$554,$K119)))</f>
        <v/>
      </c>
      <c r="B119" s="6" t="str">
        <f aca="false">IF($K119="","",IF(INDEX('Prospect Tracker'!$A$5:$A$554,$K119)="","",INDEX('Prospect Tracker'!$A$5:$A$554,$K119)))</f>
        <v/>
      </c>
      <c r="C119" s="6" t="str">
        <f aca="false">IF($K119="","",IF(INDEX('Prospect Tracker'!$B$5:$B$554,$K119)="","",INDEX('Prospect Tracker'!$B$5:$B$554,$K119)))</f>
        <v/>
      </c>
      <c r="D119" s="6" t="str">
        <f aca="false">IF($K119="","",IF(INDEX('Prospect Tracker'!$M$5:$M$554,$K119)="","",INDEX('Prospect Tracker'!$M$5:$M$554,$K119)))</f>
        <v/>
      </c>
      <c r="E119" s="6" t="str">
        <f aca="false">IF($K119="","",IF(INDEX('Prospect Tracker'!$R$5:$R$554,$K119)="","",INDEX('Prospect Tracker'!$R$5:$R$554,$K119)))</f>
        <v/>
      </c>
      <c r="F119" s="6" t="str">
        <f aca="false">IF($K119="","",IF(INDEX('Prospect Tracker'!$J$5:$J$554,$K119)="","",INDEX('Prospect Tracker'!$J$5:$J$554,$K119)))</f>
        <v/>
      </c>
      <c r="G119" s="6" t="str">
        <f aca="false">IF($K119="","",IF(INDEX('Prospect Tracker'!$H$5:$H$554,$K119)="","",INDEX('Prospect Tracker'!$H$5:$H$554,$K119)))</f>
        <v/>
      </c>
      <c r="H119" s="7" t="str">
        <f aca="false">IF($K119="","",IF(INDEX('Prospect Tracker'!$K$5:$K$554,$K119)="","",INDEX('Prospect Tracker'!$K$5:$K$554,$K119)))</f>
        <v/>
      </c>
      <c r="I119" s="6" t="str">
        <f aca="false">IF($K119="","",IF(INDEX('Prospect Tracker'!$T$5:$T$554,$K119)="","",INDEX('Prospect Tracker'!$T$5:$T$554,$K119)))</f>
        <v/>
      </c>
      <c r="J119" s="6" t="str">
        <f aca="false">IF($K119="","",IF(INDEX('Prospect Tracker'!$L$5:$L$554,$K119)="","",INDEX('Prospect Tracker'!$L$5:$L$554,$K119)))</f>
        <v/>
      </c>
      <c r="K119" s="1" t="n">
        <f aca="false">IFERROR(MATCH(SMALL('Prospect Tracker'!$X$5:$X$554,ROW()-4),'Prospect Tracker'!$X$5:$X$554,0),"")</f>
        <v>115</v>
      </c>
    </row>
    <row r="120" customFormat="false" ht="15" hidden="false" customHeight="true" outlineLevel="0" collapsed="false">
      <c r="A120" s="11" t="str">
        <f aca="false">IF($K120="","",IF(INDEX('Prospect Tracker'!$W$5:$W$554,$K120)="","",INDEX('Prospect Tracker'!$W$5:$W$554,$K120)))</f>
        <v/>
      </c>
      <c r="B120" s="11" t="str">
        <f aca="false">IF($K120="","",IF(INDEX('Prospect Tracker'!$A$5:$A$554,$K120)="","",INDEX('Prospect Tracker'!$A$5:$A$554,$K120)))</f>
        <v/>
      </c>
      <c r="C120" s="11" t="str">
        <f aca="false">IF($K120="","",IF(INDEX('Prospect Tracker'!$B$5:$B$554,$K120)="","",INDEX('Prospect Tracker'!$B$5:$B$554,$K120)))</f>
        <v/>
      </c>
      <c r="D120" s="11" t="str">
        <f aca="false">IF($K120="","",IF(INDEX('Prospect Tracker'!$M$5:$M$554,$K120)="","",INDEX('Prospect Tracker'!$M$5:$M$554,$K120)))</f>
        <v/>
      </c>
      <c r="E120" s="11" t="str">
        <f aca="false">IF($K120="","",IF(INDEX('Prospect Tracker'!$R$5:$R$554,$K120)="","",INDEX('Prospect Tracker'!$R$5:$R$554,$K120)))</f>
        <v/>
      </c>
      <c r="F120" s="11" t="str">
        <f aca="false">IF($K120="","",IF(INDEX('Prospect Tracker'!$J$5:$J$554,$K120)="","",INDEX('Prospect Tracker'!$J$5:$J$554,$K120)))</f>
        <v/>
      </c>
      <c r="G120" s="11" t="str">
        <f aca="false">IF($K120="","",IF(INDEX('Prospect Tracker'!$H$5:$H$554,$K120)="","",INDEX('Prospect Tracker'!$H$5:$H$554,$K120)))</f>
        <v/>
      </c>
      <c r="H120" s="12" t="str">
        <f aca="false">IF($K120="","",IF(INDEX('Prospect Tracker'!$K$5:$K$554,$K120)="","",INDEX('Prospect Tracker'!$K$5:$K$554,$K120)))</f>
        <v/>
      </c>
      <c r="I120" s="11" t="str">
        <f aca="false">IF($K120="","",IF(INDEX('Prospect Tracker'!$T$5:$T$554,$K120)="","",INDEX('Prospect Tracker'!$T$5:$T$554,$K120)))</f>
        <v/>
      </c>
      <c r="J120" s="11" t="str">
        <f aca="false">IF($K120="","",IF(INDEX('Prospect Tracker'!$L$5:$L$554,$K120)="","",INDEX('Prospect Tracker'!$L$5:$L$554,$K120)))</f>
        <v/>
      </c>
      <c r="K120" s="1" t="n">
        <f aca="false">IFERROR(MATCH(SMALL('Prospect Tracker'!$X$5:$X$554,ROW()-4),'Prospect Tracker'!$X$5:$X$554,0),"")</f>
        <v>116</v>
      </c>
    </row>
    <row r="121" customFormat="false" ht="15" hidden="false" customHeight="true" outlineLevel="0" collapsed="false">
      <c r="A121" s="6" t="str">
        <f aca="false">IF($K121="","",IF(INDEX('Prospect Tracker'!$W$5:$W$554,$K121)="","",INDEX('Prospect Tracker'!$W$5:$W$554,$K121)))</f>
        <v/>
      </c>
      <c r="B121" s="6" t="str">
        <f aca="false">IF($K121="","",IF(INDEX('Prospect Tracker'!$A$5:$A$554,$K121)="","",INDEX('Prospect Tracker'!$A$5:$A$554,$K121)))</f>
        <v/>
      </c>
      <c r="C121" s="6" t="str">
        <f aca="false">IF($K121="","",IF(INDEX('Prospect Tracker'!$B$5:$B$554,$K121)="","",INDEX('Prospect Tracker'!$B$5:$B$554,$K121)))</f>
        <v/>
      </c>
      <c r="D121" s="6" t="str">
        <f aca="false">IF($K121="","",IF(INDEX('Prospect Tracker'!$M$5:$M$554,$K121)="","",INDEX('Prospect Tracker'!$M$5:$M$554,$K121)))</f>
        <v/>
      </c>
      <c r="E121" s="6" t="str">
        <f aca="false">IF($K121="","",IF(INDEX('Prospect Tracker'!$R$5:$R$554,$K121)="","",INDEX('Prospect Tracker'!$R$5:$R$554,$K121)))</f>
        <v/>
      </c>
      <c r="F121" s="6" t="str">
        <f aca="false">IF($K121="","",IF(INDEX('Prospect Tracker'!$J$5:$J$554,$K121)="","",INDEX('Prospect Tracker'!$J$5:$J$554,$K121)))</f>
        <v/>
      </c>
      <c r="G121" s="6" t="str">
        <f aca="false">IF($K121="","",IF(INDEX('Prospect Tracker'!$H$5:$H$554,$K121)="","",INDEX('Prospect Tracker'!$H$5:$H$554,$K121)))</f>
        <v/>
      </c>
      <c r="H121" s="7" t="str">
        <f aca="false">IF($K121="","",IF(INDEX('Prospect Tracker'!$K$5:$K$554,$K121)="","",INDEX('Prospect Tracker'!$K$5:$K$554,$K121)))</f>
        <v/>
      </c>
      <c r="I121" s="6" t="str">
        <f aca="false">IF($K121="","",IF(INDEX('Prospect Tracker'!$T$5:$T$554,$K121)="","",INDEX('Prospect Tracker'!$T$5:$T$554,$K121)))</f>
        <v/>
      </c>
      <c r="J121" s="6" t="str">
        <f aca="false">IF($K121="","",IF(INDEX('Prospect Tracker'!$L$5:$L$554,$K121)="","",INDEX('Prospect Tracker'!$L$5:$L$554,$K121)))</f>
        <v/>
      </c>
      <c r="K121" s="1" t="n">
        <f aca="false">IFERROR(MATCH(SMALL('Prospect Tracker'!$X$5:$X$554,ROW()-4),'Prospect Tracker'!$X$5:$X$554,0),"")</f>
        <v>117</v>
      </c>
    </row>
    <row r="122" customFormat="false" ht="15" hidden="false" customHeight="true" outlineLevel="0" collapsed="false">
      <c r="A122" s="11" t="str">
        <f aca="false">IF($K122="","",IF(INDEX('Prospect Tracker'!$W$5:$W$554,$K122)="","",INDEX('Prospect Tracker'!$W$5:$W$554,$K122)))</f>
        <v/>
      </c>
      <c r="B122" s="11" t="str">
        <f aca="false">IF($K122="","",IF(INDEX('Prospect Tracker'!$A$5:$A$554,$K122)="","",INDEX('Prospect Tracker'!$A$5:$A$554,$K122)))</f>
        <v/>
      </c>
      <c r="C122" s="11" t="str">
        <f aca="false">IF($K122="","",IF(INDEX('Prospect Tracker'!$B$5:$B$554,$K122)="","",INDEX('Prospect Tracker'!$B$5:$B$554,$K122)))</f>
        <v/>
      </c>
      <c r="D122" s="11" t="str">
        <f aca="false">IF($K122="","",IF(INDEX('Prospect Tracker'!$M$5:$M$554,$K122)="","",INDEX('Prospect Tracker'!$M$5:$M$554,$K122)))</f>
        <v/>
      </c>
      <c r="E122" s="11" t="str">
        <f aca="false">IF($K122="","",IF(INDEX('Prospect Tracker'!$R$5:$R$554,$K122)="","",INDEX('Prospect Tracker'!$R$5:$R$554,$K122)))</f>
        <v/>
      </c>
      <c r="F122" s="11" t="str">
        <f aca="false">IF($K122="","",IF(INDEX('Prospect Tracker'!$J$5:$J$554,$K122)="","",INDEX('Prospect Tracker'!$J$5:$J$554,$K122)))</f>
        <v/>
      </c>
      <c r="G122" s="11" t="str">
        <f aca="false">IF($K122="","",IF(INDEX('Prospect Tracker'!$H$5:$H$554,$K122)="","",INDEX('Prospect Tracker'!$H$5:$H$554,$K122)))</f>
        <v/>
      </c>
      <c r="H122" s="12" t="str">
        <f aca="false">IF($K122="","",IF(INDEX('Prospect Tracker'!$K$5:$K$554,$K122)="","",INDEX('Prospect Tracker'!$K$5:$K$554,$K122)))</f>
        <v/>
      </c>
      <c r="I122" s="11" t="str">
        <f aca="false">IF($K122="","",IF(INDEX('Prospect Tracker'!$T$5:$T$554,$K122)="","",INDEX('Prospect Tracker'!$T$5:$T$554,$K122)))</f>
        <v/>
      </c>
      <c r="J122" s="11" t="str">
        <f aca="false">IF($K122="","",IF(INDEX('Prospect Tracker'!$L$5:$L$554,$K122)="","",INDEX('Prospect Tracker'!$L$5:$L$554,$K122)))</f>
        <v/>
      </c>
      <c r="K122" s="1" t="n">
        <f aca="false">IFERROR(MATCH(SMALL('Prospect Tracker'!$X$5:$X$554,ROW()-4),'Prospect Tracker'!$X$5:$X$554,0),"")</f>
        <v>118</v>
      </c>
    </row>
    <row r="123" customFormat="false" ht="15" hidden="false" customHeight="true" outlineLevel="0" collapsed="false">
      <c r="A123" s="6" t="str">
        <f aca="false">IF($K123="","",IF(INDEX('Prospect Tracker'!$W$5:$W$554,$K123)="","",INDEX('Prospect Tracker'!$W$5:$W$554,$K123)))</f>
        <v/>
      </c>
      <c r="B123" s="6" t="str">
        <f aca="false">IF($K123="","",IF(INDEX('Prospect Tracker'!$A$5:$A$554,$K123)="","",INDEX('Prospect Tracker'!$A$5:$A$554,$K123)))</f>
        <v/>
      </c>
      <c r="C123" s="6" t="str">
        <f aca="false">IF($K123="","",IF(INDEX('Prospect Tracker'!$B$5:$B$554,$K123)="","",INDEX('Prospect Tracker'!$B$5:$B$554,$K123)))</f>
        <v/>
      </c>
      <c r="D123" s="6" t="str">
        <f aca="false">IF($K123="","",IF(INDEX('Prospect Tracker'!$M$5:$M$554,$K123)="","",INDEX('Prospect Tracker'!$M$5:$M$554,$K123)))</f>
        <v/>
      </c>
      <c r="E123" s="6" t="str">
        <f aca="false">IF($K123="","",IF(INDEX('Prospect Tracker'!$R$5:$R$554,$K123)="","",INDEX('Prospect Tracker'!$R$5:$R$554,$K123)))</f>
        <v/>
      </c>
      <c r="F123" s="6" t="str">
        <f aca="false">IF($K123="","",IF(INDEX('Prospect Tracker'!$J$5:$J$554,$K123)="","",INDEX('Prospect Tracker'!$J$5:$J$554,$K123)))</f>
        <v/>
      </c>
      <c r="G123" s="6" t="str">
        <f aca="false">IF($K123="","",IF(INDEX('Prospect Tracker'!$H$5:$H$554,$K123)="","",INDEX('Prospect Tracker'!$H$5:$H$554,$K123)))</f>
        <v/>
      </c>
      <c r="H123" s="7" t="str">
        <f aca="false">IF($K123="","",IF(INDEX('Prospect Tracker'!$K$5:$K$554,$K123)="","",INDEX('Prospect Tracker'!$K$5:$K$554,$K123)))</f>
        <v/>
      </c>
      <c r="I123" s="6" t="str">
        <f aca="false">IF($K123="","",IF(INDEX('Prospect Tracker'!$T$5:$T$554,$K123)="","",INDEX('Prospect Tracker'!$T$5:$T$554,$K123)))</f>
        <v/>
      </c>
      <c r="J123" s="6" t="str">
        <f aca="false">IF($K123="","",IF(INDEX('Prospect Tracker'!$L$5:$L$554,$K123)="","",INDEX('Prospect Tracker'!$L$5:$L$554,$K123)))</f>
        <v/>
      </c>
      <c r="K123" s="1" t="n">
        <f aca="false">IFERROR(MATCH(SMALL('Prospect Tracker'!$X$5:$X$554,ROW()-4),'Prospect Tracker'!$X$5:$X$554,0),"")</f>
        <v>119</v>
      </c>
    </row>
    <row r="124" customFormat="false" ht="15" hidden="false" customHeight="true" outlineLevel="0" collapsed="false">
      <c r="A124" s="11" t="str">
        <f aca="false">IF($K124="","",IF(INDEX('Prospect Tracker'!$W$5:$W$554,$K124)="","",INDEX('Prospect Tracker'!$W$5:$W$554,$K124)))</f>
        <v/>
      </c>
      <c r="B124" s="11" t="str">
        <f aca="false">IF($K124="","",IF(INDEX('Prospect Tracker'!$A$5:$A$554,$K124)="","",INDEX('Prospect Tracker'!$A$5:$A$554,$K124)))</f>
        <v/>
      </c>
      <c r="C124" s="11" t="str">
        <f aca="false">IF($K124="","",IF(INDEX('Prospect Tracker'!$B$5:$B$554,$K124)="","",INDEX('Prospect Tracker'!$B$5:$B$554,$K124)))</f>
        <v/>
      </c>
      <c r="D124" s="11" t="str">
        <f aca="false">IF($K124="","",IF(INDEX('Prospect Tracker'!$M$5:$M$554,$K124)="","",INDEX('Prospect Tracker'!$M$5:$M$554,$K124)))</f>
        <v/>
      </c>
      <c r="E124" s="11" t="str">
        <f aca="false">IF($K124="","",IF(INDEX('Prospect Tracker'!$R$5:$R$554,$K124)="","",INDEX('Prospect Tracker'!$R$5:$R$554,$K124)))</f>
        <v/>
      </c>
      <c r="F124" s="11" t="str">
        <f aca="false">IF($K124="","",IF(INDEX('Prospect Tracker'!$J$5:$J$554,$K124)="","",INDEX('Prospect Tracker'!$J$5:$J$554,$K124)))</f>
        <v/>
      </c>
      <c r="G124" s="11" t="str">
        <f aca="false">IF($K124="","",IF(INDEX('Prospect Tracker'!$H$5:$H$554,$K124)="","",INDEX('Prospect Tracker'!$H$5:$H$554,$K124)))</f>
        <v/>
      </c>
      <c r="H124" s="12" t="str">
        <f aca="false">IF($K124="","",IF(INDEX('Prospect Tracker'!$K$5:$K$554,$K124)="","",INDEX('Prospect Tracker'!$K$5:$K$554,$K124)))</f>
        <v/>
      </c>
      <c r="I124" s="11" t="str">
        <f aca="false">IF($K124="","",IF(INDEX('Prospect Tracker'!$T$5:$T$554,$K124)="","",INDEX('Prospect Tracker'!$T$5:$T$554,$K124)))</f>
        <v/>
      </c>
      <c r="J124" s="11" t="str">
        <f aca="false">IF($K124="","",IF(INDEX('Prospect Tracker'!$L$5:$L$554,$K124)="","",INDEX('Prospect Tracker'!$L$5:$L$554,$K124)))</f>
        <v/>
      </c>
      <c r="K124" s="1" t="n">
        <f aca="false">IFERROR(MATCH(SMALL('Prospect Tracker'!$X$5:$X$554,ROW()-4),'Prospect Tracker'!$X$5:$X$554,0),"")</f>
        <v>120</v>
      </c>
    </row>
    <row r="125" customFormat="false" ht="15" hidden="false" customHeight="true" outlineLevel="0" collapsed="false">
      <c r="A125" s="6" t="str">
        <f aca="false">IF($K125="","",IF(INDEX('Prospect Tracker'!$W$5:$W$554,$K125)="","",INDEX('Prospect Tracker'!$W$5:$W$554,$K125)))</f>
        <v/>
      </c>
      <c r="B125" s="6" t="str">
        <f aca="false">IF($K125="","",IF(INDEX('Prospect Tracker'!$A$5:$A$554,$K125)="","",INDEX('Prospect Tracker'!$A$5:$A$554,$K125)))</f>
        <v/>
      </c>
      <c r="C125" s="6" t="str">
        <f aca="false">IF($K125="","",IF(INDEX('Prospect Tracker'!$B$5:$B$554,$K125)="","",INDEX('Prospect Tracker'!$B$5:$B$554,$K125)))</f>
        <v/>
      </c>
      <c r="D125" s="6" t="str">
        <f aca="false">IF($K125="","",IF(INDEX('Prospect Tracker'!$M$5:$M$554,$K125)="","",INDEX('Prospect Tracker'!$M$5:$M$554,$K125)))</f>
        <v/>
      </c>
      <c r="E125" s="6" t="str">
        <f aca="false">IF($K125="","",IF(INDEX('Prospect Tracker'!$R$5:$R$554,$K125)="","",INDEX('Prospect Tracker'!$R$5:$R$554,$K125)))</f>
        <v/>
      </c>
      <c r="F125" s="6" t="str">
        <f aca="false">IF($K125="","",IF(INDEX('Prospect Tracker'!$J$5:$J$554,$K125)="","",INDEX('Prospect Tracker'!$J$5:$J$554,$K125)))</f>
        <v/>
      </c>
      <c r="G125" s="6" t="str">
        <f aca="false">IF($K125="","",IF(INDEX('Prospect Tracker'!$H$5:$H$554,$K125)="","",INDEX('Prospect Tracker'!$H$5:$H$554,$K125)))</f>
        <v/>
      </c>
      <c r="H125" s="7" t="str">
        <f aca="false">IF($K125="","",IF(INDEX('Prospect Tracker'!$K$5:$K$554,$K125)="","",INDEX('Prospect Tracker'!$K$5:$K$554,$K125)))</f>
        <v/>
      </c>
      <c r="I125" s="6" t="str">
        <f aca="false">IF($K125="","",IF(INDEX('Prospect Tracker'!$T$5:$T$554,$K125)="","",INDEX('Prospect Tracker'!$T$5:$T$554,$K125)))</f>
        <v/>
      </c>
      <c r="J125" s="6" t="str">
        <f aca="false">IF($K125="","",IF(INDEX('Prospect Tracker'!$L$5:$L$554,$K125)="","",INDEX('Prospect Tracker'!$L$5:$L$554,$K125)))</f>
        <v/>
      </c>
      <c r="K125" s="1" t="n">
        <f aca="false">IFERROR(MATCH(SMALL('Prospect Tracker'!$X$5:$X$554,ROW()-4),'Prospect Tracker'!$X$5:$X$554,0),"")</f>
        <v>121</v>
      </c>
    </row>
    <row r="126" customFormat="false" ht="15" hidden="false" customHeight="true" outlineLevel="0" collapsed="false">
      <c r="A126" s="11" t="str">
        <f aca="false">IF($K126="","",IF(INDEX('Prospect Tracker'!$W$5:$W$554,$K126)="","",INDEX('Prospect Tracker'!$W$5:$W$554,$K126)))</f>
        <v/>
      </c>
      <c r="B126" s="11" t="str">
        <f aca="false">IF($K126="","",IF(INDEX('Prospect Tracker'!$A$5:$A$554,$K126)="","",INDEX('Prospect Tracker'!$A$5:$A$554,$K126)))</f>
        <v/>
      </c>
      <c r="C126" s="11" t="str">
        <f aca="false">IF($K126="","",IF(INDEX('Prospect Tracker'!$B$5:$B$554,$K126)="","",INDEX('Prospect Tracker'!$B$5:$B$554,$K126)))</f>
        <v/>
      </c>
      <c r="D126" s="11" t="str">
        <f aca="false">IF($K126="","",IF(INDEX('Prospect Tracker'!$M$5:$M$554,$K126)="","",INDEX('Prospect Tracker'!$M$5:$M$554,$K126)))</f>
        <v/>
      </c>
      <c r="E126" s="11" t="str">
        <f aca="false">IF($K126="","",IF(INDEX('Prospect Tracker'!$R$5:$R$554,$K126)="","",INDEX('Prospect Tracker'!$R$5:$R$554,$K126)))</f>
        <v/>
      </c>
      <c r="F126" s="11" t="str">
        <f aca="false">IF($K126="","",IF(INDEX('Prospect Tracker'!$J$5:$J$554,$K126)="","",INDEX('Prospect Tracker'!$J$5:$J$554,$K126)))</f>
        <v/>
      </c>
      <c r="G126" s="11" t="str">
        <f aca="false">IF($K126="","",IF(INDEX('Prospect Tracker'!$H$5:$H$554,$K126)="","",INDEX('Prospect Tracker'!$H$5:$H$554,$K126)))</f>
        <v/>
      </c>
      <c r="H126" s="12" t="str">
        <f aca="false">IF($K126="","",IF(INDEX('Prospect Tracker'!$K$5:$K$554,$K126)="","",INDEX('Prospect Tracker'!$K$5:$K$554,$K126)))</f>
        <v/>
      </c>
      <c r="I126" s="11" t="str">
        <f aca="false">IF($K126="","",IF(INDEX('Prospect Tracker'!$T$5:$T$554,$K126)="","",INDEX('Prospect Tracker'!$T$5:$T$554,$K126)))</f>
        <v/>
      </c>
      <c r="J126" s="11" t="str">
        <f aca="false">IF($K126="","",IF(INDEX('Prospect Tracker'!$L$5:$L$554,$K126)="","",INDEX('Prospect Tracker'!$L$5:$L$554,$K126)))</f>
        <v/>
      </c>
      <c r="K126" s="1" t="n">
        <f aca="false">IFERROR(MATCH(SMALL('Prospect Tracker'!$X$5:$X$554,ROW()-4),'Prospect Tracker'!$X$5:$X$554,0),"")</f>
        <v>122</v>
      </c>
    </row>
    <row r="127" customFormat="false" ht="15" hidden="false" customHeight="true" outlineLevel="0" collapsed="false">
      <c r="A127" s="6" t="str">
        <f aca="false">IF($K127="","",IF(INDEX('Prospect Tracker'!$W$5:$W$554,$K127)="","",INDEX('Prospect Tracker'!$W$5:$W$554,$K127)))</f>
        <v/>
      </c>
      <c r="B127" s="6" t="str">
        <f aca="false">IF($K127="","",IF(INDEX('Prospect Tracker'!$A$5:$A$554,$K127)="","",INDEX('Prospect Tracker'!$A$5:$A$554,$K127)))</f>
        <v/>
      </c>
      <c r="C127" s="6" t="str">
        <f aca="false">IF($K127="","",IF(INDEX('Prospect Tracker'!$B$5:$B$554,$K127)="","",INDEX('Prospect Tracker'!$B$5:$B$554,$K127)))</f>
        <v/>
      </c>
      <c r="D127" s="6" t="str">
        <f aca="false">IF($K127="","",IF(INDEX('Prospect Tracker'!$M$5:$M$554,$K127)="","",INDEX('Prospect Tracker'!$M$5:$M$554,$K127)))</f>
        <v/>
      </c>
      <c r="E127" s="6" t="str">
        <f aca="false">IF($K127="","",IF(INDEX('Prospect Tracker'!$R$5:$R$554,$K127)="","",INDEX('Prospect Tracker'!$R$5:$R$554,$K127)))</f>
        <v/>
      </c>
      <c r="F127" s="6" t="str">
        <f aca="false">IF($K127="","",IF(INDEX('Prospect Tracker'!$J$5:$J$554,$K127)="","",INDEX('Prospect Tracker'!$J$5:$J$554,$K127)))</f>
        <v/>
      </c>
      <c r="G127" s="6" t="str">
        <f aca="false">IF($K127="","",IF(INDEX('Prospect Tracker'!$H$5:$H$554,$K127)="","",INDEX('Prospect Tracker'!$H$5:$H$554,$K127)))</f>
        <v/>
      </c>
      <c r="H127" s="7" t="str">
        <f aca="false">IF($K127="","",IF(INDEX('Prospect Tracker'!$K$5:$K$554,$K127)="","",INDEX('Prospect Tracker'!$K$5:$K$554,$K127)))</f>
        <v/>
      </c>
      <c r="I127" s="6" t="str">
        <f aca="false">IF($K127="","",IF(INDEX('Prospect Tracker'!$T$5:$T$554,$K127)="","",INDEX('Prospect Tracker'!$T$5:$T$554,$K127)))</f>
        <v/>
      </c>
      <c r="J127" s="6" t="str">
        <f aca="false">IF($K127="","",IF(INDEX('Prospect Tracker'!$L$5:$L$554,$K127)="","",INDEX('Prospect Tracker'!$L$5:$L$554,$K127)))</f>
        <v/>
      </c>
      <c r="K127" s="1" t="n">
        <f aca="false">IFERROR(MATCH(SMALL('Prospect Tracker'!$X$5:$X$554,ROW()-4),'Prospect Tracker'!$X$5:$X$554,0),"")</f>
        <v>123</v>
      </c>
    </row>
    <row r="128" customFormat="false" ht="15" hidden="false" customHeight="true" outlineLevel="0" collapsed="false">
      <c r="A128" s="11" t="str">
        <f aca="false">IF($K128="","",IF(INDEX('Prospect Tracker'!$W$5:$W$554,$K128)="","",INDEX('Prospect Tracker'!$W$5:$W$554,$K128)))</f>
        <v/>
      </c>
      <c r="B128" s="11" t="str">
        <f aca="false">IF($K128="","",IF(INDEX('Prospect Tracker'!$A$5:$A$554,$K128)="","",INDEX('Prospect Tracker'!$A$5:$A$554,$K128)))</f>
        <v/>
      </c>
      <c r="C128" s="11" t="str">
        <f aca="false">IF($K128="","",IF(INDEX('Prospect Tracker'!$B$5:$B$554,$K128)="","",INDEX('Prospect Tracker'!$B$5:$B$554,$K128)))</f>
        <v/>
      </c>
      <c r="D128" s="11" t="str">
        <f aca="false">IF($K128="","",IF(INDEX('Prospect Tracker'!$M$5:$M$554,$K128)="","",INDEX('Prospect Tracker'!$M$5:$M$554,$K128)))</f>
        <v/>
      </c>
      <c r="E128" s="11" t="str">
        <f aca="false">IF($K128="","",IF(INDEX('Prospect Tracker'!$R$5:$R$554,$K128)="","",INDEX('Prospect Tracker'!$R$5:$R$554,$K128)))</f>
        <v/>
      </c>
      <c r="F128" s="11" t="str">
        <f aca="false">IF($K128="","",IF(INDEX('Prospect Tracker'!$J$5:$J$554,$K128)="","",INDEX('Prospect Tracker'!$J$5:$J$554,$K128)))</f>
        <v/>
      </c>
      <c r="G128" s="11" t="str">
        <f aca="false">IF($K128="","",IF(INDEX('Prospect Tracker'!$H$5:$H$554,$K128)="","",INDEX('Prospect Tracker'!$H$5:$H$554,$K128)))</f>
        <v/>
      </c>
      <c r="H128" s="12" t="str">
        <f aca="false">IF($K128="","",IF(INDEX('Prospect Tracker'!$K$5:$K$554,$K128)="","",INDEX('Prospect Tracker'!$K$5:$K$554,$K128)))</f>
        <v/>
      </c>
      <c r="I128" s="11" t="str">
        <f aca="false">IF($K128="","",IF(INDEX('Prospect Tracker'!$T$5:$T$554,$K128)="","",INDEX('Prospect Tracker'!$T$5:$T$554,$K128)))</f>
        <v/>
      </c>
      <c r="J128" s="11" t="str">
        <f aca="false">IF($K128="","",IF(INDEX('Prospect Tracker'!$L$5:$L$554,$K128)="","",INDEX('Prospect Tracker'!$L$5:$L$554,$K128)))</f>
        <v/>
      </c>
      <c r="K128" s="1" t="n">
        <f aca="false">IFERROR(MATCH(SMALL('Prospect Tracker'!$X$5:$X$554,ROW()-4),'Prospect Tracker'!$X$5:$X$554,0),"")</f>
        <v>124</v>
      </c>
    </row>
    <row r="129" customFormat="false" ht="15" hidden="false" customHeight="true" outlineLevel="0" collapsed="false">
      <c r="A129" s="6" t="str">
        <f aca="false">IF($K129="","",IF(INDEX('Prospect Tracker'!$W$5:$W$554,$K129)="","",INDEX('Prospect Tracker'!$W$5:$W$554,$K129)))</f>
        <v/>
      </c>
      <c r="B129" s="6" t="str">
        <f aca="false">IF($K129="","",IF(INDEX('Prospect Tracker'!$A$5:$A$554,$K129)="","",INDEX('Prospect Tracker'!$A$5:$A$554,$K129)))</f>
        <v/>
      </c>
      <c r="C129" s="6" t="str">
        <f aca="false">IF($K129="","",IF(INDEX('Prospect Tracker'!$B$5:$B$554,$K129)="","",INDEX('Prospect Tracker'!$B$5:$B$554,$K129)))</f>
        <v/>
      </c>
      <c r="D129" s="6" t="str">
        <f aca="false">IF($K129="","",IF(INDEX('Prospect Tracker'!$M$5:$M$554,$K129)="","",INDEX('Prospect Tracker'!$M$5:$M$554,$K129)))</f>
        <v/>
      </c>
      <c r="E129" s="6" t="str">
        <f aca="false">IF($K129="","",IF(INDEX('Prospect Tracker'!$R$5:$R$554,$K129)="","",INDEX('Prospect Tracker'!$R$5:$R$554,$K129)))</f>
        <v/>
      </c>
      <c r="F129" s="6" t="str">
        <f aca="false">IF($K129="","",IF(INDEX('Prospect Tracker'!$J$5:$J$554,$K129)="","",INDEX('Prospect Tracker'!$J$5:$J$554,$K129)))</f>
        <v/>
      </c>
      <c r="G129" s="6" t="str">
        <f aca="false">IF($K129="","",IF(INDEX('Prospect Tracker'!$H$5:$H$554,$K129)="","",INDEX('Prospect Tracker'!$H$5:$H$554,$K129)))</f>
        <v/>
      </c>
      <c r="H129" s="7" t="str">
        <f aca="false">IF($K129="","",IF(INDEX('Prospect Tracker'!$K$5:$K$554,$K129)="","",INDEX('Prospect Tracker'!$K$5:$K$554,$K129)))</f>
        <v/>
      </c>
      <c r="I129" s="6" t="str">
        <f aca="false">IF($K129="","",IF(INDEX('Prospect Tracker'!$T$5:$T$554,$K129)="","",INDEX('Prospect Tracker'!$T$5:$T$554,$K129)))</f>
        <v/>
      </c>
      <c r="J129" s="6" t="str">
        <f aca="false">IF($K129="","",IF(INDEX('Prospect Tracker'!$L$5:$L$554,$K129)="","",INDEX('Prospect Tracker'!$L$5:$L$554,$K129)))</f>
        <v/>
      </c>
      <c r="K129" s="1" t="n">
        <f aca="false">IFERROR(MATCH(SMALL('Prospect Tracker'!$X$5:$X$554,ROW()-4),'Prospect Tracker'!$X$5:$X$554,0),"")</f>
        <v>125</v>
      </c>
    </row>
    <row r="130" customFormat="false" ht="15" hidden="false" customHeight="true" outlineLevel="0" collapsed="false">
      <c r="A130" s="11" t="str">
        <f aca="false">IF($K130="","",IF(INDEX('Prospect Tracker'!$W$5:$W$554,$K130)="","",INDEX('Prospect Tracker'!$W$5:$W$554,$K130)))</f>
        <v/>
      </c>
      <c r="B130" s="11" t="str">
        <f aca="false">IF($K130="","",IF(INDEX('Prospect Tracker'!$A$5:$A$554,$K130)="","",INDEX('Prospect Tracker'!$A$5:$A$554,$K130)))</f>
        <v/>
      </c>
      <c r="C130" s="11" t="str">
        <f aca="false">IF($K130="","",IF(INDEX('Prospect Tracker'!$B$5:$B$554,$K130)="","",INDEX('Prospect Tracker'!$B$5:$B$554,$K130)))</f>
        <v/>
      </c>
      <c r="D130" s="11" t="str">
        <f aca="false">IF($K130="","",IF(INDEX('Prospect Tracker'!$M$5:$M$554,$K130)="","",INDEX('Prospect Tracker'!$M$5:$M$554,$K130)))</f>
        <v/>
      </c>
      <c r="E130" s="11" t="str">
        <f aca="false">IF($K130="","",IF(INDEX('Prospect Tracker'!$R$5:$R$554,$K130)="","",INDEX('Prospect Tracker'!$R$5:$R$554,$K130)))</f>
        <v/>
      </c>
      <c r="F130" s="11" t="str">
        <f aca="false">IF($K130="","",IF(INDEX('Prospect Tracker'!$J$5:$J$554,$K130)="","",INDEX('Prospect Tracker'!$J$5:$J$554,$K130)))</f>
        <v/>
      </c>
      <c r="G130" s="11" t="str">
        <f aca="false">IF($K130="","",IF(INDEX('Prospect Tracker'!$H$5:$H$554,$K130)="","",INDEX('Prospect Tracker'!$H$5:$H$554,$K130)))</f>
        <v/>
      </c>
      <c r="H130" s="12" t="str">
        <f aca="false">IF($K130="","",IF(INDEX('Prospect Tracker'!$K$5:$K$554,$K130)="","",INDEX('Prospect Tracker'!$K$5:$K$554,$K130)))</f>
        <v/>
      </c>
      <c r="I130" s="11" t="str">
        <f aca="false">IF($K130="","",IF(INDEX('Prospect Tracker'!$T$5:$T$554,$K130)="","",INDEX('Prospect Tracker'!$T$5:$T$554,$K130)))</f>
        <v/>
      </c>
      <c r="J130" s="11" t="str">
        <f aca="false">IF($K130="","",IF(INDEX('Prospect Tracker'!$L$5:$L$554,$K130)="","",INDEX('Prospect Tracker'!$L$5:$L$554,$K130)))</f>
        <v/>
      </c>
      <c r="K130" s="1" t="n">
        <f aca="false">IFERROR(MATCH(SMALL('Prospect Tracker'!$X$5:$X$554,ROW()-4),'Prospect Tracker'!$X$5:$X$554,0),"")</f>
        <v>126</v>
      </c>
    </row>
    <row r="131" customFormat="false" ht="15" hidden="false" customHeight="true" outlineLevel="0" collapsed="false">
      <c r="A131" s="6" t="str">
        <f aca="false">IF($K131="","",IF(INDEX('Prospect Tracker'!$W$5:$W$554,$K131)="","",INDEX('Prospect Tracker'!$W$5:$W$554,$K131)))</f>
        <v/>
      </c>
      <c r="B131" s="6" t="str">
        <f aca="false">IF($K131="","",IF(INDEX('Prospect Tracker'!$A$5:$A$554,$K131)="","",INDEX('Prospect Tracker'!$A$5:$A$554,$K131)))</f>
        <v/>
      </c>
      <c r="C131" s="6" t="str">
        <f aca="false">IF($K131="","",IF(INDEX('Prospect Tracker'!$B$5:$B$554,$K131)="","",INDEX('Prospect Tracker'!$B$5:$B$554,$K131)))</f>
        <v/>
      </c>
      <c r="D131" s="6" t="str">
        <f aca="false">IF($K131="","",IF(INDEX('Prospect Tracker'!$M$5:$M$554,$K131)="","",INDEX('Prospect Tracker'!$M$5:$M$554,$K131)))</f>
        <v/>
      </c>
      <c r="E131" s="6" t="str">
        <f aca="false">IF($K131="","",IF(INDEX('Prospect Tracker'!$R$5:$R$554,$K131)="","",INDEX('Prospect Tracker'!$R$5:$R$554,$K131)))</f>
        <v/>
      </c>
      <c r="F131" s="6" t="str">
        <f aca="false">IF($K131="","",IF(INDEX('Prospect Tracker'!$J$5:$J$554,$K131)="","",INDEX('Prospect Tracker'!$J$5:$J$554,$K131)))</f>
        <v/>
      </c>
      <c r="G131" s="6" t="str">
        <f aca="false">IF($K131="","",IF(INDEX('Prospect Tracker'!$H$5:$H$554,$K131)="","",INDEX('Prospect Tracker'!$H$5:$H$554,$K131)))</f>
        <v/>
      </c>
      <c r="H131" s="7" t="str">
        <f aca="false">IF($K131="","",IF(INDEX('Prospect Tracker'!$K$5:$K$554,$K131)="","",INDEX('Prospect Tracker'!$K$5:$K$554,$K131)))</f>
        <v/>
      </c>
      <c r="I131" s="6" t="str">
        <f aca="false">IF($K131="","",IF(INDEX('Prospect Tracker'!$T$5:$T$554,$K131)="","",INDEX('Prospect Tracker'!$T$5:$T$554,$K131)))</f>
        <v/>
      </c>
      <c r="J131" s="6" t="str">
        <f aca="false">IF($K131="","",IF(INDEX('Prospect Tracker'!$L$5:$L$554,$K131)="","",INDEX('Prospect Tracker'!$L$5:$L$554,$K131)))</f>
        <v/>
      </c>
      <c r="K131" s="1" t="n">
        <f aca="false">IFERROR(MATCH(SMALL('Prospect Tracker'!$X$5:$X$554,ROW()-4),'Prospect Tracker'!$X$5:$X$554,0),"")</f>
        <v>127</v>
      </c>
    </row>
    <row r="132" customFormat="false" ht="15" hidden="false" customHeight="true" outlineLevel="0" collapsed="false">
      <c r="A132" s="11" t="str">
        <f aca="false">IF($K132="","",IF(INDEX('Prospect Tracker'!$W$5:$W$554,$K132)="","",INDEX('Prospect Tracker'!$W$5:$W$554,$K132)))</f>
        <v/>
      </c>
      <c r="B132" s="11" t="str">
        <f aca="false">IF($K132="","",IF(INDEX('Prospect Tracker'!$A$5:$A$554,$K132)="","",INDEX('Prospect Tracker'!$A$5:$A$554,$K132)))</f>
        <v/>
      </c>
      <c r="C132" s="11" t="str">
        <f aca="false">IF($K132="","",IF(INDEX('Prospect Tracker'!$B$5:$B$554,$K132)="","",INDEX('Prospect Tracker'!$B$5:$B$554,$K132)))</f>
        <v/>
      </c>
      <c r="D132" s="11" t="str">
        <f aca="false">IF($K132="","",IF(INDEX('Prospect Tracker'!$M$5:$M$554,$K132)="","",INDEX('Prospect Tracker'!$M$5:$M$554,$K132)))</f>
        <v/>
      </c>
      <c r="E132" s="11" t="str">
        <f aca="false">IF($K132="","",IF(INDEX('Prospect Tracker'!$R$5:$R$554,$K132)="","",INDEX('Prospect Tracker'!$R$5:$R$554,$K132)))</f>
        <v/>
      </c>
      <c r="F132" s="11" t="str">
        <f aca="false">IF($K132="","",IF(INDEX('Prospect Tracker'!$J$5:$J$554,$K132)="","",INDEX('Prospect Tracker'!$J$5:$J$554,$K132)))</f>
        <v/>
      </c>
      <c r="G132" s="11" t="str">
        <f aca="false">IF($K132="","",IF(INDEX('Prospect Tracker'!$H$5:$H$554,$K132)="","",INDEX('Prospect Tracker'!$H$5:$H$554,$K132)))</f>
        <v/>
      </c>
      <c r="H132" s="12" t="str">
        <f aca="false">IF($K132="","",IF(INDEX('Prospect Tracker'!$K$5:$K$554,$K132)="","",INDEX('Prospect Tracker'!$K$5:$K$554,$K132)))</f>
        <v/>
      </c>
      <c r="I132" s="11" t="str">
        <f aca="false">IF($K132="","",IF(INDEX('Prospect Tracker'!$T$5:$T$554,$K132)="","",INDEX('Prospect Tracker'!$T$5:$T$554,$K132)))</f>
        <v/>
      </c>
      <c r="J132" s="11" t="str">
        <f aca="false">IF($K132="","",IF(INDEX('Prospect Tracker'!$L$5:$L$554,$K132)="","",INDEX('Prospect Tracker'!$L$5:$L$554,$K132)))</f>
        <v/>
      </c>
      <c r="K132" s="1" t="n">
        <f aca="false">IFERROR(MATCH(SMALL('Prospect Tracker'!$X$5:$X$554,ROW()-4),'Prospect Tracker'!$X$5:$X$554,0),"")</f>
        <v>128</v>
      </c>
    </row>
    <row r="133" customFormat="false" ht="15" hidden="false" customHeight="true" outlineLevel="0" collapsed="false">
      <c r="A133" s="6" t="str">
        <f aca="false">IF($K133="","",IF(INDEX('Prospect Tracker'!$W$5:$W$554,$K133)="","",INDEX('Prospect Tracker'!$W$5:$W$554,$K133)))</f>
        <v/>
      </c>
      <c r="B133" s="6" t="str">
        <f aca="false">IF($K133="","",IF(INDEX('Prospect Tracker'!$A$5:$A$554,$K133)="","",INDEX('Prospect Tracker'!$A$5:$A$554,$K133)))</f>
        <v/>
      </c>
      <c r="C133" s="6" t="str">
        <f aca="false">IF($K133="","",IF(INDEX('Prospect Tracker'!$B$5:$B$554,$K133)="","",INDEX('Prospect Tracker'!$B$5:$B$554,$K133)))</f>
        <v/>
      </c>
      <c r="D133" s="6" t="str">
        <f aca="false">IF($K133="","",IF(INDEX('Prospect Tracker'!$M$5:$M$554,$K133)="","",INDEX('Prospect Tracker'!$M$5:$M$554,$K133)))</f>
        <v/>
      </c>
      <c r="E133" s="6" t="str">
        <f aca="false">IF($K133="","",IF(INDEX('Prospect Tracker'!$R$5:$R$554,$K133)="","",INDEX('Prospect Tracker'!$R$5:$R$554,$K133)))</f>
        <v/>
      </c>
      <c r="F133" s="6" t="str">
        <f aca="false">IF($K133="","",IF(INDEX('Prospect Tracker'!$J$5:$J$554,$K133)="","",INDEX('Prospect Tracker'!$J$5:$J$554,$K133)))</f>
        <v/>
      </c>
      <c r="G133" s="6" t="str">
        <f aca="false">IF($K133="","",IF(INDEX('Prospect Tracker'!$H$5:$H$554,$K133)="","",INDEX('Prospect Tracker'!$H$5:$H$554,$K133)))</f>
        <v/>
      </c>
      <c r="H133" s="7" t="str">
        <f aca="false">IF($K133="","",IF(INDEX('Prospect Tracker'!$K$5:$K$554,$K133)="","",INDEX('Prospect Tracker'!$K$5:$K$554,$K133)))</f>
        <v/>
      </c>
      <c r="I133" s="6" t="str">
        <f aca="false">IF($K133="","",IF(INDEX('Prospect Tracker'!$T$5:$T$554,$K133)="","",INDEX('Prospect Tracker'!$T$5:$T$554,$K133)))</f>
        <v/>
      </c>
      <c r="J133" s="6" t="str">
        <f aca="false">IF($K133="","",IF(INDEX('Prospect Tracker'!$L$5:$L$554,$K133)="","",INDEX('Prospect Tracker'!$L$5:$L$554,$K133)))</f>
        <v/>
      </c>
      <c r="K133" s="1" t="n">
        <f aca="false">IFERROR(MATCH(SMALL('Prospect Tracker'!$X$5:$X$554,ROW()-4),'Prospect Tracker'!$X$5:$X$554,0),"")</f>
        <v>129</v>
      </c>
    </row>
    <row r="134" customFormat="false" ht="15" hidden="false" customHeight="true" outlineLevel="0" collapsed="false">
      <c r="A134" s="11" t="str">
        <f aca="false">IF($K134="","",IF(INDEX('Prospect Tracker'!$W$5:$W$554,$K134)="","",INDEX('Prospect Tracker'!$W$5:$W$554,$K134)))</f>
        <v/>
      </c>
      <c r="B134" s="11" t="str">
        <f aca="false">IF($K134="","",IF(INDEX('Prospect Tracker'!$A$5:$A$554,$K134)="","",INDEX('Prospect Tracker'!$A$5:$A$554,$K134)))</f>
        <v/>
      </c>
      <c r="C134" s="11" t="str">
        <f aca="false">IF($K134="","",IF(INDEX('Prospect Tracker'!$B$5:$B$554,$K134)="","",INDEX('Prospect Tracker'!$B$5:$B$554,$K134)))</f>
        <v/>
      </c>
      <c r="D134" s="11" t="str">
        <f aca="false">IF($K134="","",IF(INDEX('Prospect Tracker'!$M$5:$M$554,$K134)="","",INDEX('Prospect Tracker'!$M$5:$M$554,$K134)))</f>
        <v/>
      </c>
      <c r="E134" s="11" t="str">
        <f aca="false">IF($K134="","",IF(INDEX('Prospect Tracker'!$R$5:$R$554,$K134)="","",INDEX('Prospect Tracker'!$R$5:$R$554,$K134)))</f>
        <v/>
      </c>
      <c r="F134" s="11" t="str">
        <f aca="false">IF($K134="","",IF(INDEX('Prospect Tracker'!$J$5:$J$554,$K134)="","",INDEX('Prospect Tracker'!$J$5:$J$554,$K134)))</f>
        <v/>
      </c>
      <c r="G134" s="11" t="str">
        <f aca="false">IF($K134="","",IF(INDEX('Prospect Tracker'!$H$5:$H$554,$K134)="","",INDEX('Prospect Tracker'!$H$5:$H$554,$K134)))</f>
        <v/>
      </c>
      <c r="H134" s="12" t="str">
        <f aca="false">IF($K134="","",IF(INDEX('Prospect Tracker'!$K$5:$K$554,$K134)="","",INDEX('Prospect Tracker'!$K$5:$K$554,$K134)))</f>
        <v/>
      </c>
      <c r="I134" s="11" t="str">
        <f aca="false">IF($K134="","",IF(INDEX('Prospect Tracker'!$T$5:$T$554,$K134)="","",INDEX('Prospect Tracker'!$T$5:$T$554,$K134)))</f>
        <v/>
      </c>
      <c r="J134" s="11" t="str">
        <f aca="false">IF($K134="","",IF(INDEX('Prospect Tracker'!$L$5:$L$554,$K134)="","",INDEX('Prospect Tracker'!$L$5:$L$554,$K134)))</f>
        <v/>
      </c>
      <c r="K134" s="1" t="n">
        <f aca="false">IFERROR(MATCH(SMALL('Prospect Tracker'!$X$5:$X$554,ROW()-4),'Prospect Tracker'!$X$5:$X$554,0),"")</f>
        <v>130</v>
      </c>
    </row>
    <row r="135" customFormat="false" ht="15" hidden="false" customHeight="true" outlineLevel="0" collapsed="false">
      <c r="A135" s="6" t="str">
        <f aca="false">IF($K135="","",IF(INDEX('Prospect Tracker'!$W$5:$W$554,$K135)="","",INDEX('Prospect Tracker'!$W$5:$W$554,$K135)))</f>
        <v/>
      </c>
      <c r="B135" s="6" t="str">
        <f aca="false">IF($K135="","",IF(INDEX('Prospect Tracker'!$A$5:$A$554,$K135)="","",INDEX('Prospect Tracker'!$A$5:$A$554,$K135)))</f>
        <v/>
      </c>
      <c r="C135" s="6" t="str">
        <f aca="false">IF($K135="","",IF(INDEX('Prospect Tracker'!$B$5:$B$554,$K135)="","",INDEX('Prospect Tracker'!$B$5:$B$554,$K135)))</f>
        <v/>
      </c>
      <c r="D135" s="6" t="str">
        <f aca="false">IF($K135="","",IF(INDEX('Prospect Tracker'!$M$5:$M$554,$K135)="","",INDEX('Prospect Tracker'!$M$5:$M$554,$K135)))</f>
        <v/>
      </c>
      <c r="E135" s="6" t="str">
        <f aca="false">IF($K135="","",IF(INDEX('Prospect Tracker'!$R$5:$R$554,$K135)="","",INDEX('Prospect Tracker'!$R$5:$R$554,$K135)))</f>
        <v/>
      </c>
      <c r="F135" s="6" t="str">
        <f aca="false">IF($K135="","",IF(INDEX('Prospect Tracker'!$J$5:$J$554,$K135)="","",INDEX('Prospect Tracker'!$J$5:$J$554,$K135)))</f>
        <v/>
      </c>
      <c r="G135" s="6" t="str">
        <f aca="false">IF($K135="","",IF(INDEX('Prospect Tracker'!$H$5:$H$554,$K135)="","",INDEX('Prospect Tracker'!$H$5:$H$554,$K135)))</f>
        <v/>
      </c>
      <c r="H135" s="7" t="str">
        <f aca="false">IF($K135="","",IF(INDEX('Prospect Tracker'!$K$5:$K$554,$K135)="","",INDEX('Prospect Tracker'!$K$5:$K$554,$K135)))</f>
        <v/>
      </c>
      <c r="I135" s="6" t="str">
        <f aca="false">IF($K135="","",IF(INDEX('Prospect Tracker'!$T$5:$T$554,$K135)="","",INDEX('Prospect Tracker'!$T$5:$T$554,$K135)))</f>
        <v/>
      </c>
      <c r="J135" s="6" t="str">
        <f aca="false">IF($K135="","",IF(INDEX('Prospect Tracker'!$L$5:$L$554,$K135)="","",INDEX('Prospect Tracker'!$L$5:$L$554,$K135)))</f>
        <v/>
      </c>
      <c r="K135" s="1" t="n">
        <f aca="false">IFERROR(MATCH(SMALL('Prospect Tracker'!$X$5:$X$554,ROW()-4),'Prospect Tracker'!$X$5:$X$554,0),"")</f>
        <v>131</v>
      </c>
    </row>
    <row r="136" customFormat="false" ht="15" hidden="false" customHeight="true" outlineLevel="0" collapsed="false">
      <c r="A136" s="11" t="str">
        <f aca="false">IF($K136="","",IF(INDEX('Prospect Tracker'!$W$5:$W$554,$K136)="","",INDEX('Prospect Tracker'!$W$5:$W$554,$K136)))</f>
        <v/>
      </c>
      <c r="B136" s="11" t="str">
        <f aca="false">IF($K136="","",IF(INDEX('Prospect Tracker'!$A$5:$A$554,$K136)="","",INDEX('Prospect Tracker'!$A$5:$A$554,$K136)))</f>
        <v/>
      </c>
      <c r="C136" s="11" t="str">
        <f aca="false">IF($K136="","",IF(INDEX('Prospect Tracker'!$B$5:$B$554,$K136)="","",INDEX('Prospect Tracker'!$B$5:$B$554,$K136)))</f>
        <v/>
      </c>
      <c r="D136" s="11" t="str">
        <f aca="false">IF($K136="","",IF(INDEX('Prospect Tracker'!$M$5:$M$554,$K136)="","",INDEX('Prospect Tracker'!$M$5:$M$554,$K136)))</f>
        <v/>
      </c>
      <c r="E136" s="11" t="str">
        <f aca="false">IF($K136="","",IF(INDEX('Prospect Tracker'!$R$5:$R$554,$K136)="","",INDEX('Prospect Tracker'!$R$5:$R$554,$K136)))</f>
        <v/>
      </c>
      <c r="F136" s="11" t="str">
        <f aca="false">IF($K136="","",IF(INDEX('Prospect Tracker'!$J$5:$J$554,$K136)="","",INDEX('Prospect Tracker'!$J$5:$J$554,$K136)))</f>
        <v/>
      </c>
      <c r="G136" s="11" t="str">
        <f aca="false">IF($K136="","",IF(INDEX('Prospect Tracker'!$H$5:$H$554,$K136)="","",INDEX('Prospect Tracker'!$H$5:$H$554,$K136)))</f>
        <v/>
      </c>
      <c r="H136" s="12" t="str">
        <f aca="false">IF($K136="","",IF(INDEX('Prospect Tracker'!$K$5:$K$554,$K136)="","",INDEX('Prospect Tracker'!$K$5:$K$554,$K136)))</f>
        <v/>
      </c>
      <c r="I136" s="11" t="str">
        <f aca="false">IF($K136="","",IF(INDEX('Prospect Tracker'!$T$5:$T$554,$K136)="","",INDEX('Prospect Tracker'!$T$5:$T$554,$K136)))</f>
        <v/>
      </c>
      <c r="J136" s="11" t="str">
        <f aca="false">IF($K136="","",IF(INDEX('Prospect Tracker'!$L$5:$L$554,$K136)="","",INDEX('Prospect Tracker'!$L$5:$L$554,$K136)))</f>
        <v/>
      </c>
      <c r="K136" s="1" t="n">
        <f aca="false">IFERROR(MATCH(SMALL('Prospect Tracker'!$X$5:$X$554,ROW()-4),'Prospect Tracker'!$X$5:$X$554,0),"")</f>
        <v>132</v>
      </c>
    </row>
    <row r="137" customFormat="false" ht="15" hidden="false" customHeight="true" outlineLevel="0" collapsed="false">
      <c r="A137" s="6" t="str">
        <f aca="false">IF($K137="","",IF(INDEX('Prospect Tracker'!$W$5:$W$554,$K137)="","",INDEX('Prospect Tracker'!$W$5:$W$554,$K137)))</f>
        <v/>
      </c>
      <c r="B137" s="6" t="str">
        <f aca="false">IF($K137="","",IF(INDEX('Prospect Tracker'!$A$5:$A$554,$K137)="","",INDEX('Prospect Tracker'!$A$5:$A$554,$K137)))</f>
        <v/>
      </c>
      <c r="C137" s="6" t="str">
        <f aca="false">IF($K137="","",IF(INDEX('Prospect Tracker'!$B$5:$B$554,$K137)="","",INDEX('Prospect Tracker'!$B$5:$B$554,$K137)))</f>
        <v/>
      </c>
      <c r="D137" s="6" t="str">
        <f aca="false">IF($K137="","",IF(INDEX('Prospect Tracker'!$M$5:$M$554,$K137)="","",INDEX('Prospect Tracker'!$M$5:$M$554,$K137)))</f>
        <v/>
      </c>
      <c r="E137" s="6" t="str">
        <f aca="false">IF($K137="","",IF(INDEX('Prospect Tracker'!$R$5:$R$554,$K137)="","",INDEX('Prospect Tracker'!$R$5:$R$554,$K137)))</f>
        <v/>
      </c>
      <c r="F137" s="6" t="str">
        <f aca="false">IF($K137="","",IF(INDEX('Prospect Tracker'!$J$5:$J$554,$K137)="","",INDEX('Prospect Tracker'!$J$5:$J$554,$K137)))</f>
        <v/>
      </c>
      <c r="G137" s="6" t="str">
        <f aca="false">IF($K137="","",IF(INDEX('Prospect Tracker'!$H$5:$H$554,$K137)="","",INDEX('Prospect Tracker'!$H$5:$H$554,$K137)))</f>
        <v/>
      </c>
      <c r="H137" s="7" t="str">
        <f aca="false">IF($K137="","",IF(INDEX('Prospect Tracker'!$K$5:$K$554,$K137)="","",INDEX('Prospect Tracker'!$K$5:$K$554,$K137)))</f>
        <v/>
      </c>
      <c r="I137" s="6" t="str">
        <f aca="false">IF($K137="","",IF(INDEX('Prospect Tracker'!$T$5:$T$554,$K137)="","",INDEX('Prospect Tracker'!$T$5:$T$554,$K137)))</f>
        <v/>
      </c>
      <c r="J137" s="6" t="str">
        <f aca="false">IF($K137="","",IF(INDEX('Prospect Tracker'!$L$5:$L$554,$K137)="","",INDEX('Prospect Tracker'!$L$5:$L$554,$K137)))</f>
        <v/>
      </c>
      <c r="K137" s="1" t="n">
        <f aca="false">IFERROR(MATCH(SMALL('Prospect Tracker'!$X$5:$X$554,ROW()-4),'Prospect Tracker'!$X$5:$X$554,0),"")</f>
        <v>133</v>
      </c>
    </row>
    <row r="138" customFormat="false" ht="15" hidden="false" customHeight="true" outlineLevel="0" collapsed="false">
      <c r="A138" s="11" t="str">
        <f aca="false">IF($K138="","",IF(INDEX('Prospect Tracker'!$W$5:$W$554,$K138)="","",INDEX('Prospect Tracker'!$W$5:$W$554,$K138)))</f>
        <v/>
      </c>
      <c r="B138" s="11" t="str">
        <f aca="false">IF($K138="","",IF(INDEX('Prospect Tracker'!$A$5:$A$554,$K138)="","",INDEX('Prospect Tracker'!$A$5:$A$554,$K138)))</f>
        <v/>
      </c>
      <c r="C138" s="11" t="str">
        <f aca="false">IF($K138="","",IF(INDEX('Prospect Tracker'!$B$5:$B$554,$K138)="","",INDEX('Prospect Tracker'!$B$5:$B$554,$K138)))</f>
        <v/>
      </c>
      <c r="D138" s="11" t="str">
        <f aca="false">IF($K138="","",IF(INDEX('Prospect Tracker'!$M$5:$M$554,$K138)="","",INDEX('Prospect Tracker'!$M$5:$M$554,$K138)))</f>
        <v/>
      </c>
      <c r="E138" s="11" t="str">
        <f aca="false">IF($K138="","",IF(INDEX('Prospect Tracker'!$R$5:$R$554,$K138)="","",INDEX('Prospect Tracker'!$R$5:$R$554,$K138)))</f>
        <v/>
      </c>
      <c r="F138" s="11" t="str">
        <f aca="false">IF($K138="","",IF(INDEX('Prospect Tracker'!$J$5:$J$554,$K138)="","",INDEX('Prospect Tracker'!$J$5:$J$554,$K138)))</f>
        <v/>
      </c>
      <c r="G138" s="11" t="str">
        <f aca="false">IF($K138="","",IF(INDEX('Prospect Tracker'!$H$5:$H$554,$K138)="","",INDEX('Prospect Tracker'!$H$5:$H$554,$K138)))</f>
        <v/>
      </c>
      <c r="H138" s="12" t="str">
        <f aca="false">IF($K138="","",IF(INDEX('Prospect Tracker'!$K$5:$K$554,$K138)="","",INDEX('Prospect Tracker'!$K$5:$K$554,$K138)))</f>
        <v/>
      </c>
      <c r="I138" s="11" t="str">
        <f aca="false">IF($K138="","",IF(INDEX('Prospect Tracker'!$T$5:$T$554,$K138)="","",INDEX('Prospect Tracker'!$T$5:$T$554,$K138)))</f>
        <v/>
      </c>
      <c r="J138" s="11" t="str">
        <f aca="false">IF($K138="","",IF(INDEX('Prospect Tracker'!$L$5:$L$554,$K138)="","",INDEX('Prospect Tracker'!$L$5:$L$554,$K138)))</f>
        <v/>
      </c>
      <c r="K138" s="1" t="n">
        <f aca="false">IFERROR(MATCH(SMALL('Prospect Tracker'!$X$5:$X$554,ROW()-4),'Prospect Tracker'!$X$5:$X$554,0),"")</f>
        <v>134</v>
      </c>
    </row>
    <row r="139" customFormat="false" ht="15" hidden="false" customHeight="true" outlineLevel="0" collapsed="false">
      <c r="A139" s="6" t="str">
        <f aca="false">IF($K139="","",IF(INDEX('Prospect Tracker'!$W$5:$W$554,$K139)="","",INDEX('Prospect Tracker'!$W$5:$W$554,$K139)))</f>
        <v/>
      </c>
      <c r="B139" s="6" t="str">
        <f aca="false">IF($K139="","",IF(INDEX('Prospect Tracker'!$A$5:$A$554,$K139)="","",INDEX('Prospect Tracker'!$A$5:$A$554,$K139)))</f>
        <v/>
      </c>
      <c r="C139" s="6" t="str">
        <f aca="false">IF($K139="","",IF(INDEX('Prospect Tracker'!$B$5:$B$554,$K139)="","",INDEX('Prospect Tracker'!$B$5:$B$554,$K139)))</f>
        <v/>
      </c>
      <c r="D139" s="6" t="str">
        <f aca="false">IF($K139="","",IF(INDEX('Prospect Tracker'!$M$5:$M$554,$K139)="","",INDEX('Prospect Tracker'!$M$5:$M$554,$K139)))</f>
        <v/>
      </c>
      <c r="E139" s="6" t="str">
        <f aca="false">IF($K139="","",IF(INDEX('Prospect Tracker'!$R$5:$R$554,$K139)="","",INDEX('Prospect Tracker'!$R$5:$R$554,$K139)))</f>
        <v/>
      </c>
      <c r="F139" s="6" t="str">
        <f aca="false">IF($K139="","",IF(INDEX('Prospect Tracker'!$J$5:$J$554,$K139)="","",INDEX('Prospect Tracker'!$J$5:$J$554,$K139)))</f>
        <v/>
      </c>
      <c r="G139" s="6" t="str">
        <f aca="false">IF($K139="","",IF(INDEX('Prospect Tracker'!$H$5:$H$554,$K139)="","",INDEX('Prospect Tracker'!$H$5:$H$554,$K139)))</f>
        <v/>
      </c>
      <c r="H139" s="7" t="str">
        <f aca="false">IF($K139="","",IF(INDEX('Prospect Tracker'!$K$5:$K$554,$K139)="","",INDEX('Prospect Tracker'!$K$5:$K$554,$K139)))</f>
        <v/>
      </c>
      <c r="I139" s="6" t="str">
        <f aca="false">IF($K139="","",IF(INDEX('Prospect Tracker'!$T$5:$T$554,$K139)="","",INDEX('Prospect Tracker'!$T$5:$T$554,$K139)))</f>
        <v/>
      </c>
      <c r="J139" s="6" t="str">
        <f aca="false">IF($K139="","",IF(INDEX('Prospect Tracker'!$L$5:$L$554,$K139)="","",INDEX('Prospect Tracker'!$L$5:$L$554,$K139)))</f>
        <v/>
      </c>
      <c r="K139" s="1" t="n">
        <f aca="false">IFERROR(MATCH(SMALL('Prospect Tracker'!$X$5:$X$554,ROW()-4),'Prospect Tracker'!$X$5:$X$554,0),"")</f>
        <v>135</v>
      </c>
    </row>
    <row r="140" customFormat="false" ht="15" hidden="false" customHeight="true" outlineLevel="0" collapsed="false">
      <c r="A140" s="11" t="str">
        <f aca="false">IF($K140="","",IF(INDEX('Prospect Tracker'!$W$5:$W$554,$K140)="","",INDEX('Prospect Tracker'!$W$5:$W$554,$K140)))</f>
        <v/>
      </c>
      <c r="B140" s="11" t="str">
        <f aca="false">IF($K140="","",IF(INDEX('Prospect Tracker'!$A$5:$A$554,$K140)="","",INDEX('Prospect Tracker'!$A$5:$A$554,$K140)))</f>
        <v/>
      </c>
      <c r="C140" s="11" t="str">
        <f aca="false">IF($K140="","",IF(INDEX('Prospect Tracker'!$B$5:$B$554,$K140)="","",INDEX('Prospect Tracker'!$B$5:$B$554,$K140)))</f>
        <v/>
      </c>
      <c r="D140" s="11" t="str">
        <f aca="false">IF($K140="","",IF(INDEX('Prospect Tracker'!$M$5:$M$554,$K140)="","",INDEX('Prospect Tracker'!$M$5:$M$554,$K140)))</f>
        <v/>
      </c>
      <c r="E140" s="11" t="str">
        <f aca="false">IF($K140="","",IF(INDEX('Prospect Tracker'!$R$5:$R$554,$K140)="","",INDEX('Prospect Tracker'!$R$5:$R$554,$K140)))</f>
        <v/>
      </c>
      <c r="F140" s="11" t="str">
        <f aca="false">IF($K140="","",IF(INDEX('Prospect Tracker'!$J$5:$J$554,$K140)="","",INDEX('Prospect Tracker'!$J$5:$J$554,$K140)))</f>
        <v/>
      </c>
      <c r="G140" s="11" t="str">
        <f aca="false">IF($K140="","",IF(INDEX('Prospect Tracker'!$H$5:$H$554,$K140)="","",INDEX('Prospect Tracker'!$H$5:$H$554,$K140)))</f>
        <v/>
      </c>
      <c r="H140" s="12" t="str">
        <f aca="false">IF($K140="","",IF(INDEX('Prospect Tracker'!$K$5:$K$554,$K140)="","",INDEX('Prospect Tracker'!$K$5:$K$554,$K140)))</f>
        <v/>
      </c>
      <c r="I140" s="11" t="str">
        <f aca="false">IF($K140="","",IF(INDEX('Prospect Tracker'!$T$5:$T$554,$K140)="","",INDEX('Prospect Tracker'!$T$5:$T$554,$K140)))</f>
        <v/>
      </c>
      <c r="J140" s="11" t="str">
        <f aca="false">IF($K140="","",IF(INDEX('Prospect Tracker'!$L$5:$L$554,$K140)="","",INDEX('Prospect Tracker'!$L$5:$L$554,$K140)))</f>
        <v/>
      </c>
      <c r="K140" s="1" t="n">
        <f aca="false">IFERROR(MATCH(SMALL('Prospect Tracker'!$X$5:$X$554,ROW()-4),'Prospect Tracker'!$X$5:$X$554,0),"")</f>
        <v>136</v>
      </c>
    </row>
    <row r="141" customFormat="false" ht="15" hidden="false" customHeight="true" outlineLevel="0" collapsed="false">
      <c r="A141" s="6" t="str">
        <f aca="false">IF($K141="","",IF(INDEX('Prospect Tracker'!$W$5:$W$554,$K141)="","",INDEX('Prospect Tracker'!$W$5:$W$554,$K141)))</f>
        <v/>
      </c>
      <c r="B141" s="6" t="str">
        <f aca="false">IF($K141="","",IF(INDEX('Prospect Tracker'!$A$5:$A$554,$K141)="","",INDEX('Prospect Tracker'!$A$5:$A$554,$K141)))</f>
        <v/>
      </c>
      <c r="C141" s="6" t="str">
        <f aca="false">IF($K141="","",IF(INDEX('Prospect Tracker'!$B$5:$B$554,$K141)="","",INDEX('Prospect Tracker'!$B$5:$B$554,$K141)))</f>
        <v/>
      </c>
      <c r="D141" s="6" t="str">
        <f aca="false">IF($K141="","",IF(INDEX('Prospect Tracker'!$M$5:$M$554,$K141)="","",INDEX('Prospect Tracker'!$M$5:$M$554,$K141)))</f>
        <v/>
      </c>
      <c r="E141" s="6" t="str">
        <f aca="false">IF($K141="","",IF(INDEX('Prospect Tracker'!$R$5:$R$554,$K141)="","",INDEX('Prospect Tracker'!$R$5:$R$554,$K141)))</f>
        <v/>
      </c>
      <c r="F141" s="6" t="str">
        <f aca="false">IF($K141="","",IF(INDEX('Prospect Tracker'!$J$5:$J$554,$K141)="","",INDEX('Prospect Tracker'!$J$5:$J$554,$K141)))</f>
        <v/>
      </c>
      <c r="G141" s="6" t="str">
        <f aca="false">IF($K141="","",IF(INDEX('Prospect Tracker'!$H$5:$H$554,$K141)="","",INDEX('Prospect Tracker'!$H$5:$H$554,$K141)))</f>
        <v/>
      </c>
      <c r="H141" s="7" t="str">
        <f aca="false">IF($K141="","",IF(INDEX('Prospect Tracker'!$K$5:$K$554,$K141)="","",INDEX('Prospect Tracker'!$K$5:$K$554,$K141)))</f>
        <v/>
      </c>
      <c r="I141" s="6" t="str">
        <f aca="false">IF($K141="","",IF(INDEX('Prospect Tracker'!$T$5:$T$554,$K141)="","",INDEX('Prospect Tracker'!$T$5:$T$554,$K141)))</f>
        <v/>
      </c>
      <c r="J141" s="6" t="str">
        <f aca="false">IF($K141="","",IF(INDEX('Prospect Tracker'!$L$5:$L$554,$K141)="","",INDEX('Prospect Tracker'!$L$5:$L$554,$K141)))</f>
        <v/>
      </c>
      <c r="K141" s="1" t="n">
        <f aca="false">IFERROR(MATCH(SMALL('Prospect Tracker'!$X$5:$X$554,ROW()-4),'Prospect Tracker'!$X$5:$X$554,0),"")</f>
        <v>137</v>
      </c>
    </row>
    <row r="142" customFormat="false" ht="15" hidden="false" customHeight="true" outlineLevel="0" collapsed="false">
      <c r="A142" s="11" t="str">
        <f aca="false">IF($K142="","",IF(INDEX('Prospect Tracker'!$W$5:$W$554,$K142)="","",INDEX('Prospect Tracker'!$W$5:$W$554,$K142)))</f>
        <v/>
      </c>
      <c r="B142" s="11" t="str">
        <f aca="false">IF($K142="","",IF(INDEX('Prospect Tracker'!$A$5:$A$554,$K142)="","",INDEX('Prospect Tracker'!$A$5:$A$554,$K142)))</f>
        <v/>
      </c>
      <c r="C142" s="11" t="str">
        <f aca="false">IF($K142="","",IF(INDEX('Prospect Tracker'!$B$5:$B$554,$K142)="","",INDEX('Prospect Tracker'!$B$5:$B$554,$K142)))</f>
        <v/>
      </c>
      <c r="D142" s="11" t="str">
        <f aca="false">IF($K142="","",IF(INDEX('Prospect Tracker'!$M$5:$M$554,$K142)="","",INDEX('Prospect Tracker'!$M$5:$M$554,$K142)))</f>
        <v/>
      </c>
      <c r="E142" s="11" t="str">
        <f aca="false">IF($K142="","",IF(INDEX('Prospect Tracker'!$R$5:$R$554,$K142)="","",INDEX('Prospect Tracker'!$R$5:$R$554,$K142)))</f>
        <v/>
      </c>
      <c r="F142" s="11" t="str">
        <f aca="false">IF($K142="","",IF(INDEX('Prospect Tracker'!$J$5:$J$554,$K142)="","",INDEX('Prospect Tracker'!$J$5:$J$554,$K142)))</f>
        <v/>
      </c>
      <c r="G142" s="11" t="str">
        <f aca="false">IF($K142="","",IF(INDEX('Prospect Tracker'!$H$5:$H$554,$K142)="","",INDEX('Prospect Tracker'!$H$5:$H$554,$K142)))</f>
        <v/>
      </c>
      <c r="H142" s="12" t="str">
        <f aca="false">IF($K142="","",IF(INDEX('Prospect Tracker'!$K$5:$K$554,$K142)="","",INDEX('Prospect Tracker'!$K$5:$K$554,$K142)))</f>
        <v/>
      </c>
      <c r="I142" s="11" t="str">
        <f aca="false">IF($K142="","",IF(INDEX('Prospect Tracker'!$T$5:$T$554,$K142)="","",INDEX('Prospect Tracker'!$T$5:$T$554,$K142)))</f>
        <v/>
      </c>
      <c r="J142" s="11" t="str">
        <f aca="false">IF($K142="","",IF(INDEX('Prospect Tracker'!$L$5:$L$554,$K142)="","",INDEX('Prospect Tracker'!$L$5:$L$554,$K142)))</f>
        <v/>
      </c>
      <c r="K142" s="1" t="n">
        <f aca="false">IFERROR(MATCH(SMALL('Prospect Tracker'!$X$5:$X$554,ROW()-4),'Prospect Tracker'!$X$5:$X$554,0),"")</f>
        <v>138</v>
      </c>
    </row>
    <row r="143" customFormat="false" ht="15" hidden="false" customHeight="true" outlineLevel="0" collapsed="false">
      <c r="A143" s="6" t="str">
        <f aca="false">IF($K143="","",IF(INDEX('Prospect Tracker'!$W$5:$W$554,$K143)="","",INDEX('Prospect Tracker'!$W$5:$W$554,$K143)))</f>
        <v/>
      </c>
      <c r="B143" s="6" t="str">
        <f aca="false">IF($K143="","",IF(INDEX('Prospect Tracker'!$A$5:$A$554,$K143)="","",INDEX('Prospect Tracker'!$A$5:$A$554,$K143)))</f>
        <v/>
      </c>
      <c r="C143" s="6" t="str">
        <f aca="false">IF($K143="","",IF(INDEX('Prospect Tracker'!$B$5:$B$554,$K143)="","",INDEX('Prospect Tracker'!$B$5:$B$554,$K143)))</f>
        <v/>
      </c>
      <c r="D143" s="6" t="str">
        <f aca="false">IF($K143="","",IF(INDEX('Prospect Tracker'!$M$5:$M$554,$K143)="","",INDEX('Prospect Tracker'!$M$5:$M$554,$K143)))</f>
        <v/>
      </c>
      <c r="E143" s="6" t="str">
        <f aca="false">IF($K143="","",IF(INDEX('Prospect Tracker'!$R$5:$R$554,$K143)="","",INDEX('Prospect Tracker'!$R$5:$R$554,$K143)))</f>
        <v/>
      </c>
      <c r="F143" s="6" t="str">
        <f aca="false">IF($K143="","",IF(INDEX('Prospect Tracker'!$J$5:$J$554,$K143)="","",INDEX('Prospect Tracker'!$J$5:$J$554,$K143)))</f>
        <v/>
      </c>
      <c r="G143" s="6" t="str">
        <f aca="false">IF($K143="","",IF(INDEX('Prospect Tracker'!$H$5:$H$554,$K143)="","",INDEX('Prospect Tracker'!$H$5:$H$554,$K143)))</f>
        <v/>
      </c>
      <c r="H143" s="7" t="str">
        <f aca="false">IF($K143="","",IF(INDEX('Prospect Tracker'!$K$5:$K$554,$K143)="","",INDEX('Prospect Tracker'!$K$5:$K$554,$K143)))</f>
        <v/>
      </c>
      <c r="I143" s="6" t="str">
        <f aca="false">IF($K143="","",IF(INDEX('Prospect Tracker'!$T$5:$T$554,$K143)="","",INDEX('Prospect Tracker'!$T$5:$T$554,$K143)))</f>
        <v/>
      </c>
      <c r="J143" s="6" t="str">
        <f aca="false">IF($K143="","",IF(INDEX('Prospect Tracker'!$L$5:$L$554,$K143)="","",INDEX('Prospect Tracker'!$L$5:$L$554,$K143)))</f>
        <v/>
      </c>
      <c r="K143" s="1" t="n">
        <f aca="false">IFERROR(MATCH(SMALL('Prospect Tracker'!$X$5:$X$554,ROW()-4),'Prospect Tracker'!$X$5:$X$554,0),"")</f>
        <v>139</v>
      </c>
    </row>
    <row r="144" customFormat="false" ht="15" hidden="false" customHeight="true" outlineLevel="0" collapsed="false">
      <c r="A144" s="11" t="str">
        <f aca="false">IF($K144="","",IF(INDEX('Prospect Tracker'!$W$5:$W$554,$K144)="","",INDEX('Prospect Tracker'!$W$5:$W$554,$K144)))</f>
        <v/>
      </c>
      <c r="B144" s="11" t="str">
        <f aca="false">IF($K144="","",IF(INDEX('Prospect Tracker'!$A$5:$A$554,$K144)="","",INDEX('Prospect Tracker'!$A$5:$A$554,$K144)))</f>
        <v/>
      </c>
      <c r="C144" s="11" t="str">
        <f aca="false">IF($K144="","",IF(INDEX('Prospect Tracker'!$B$5:$B$554,$K144)="","",INDEX('Prospect Tracker'!$B$5:$B$554,$K144)))</f>
        <v/>
      </c>
      <c r="D144" s="11" t="str">
        <f aca="false">IF($K144="","",IF(INDEX('Prospect Tracker'!$M$5:$M$554,$K144)="","",INDEX('Prospect Tracker'!$M$5:$M$554,$K144)))</f>
        <v/>
      </c>
      <c r="E144" s="11" t="str">
        <f aca="false">IF($K144="","",IF(INDEX('Prospect Tracker'!$R$5:$R$554,$K144)="","",INDEX('Prospect Tracker'!$R$5:$R$554,$K144)))</f>
        <v/>
      </c>
      <c r="F144" s="11" t="str">
        <f aca="false">IF($K144="","",IF(INDEX('Prospect Tracker'!$J$5:$J$554,$K144)="","",INDEX('Prospect Tracker'!$J$5:$J$554,$K144)))</f>
        <v/>
      </c>
      <c r="G144" s="11" t="str">
        <f aca="false">IF($K144="","",IF(INDEX('Prospect Tracker'!$H$5:$H$554,$K144)="","",INDEX('Prospect Tracker'!$H$5:$H$554,$K144)))</f>
        <v/>
      </c>
      <c r="H144" s="12" t="str">
        <f aca="false">IF($K144="","",IF(INDEX('Prospect Tracker'!$K$5:$K$554,$K144)="","",INDEX('Prospect Tracker'!$K$5:$K$554,$K144)))</f>
        <v/>
      </c>
      <c r="I144" s="11" t="str">
        <f aca="false">IF($K144="","",IF(INDEX('Prospect Tracker'!$T$5:$T$554,$K144)="","",INDEX('Prospect Tracker'!$T$5:$T$554,$K144)))</f>
        <v/>
      </c>
      <c r="J144" s="11" t="str">
        <f aca="false">IF($K144="","",IF(INDEX('Prospect Tracker'!$L$5:$L$554,$K144)="","",INDEX('Prospect Tracker'!$L$5:$L$554,$K144)))</f>
        <v/>
      </c>
      <c r="K144" s="1" t="n">
        <f aca="false">IFERROR(MATCH(SMALL('Prospect Tracker'!$X$5:$X$554,ROW()-4),'Prospect Tracker'!$X$5:$X$554,0),"")</f>
        <v>140</v>
      </c>
    </row>
    <row r="145" customFormat="false" ht="15" hidden="false" customHeight="true" outlineLevel="0" collapsed="false">
      <c r="A145" s="6" t="str">
        <f aca="false">IF($K145="","",IF(INDEX('Prospect Tracker'!$W$5:$W$554,$K145)="","",INDEX('Prospect Tracker'!$W$5:$W$554,$K145)))</f>
        <v/>
      </c>
      <c r="B145" s="6" t="str">
        <f aca="false">IF($K145="","",IF(INDEX('Prospect Tracker'!$A$5:$A$554,$K145)="","",INDEX('Prospect Tracker'!$A$5:$A$554,$K145)))</f>
        <v/>
      </c>
      <c r="C145" s="6" t="str">
        <f aca="false">IF($K145="","",IF(INDEX('Prospect Tracker'!$B$5:$B$554,$K145)="","",INDEX('Prospect Tracker'!$B$5:$B$554,$K145)))</f>
        <v/>
      </c>
      <c r="D145" s="6" t="str">
        <f aca="false">IF($K145="","",IF(INDEX('Prospect Tracker'!$M$5:$M$554,$K145)="","",INDEX('Prospect Tracker'!$M$5:$M$554,$K145)))</f>
        <v/>
      </c>
      <c r="E145" s="6" t="str">
        <f aca="false">IF($K145="","",IF(INDEX('Prospect Tracker'!$R$5:$R$554,$K145)="","",INDEX('Prospect Tracker'!$R$5:$R$554,$K145)))</f>
        <v/>
      </c>
      <c r="F145" s="6" t="str">
        <f aca="false">IF($K145="","",IF(INDEX('Prospect Tracker'!$J$5:$J$554,$K145)="","",INDEX('Prospect Tracker'!$J$5:$J$554,$K145)))</f>
        <v/>
      </c>
      <c r="G145" s="6" t="str">
        <f aca="false">IF($K145="","",IF(INDEX('Prospect Tracker'!$H$5:$H$554,$K145)="","",INDEX('Prospect Tracker'!$H$5:$H$554,$K145)))</f>
        <v/>
      </c>
      <c r="H145" s="7" t="str">
        <f aca="false">IF($K145="","",IF(INDEX('Prospect Tracker'!$K$5:$K$554,$K145)="","",INDEX('Prospect Tracker'!$K$5:$K$554,$K145)))</f>
        <v/>
      </c>
      <c r="I145" s="6" t="str">
        <f aca="false">IF($K145="","",IF(INDEX('Prospect Tracker'!$T$5:$T$554,$K145)="","",INDEX('Prospect Tracker'!$T$5:$T$554,$K145)))</f>
        <v/>
      </c>
      <c r="J145" s="6" t="str">
        <f aca="false">IF($K145="","",IF(INDEX('Prospect Tracker'!$L$5:$L$554,$K145)="","",INDEX('Prospect Tracker'!$L$5:$L$554,$K145)))</f>
        <v/>
      </c>
      <c r="K145" s="1" t="n">
        <f aca="false">IFERROR(MATCH(SMALL('Prospect Tracker'!$X$5:$X$554,ROW()-4),'Prospect Tracker'!$X$5:$X$554,0),"")</f>
        <v>141</v>
      </c>
    </row>
    <row r="146" customFormat="false" ht="15" hidden="false" customHeight="true" outlineLevel="0" collapsed="false">
      <c r="A146" s="11" t="str">
        <f aca="false">IF($K146="","",IF(INDEX('Prospect Tracker'!$W$5:$W$554,$K146)="","",INDEX('Prospect Tracker'!$W$5:$W$554,$K146)))</f>
        <v/>
      </c>
      <c r="B146" s="11" t="str">
        <f aca="false">IF($K146="","",IF(INDEX('Prospect Tracker'!$A$5:$A$554,$K146)="","",INDEX('Prospect Tracker'!$A$5:$A$554,$K146)))</f>
        <v/>
      </c>
      <c r="C146" s="11" t="str">
        <f aca="false">IF($K146="","",IF(INDEX('Prospect Tracker'!$B$5:$B$554,$K146)="","",INDEX('Prospect Tracker'!$B$5:$B$554,$K146)))</f>
        <v/>
      </c>
      <c r="D146" s="11" t="str">
        <f aca="false">IF($K146="","",IF(INDEX('Prospect Tracker'!$M$5:$M$554,$K146)="","",INDEX('Prospect Tracker'!$M$5:$M$554,$K146)))</f>
        <v/>
      </c>
      <c r="E146" s="11" t="str">
        <f aca="false">IF($K146="","",IF(INDEX('Prospect Tracker'!$R$5:$R$554,$K146)="","",INDEX('Prospect Tracker'!$R$5:$R$554,$K146)))</f>
        <v/>
      </c>
      <c r="F146" s="11" t="str">
        <f aca="false">IF($K146="","",IF(INDEX('Prospect Tracker'!$J$5:$J$554,$K146)="","",INDEX('Prospect Tracker'!$J$5:$J$554,$K146)))</f>
        <v/>
      </c>
      <c r="G146" s="11" t="str">
        <f aca="false">IF($K146="","",IF(INDEX('Prospect Tracker'!$H$5:$H$554,$K146)="","",INDEX('Prospect Tracker'!$H$5:$H$554,$K146)))</f>
        <v/>
      </c>
      <c r="H146" s="12" t="str">
        <f aca="false">IF($K146="","",IF(INDEX('Prospect Tracker'!$K$5:$K$554,$K146)="","",INDEX('Prospect Tracker'!$K$5:$K$554,$K146)))</f>
        <v/>
      </c>
      <c r="I146" s="11" t="str">
        <f aca="false">IF($K146="","",IF(INDEX('Prospect Tracker'!$T$5:$T$554,$K146)="","",INDEX('Prospect Tracker'!$T$5:$T$554,$K146)))</f>
        <v/>
      </c>
      <c r="J146" s="11" t="str">
        <f aca="false">IF($K146="","",IF(INDEX('Prospect Tracker'!$L$5:$L$554,$K146)="","",INDEX('Prospect Tracker'!$L$5:$L$554,$K146)))</f>
        <v/>
      </c>
      <c r="K146" s="1" t="n">
        <f aca="false">IFERROR(MATCH(SMALL('Prospect Tracker'!$X$5:$X$554,ROW()-4),'Prospect Tracker'!$X$5:$X$554,0),"")</f>
        <v>142</v>
      </c>
    </row>
    <row r="147" customFormat="false" ht="15" hidden="false" customHeight="true" outlineLevel="0" collapsed="false">
      <c r="A147" s="6" t="str">
        <f aca="false">IF($K147="","",IF(INDEX('Prospect Tracker'!$W$5:$W$554,$K147)="","",INDEX('Prospect Tracker'!$W$5:$W$554,$K147)))</f>
        <v/>
      </c>
      <c r="B147" s="6" t="str">
        <f aca="false">IF($K147="","",IF(INDEX('Prospect Tracker'!$A$5:$A$554,$K147)="","",INDEX('Prospect Tracker'!$A$5:$A$554,$K147)))</f>
        <v/>
      </c>
      <c r="C147" s="6" t="str">
        <f aca="false">IF($K147="","",IF(INDEX('Prospect Tracker'!$B$5:$B$554,$K147)="","",INDEX('Prospect Tracker'!$B$5:$B$554,$K147)))</f>
        <v/>
      </c>
      <c r="D147" s="6" t="str">
        <f aca="false">IF($K147="","",IF(INDEX('Prospect Tracker'!$M$5:$M$554,$K147)="","",INDEX('Prospect Tracker'!$M$5:$M$554,$K147)))</f>
        <v/>
      </c>
      <c r="E147" s="6" t="str">
        <f aca="false">IF($K147="","",IF(INDEX('Prospect Tracker'!$R$5:$R$554,$K147)="","",INDEX('Prospect Tracker'!$R$5:$R$554,$K147)))</f>
        <v/>
      </c>
      <c r="F147" s="6" t="str">
        <f aca="false">IF($K147="","",IF(INDEX('Prospect Tracker'!$J$5:$J$554,$K147)="","",INDEX('Prospect Tracker'!$J$5:$J$554,$K147)))</f>
        <v/>
      </c>
      <c r="G147" s="6" t="str">
        <f aca="false">IF($K147="","",IF(INDEX('Prospect Tracker'!$H$5:$H$554,$K147)="","",INDEX('Prospect Tracker'!$H$5:$H$554,$K147)))</f>
        <v/>
      </c>
      <c r="H147" s="7" t="str">
        <f aca="false">IF($K147="","",IF(INDEX('Prospect Tracker'!$K$5:$K$554,$K147)="","",INDEX('Prospect Tracker'!$K$5:$K$554,$K147)))</f>
        <v/>
      </c>
      <c r="I147" s="6" t="str">
        <f aca="false">IF($K147="","",IF(INDEX('Prospect Tracker'!$T$5:$T$554,$K147)="","",INDEX('Prospect Tracker'!$T$5:$T$554,$K147)))</f>
        <v/>
      </c>
      <c r="J147" s="6" t="str">
        <f aca="false">IF($K147="","",IF(INDEX('Prospect Tracker'!$L$5:$L$554,$K147)="","",INDEX('Prospect Tracker'!$L$5:$L$554,$K147)))</f>
        <v/>
      </c>
      <c r="K147" s="1" t="n">
        <f aca="false">IFERROR(MATCH(SMALL('Prospect Tracker'!$X$5:$X$554,ROW()-4),'Prospect Tracker'!$X$5:$X$554,0),"")</f>
        <v>143</v>
      </c>
    </row>
    <row r="148" customFormat="false" ht="15" hidden="false" customHeight="true" outlineLevel="0" collapsed="false">
      <c r="A148" s="11" t="str">
        <f aca="false">IF($K148="","",IF(INDEX('Prospect Tracker'!$W$5:$W$554,$K148)="","",INDEX('Prospect Tracker'!$W$5:$W$554,$K148)))</f>
        <v/>
      </c>
      <c r="B148" s="11" t="str">
        <f aca="false">IF($K148="","",IF(INDEX('Prospect Tracker'!$A$5:$A$554,$K148)="","",INDEX('Prospect Tracker'!$A$5:$A$554,$K148)))</f>
        <v/>
      </c>
      <c r="C148" s="11" t="str">
        <f aca="false">IF($K148="","",IF(INDEX('Prospect Tracker'!$B$5:$B$554,$K148)="","",INDEX('Prospect Tracker'!$B$5:$B$554,$K148)))</f>
        <v/>
      </c>
      <c r="D148" s="11" t="str">
        <f aca="false">IF($K148="","",IF(INDEX('Prospect Tracker'!$M$5:$M$554,$K148)="","",INDEX('Prospect Tracker'!$M$5:$M$554,$K148)))</f>
        <v/>
      </c>
      <c r="E148" s="11" t="str">
        <f aca="false">IF($K148="","",IF(INDEX('Prospect Tracker'!$R$5:$R$554,$K148)="","",INDEX('Prospect Tracker'!$R$5:$R$554,$K148)))</f>
        <v/>
      </c>
      <c r="F148" s="11" t="str">
        <f aca="false">IF($K148="","",IF(INDEX('Prospect Tracker'!$J$5:$J$554,$K148)="","",INDEX('Prospect Tracker'!$J$5:$J$554,$K148)))</f>
        <v/>
      </c>
      <c r="G148" s="11" t="str">
        <f aca="false">IF($K148="","",IF(INDEX('Prospect Tracker'!$H$5:$H$554,$K148)="","",INDEX('Prospect Tracker'!$H$5:$H$554,$K148)))</f>
        <v/>
      </c>
      <c r="H148" s="12" t="str">
        <f aca="false">IF($K148="","",IF(INDEX('Prospect Tracker'!$K$5:$K$554,$K148)="","",INDEX('Prospect Tracker'!$K$5:$K$554,$K148)))</f>
        <v/>
      </c>
      <c r="I148" s="11" t="str">
        <f aca="false">IF($K148="","",IF(INDEX('Prospect Tracker'!$T$5:$T$554,$K148)="","",INDEX('Prospect Tracker'!$T$5:$T$554,$K148)))</f>
        <v/>
      </c>
      <c r="J148" s="11" t="str">
        <f aca="false">IF($K148="","",IF(INDEX('Prospect Tracker'!$L$5:$L$554,$K148)="","",INDEX('Prospect Tracker'!$L$5:$L$554,$K148)))</f>
        <v/>
      </c>
      <c r="K148" s="1" t="n">
        <f aca="false">IFERROR(MATCH(SMALL('Prospect Tracker'!$X$5:$X$554,ROW()-4),'Prospect Tracker'!$X$5:$X$554,0),"")</f>
        <v>144</v>
      </c>
    </row>
    <row r="149" customFormat="false" ht="15" hidden="false" customHeight="true" outlineLevel="0" collapsed="false">
      <c r="A149" s="6" t="str">
        <f aca="false">IF($K149="","",IF(INDEX('Prospect Tracker'!$W$5:$W$554,$K149)="","",INDEX('Prospect Tracker'!$W$5:$W$554,$K149)))</f>
        <v/>
      </c>
      <c r="B149" s="6" t="str">
        <f aca="false">IF($K149="","",IF(INDEX('Prospect Tracker'!$A$5:$A$554,$K149)="","",INDEX('Prospect Tracker'!$A$5:$A$554,$K149)))</f>
        <v/>
      </c>
      <c r="C149" s="6" t="str">
        <f aca="false">IF($K149="","",IF(INDEX('Prospect Tracker'!$B$5:$B$554,$K149)="","",INDEX('Prospect Tracker'!$B$5:$B$554,$K149)))</f>
        <v/>
      </c>
      <c r="D149" s="6" t="str">
        <f aca="false">IF($K149="","",IF(INDEX('Prospect Tracker'!$M$5:$M$554,$K149)="","",INDEX('Prospect Tracker'!$M$5:$M$554,$K149)))</f>
        <v/>
      </c>
      <c r="E149" s="6" t="str">
        <f aca="false">IF($K149="","",IF(INDEX('Prospect Tracker'!$R$5:$R$554,$K149)="","",INDEX('Prospect Tracker'!$R$5:$R$554,$K149)))</f>
        <v/>
      </c>
      <c r="F149" s="6" t="str">
        <f aca="false">IF($K149="","",IF(INDEX('Prospect Tracker'!$J$5:$J$554,$K149)="","",INDEX('Prospect Tracker'!$J$5:$J$554,$K149)))</f>
        <v/>
      </c>
      <c r="G149" s="6" t="str">
        <f aca="false">IF($K149="","",IF(INDEX('Prospect Tracker'!$H$5:$H$554,$K149)="","",INDEX('Prospect Tracker'!$H$5:$H$554,$K149)))</f>
        <v/>
      </c>
      <c r="H149" s="7" t="str">
        <f aca="false">IF($K149="","",IF(INDEX('Prospect Tracker'!$K$5:$K$554,$K149)="","",INDEX('Prospect Tracker'!$K$5:$K$554,$K149)))</f>
        <v/>
      </c>
      <c r="I149" s="6" t="str">
        <f aca="false">IF($K149="","",IF(INDEX('Prospect Tracker'!$T$5:$T$554,$K149)="","",INDEX('Prospect Tracker'!$T$5:$T$554,$K149)))</f>
        <v/>
      </c>
      <c r="J149" s="6" t="str">
        <f aca="false">IF($K149="","",IF(INDEX('Prospect Tracker'!$L$5:$L$554,$K149)="","",INDEX('Prospect Tracker'!$L$5:$L$554,$K149)))</f>
        <v/>
      </c>
      <c r="K149" s="1" t="n">
        <f aca="false">IFERROR(MATCH(SMALL('Prospect Tracker'!$X$5:$X$554,ROW()-4),'Prospect Tracker'!$X$5:$X$554,0),"")</f>
        <v>145</v>
      </c>
    </row>
    <row r="150" customFormat="false" ht="15" hidden="false" customHeight="true" outlineLevel="0" collapsed="false">
      <c r="A150" s="11" t="str">
        <f aca="false">IF($K150="","",IF(INDEX('Prospect Tracker'!$W$5:$W$554,$K150)="","",INDEX('Prospect Tracker'!$W$5:$W$554,$K150)))</f>
        <v/>
      </c>
      <c r="B150" s="11" t="str">
        <f aca="false">IF($K150="","",IF(INDEX('Prospect Tracker'!$A$5:$A$554,$K150)="","",INDEX('Prospect Tracker'!$A$5:$A$554,$K150)))</f>
        <v/>
      </c>
      <c r="C150" s="11" t="str">
        <f aca="false">IF($K150="","",IF(INDEX('Prospect Tracker'!$B$5:$B$554,$K150)="","",INDEX('Prospect Tracker'!$B$5:$B$554,$K150)))</f>
        <v/>
      </c>
      <c r="D150" s="11" t="str">
        <f aca="false">IF($K150="","",IF(INDEX('Prospect Tracker'!$M$5:$M$554,$K150)="","",INDEX('Prospect Tracker'!$M$5:$M$554,$K150)))</f>
        <v/>
      </c>
      <c r="E150" s="11" t="str">
        <f aca="false">IF($K150="","",IF(INDEX('Prospect Tracker'!$R$5:$R$554,$K150)="","",INDEX('Prospect Tracker'!$R$5:$R$554,$K150)))</f>
        <v/>
      </c>
      <c r="F150" s="11" t="str">
        <f aca="false">IF($K150="","",IF(INDEX('Prospect Tracker'!$J$5:$J$554,$K150)="","",INDEX('Prospect Tracker'!$J$5:$J$554,$K150)))</f>
        <v/>
      </c>
      <c r="G150" s="11" t="str">
        <f aca="false">IF($K150="","",IF(INDEX('Prospect Tracker'!$H$5:$H$554,$K150)="","",INDEX('Prospect Tracker'!$H$5:$H$554,$K150)))</f>
        <v/>
      </c>
      <c r="H150" s="12" t="str">
        <f aca="false">IF($K150="","",IF(INDEX('Prospect Tracker'!$K$5:$K$554,$K150)="","",INDEX('Prospect Tracker'!$K$5:$K$554,$K150)))</f>
        <v/>
      </c>
      <c r="I150" s="11" t="str">
        <f aca="false">IF($K150="","",IF(INDEX('Prospect Tracker'!$T$5:$T$554,$K150)="","",INDEX('Prospect Tracker'!$T$5:$T$554,$K150)))</f>
        <v/>
      </c>
      <c r="J150" s="11" t="str">
        <f aca="false">IF($K150="","",IF(INDEX('Prospect Tracker'!$L$5:$L$554,$K150)="","",INDEX('Prospect Tracker'!$L$5:$L$554,$K150)))</f>
        <v/>
      </c>
      <c r="K150" s="1" t="n">
        <f aca="false">IFERROR(MATCH(SMALL('Prospect Tracker'!$X$5:$X$554,ROW()-4),'Prospect Tracker'!$X$5:$X$554,0),"")</f>
        <v>146</v>
      </c>
    </row>
    <row r="151" customFormat="false" ht="15" hidden="false" customHeight="true" outlineLevel="0" collapsed="false">
      <c r="A151" s="6" t="str">
        <f aca="false">IF($K151="","",IF(INDEX('Prospect Tracker'!$W$5:$W$554,$K151)="","",INDEX('Prospect Tracker'!$W$5:$W$554,$K151)))</f>
        <v/>
      </c>
      <c r="B151" s="6" t="str">
        <f aca="false">IF($K151="","",IF(INDEX('Prospect Tracker'!$A$5:$A$554,$K151)="","",INDEX('Prospect Tracker'!$A$5:$A$554,$K151)))</f>
        <v/>
      </c>
      <c r="C151" s="6" t="str">
        <f aca="false">IF($K151="","",IF(INDEX('Prospect Tracker'!$B$5:$B$554,$K151)="","",INDEX('Prospect Tracker'!$B$5:$B$554,$K151)))</f>
        <v/>
      </c>
      <c r="D151" s="6" t="str">
        <f aca="false">IF($K151="","",IF(INDEX('Prospect Tracker'!$M$5:$M$554,$K151)="","",INDEX('Prospect Tracker'!$M$5:$M$554,$K151)))</f>
        <v/>
      </c>
      <c r="E151" s="6" t="str">
        <f aca="false">IF($K151="","",IF(INDEX('Prospect Tracker'!$R$5:$R$554,$K151)="","",INDEX('Prospect Tracker'!$R$5:$R$554,$K151)))</f>
        <v/>
      </c>
      <c r="F151" s="6" t="str">
        <f aca="false">IF($K151="","",IF(INDEX('Prospect Tracker'!$J$5:$J$554,$K151)="","",INDEX('Prospect Tracker'!$J$5:$J$554,$K151)))</f>
        <v/>
      </c>
      <c r="G151" s="6" t="str">
        <f aca="false">IF($K151="","",IF(INDEX('Prospect Tracker'!$H$5:$H$554,$K151)="","",INDEX('Prospect Tracker'!$H$5:$H$554,$K151)))</f>
        <v/>
      </c>
      <c r="H151" s="7" t="str">
        <f aca="false">IF($K151="","",IF(INDEX('Prospect Tracker'!$K$5:$K$554,$K151)="","",INDEX('Prospect Tracker'!$K$5:$K$554,$K151)))</f>
        <v/>
      </c>
      <c r="I151" s="6" t="str">
        <f aca="false">IF($K151="","",IF(INDEX('Prospect Tracker'!$T$5:$T$554,$K151)="","",INDEX('Prospect Tracker'!$T$5:$T$554,$K151)))</f>
        <v/>
      </c>
      <c r="J151" s="6" t="str">
        <f aca="false">IF($K151="","",IF(INDEX('Prospect Tracker'!$L$5:$L$554,$K151)="","",INDEX('Prospect Tracker'!$L$5:$L$554,$K151)))</f>
        <v/>
      </c>
      <c r="K151" s="1" t="n">
        <f aca="false">IFERROR(MATCH(SMALL('Prospect Tracker'!$X$5:$X$554,ROW()-4),'Prospect Tracker'!$X$5:$X$554,0),"")</f>
        <v>147</v>
      </c>
    </row>
    <row r="152" customFormat="false" ht="15" hidden="false" customHeight="true" outlineLevel="0" collapsed="false">
      <c r="A152" s="11" t="str">
        <f aca="false">IF($K152="","",IF(INDEX('Prospect Tracker'!$W$5:$W$554,$K152)="","",INDEX('Prospect Tracker'!$W$5:$W$554,$K152)))</f>
        <v/>
      </c>
      <c r="B152" s="11" t="str">
        <f aca="false">IF($K152="","",IF(INDEX('Prospect Tracker'!$A$5:$A$554,$K152)="","",INDEX('Prospect Tracker'!$A$5:$A$554,$K152)))</f>
        <v/>
      </c>
      <c r="C152" s="11" t="str">
        <f aca="false">IF($K152="","",IF(INDEX('Prospect Tracker'!$B$5:$B$554,$K152)="","",INDEX('Prospect Tracker'!$B$5:$B$554,$K152)))</f>
        <v/>
      </c>
      <c r="D152" s="11" t="str">
        <f aca="false">IF($K152="","",IF(INDEX('Prospect Tracker'!$M$5:$M$554,$K152)="","",INDEX('Prospect Tracker'!$M$5:$M$554,$K152)))</f>
        <v/>
      </c>
      <c r="E152" s="11" t="str">
        <f aca="false">IF($K152="","",IF(INDEX('Prospect Tracker'!$R$5:$R$554,$K152)="","",INDEX('Prospect Tracker'!$R$5:$R$554,$K152)))</f>
        <v/>
      </c>
      <c r="F152" s="11" t="str">
        <f aca="false">IF($K152="","",IF(INDEX('Prospect Tracker'!$J$5:$J$554,$K152)="","",INDEX('Prospect Tracker'!$J$5:$J$554,$K152)))</f>
        <v/>
      </c>
      <c r="G152" s="11" t="str">
        <f aca="false">IF($K152="","",IF(INDEX('Prospect Tracker'!$H$5:$H$554,$K152)="","",INDEX('Prospect Tracker'!$H$5:$H$554,$K152)))</f>
        <v/>
      </c>
      <c r="H152" s="12" t="str">
        <f aca="false">IF($K152="","",IF(INDEX('Prospect Tracker'!$K$5:$K$554,$K152)="","",INDEX('Prospect Tracker'!$K$5:$K$554,$K152)))</f>
        <v/>
      </c>
      <c r="I152" s="11" t="str">
        <f aca="false">IF($K152="","",IF(INDEX('Prospect Tracker'!$T$5:$T$554,$K152)="","",INDEX('Prospect Tracker'!$T$5:$T$554,$K152)))</f>
        <v/>
      </c>
      <c r="J152" s="11" t="str">
        <f aca="false">IF($K152="","",IF(INDEX('Prospect Tracker'!$L$5:$L$554,$K152)="","",INDEX('Prospect Tracker'!$L$5:$L$554,$K152)))</f>
        <v/>
      </c>
      <c r="K152" s="1" t="n">
        <f aca="false">IFERROR(MATCH(SMALL('Prospect Tracker'!$X$5:$X$554,ROW()-4),'Prospect Tracker'!$X$5:$X$554,0),"")</f>
        <v>148</v>
      </c>
    </row>
    <row r="153" customFormat="false" ht="15" hidden="false" customHeight="true" outlineLevel="0" collapsed="false">
      <c r="A153" s="6" t="str">
        <f aca="false">IF($K153="","",IF(INDEX('Prospect Tracker'!$W$5:$W$554,$K153)="","",INDEX('Prospect Tracker'!$W$5:$W$554,$K153)))</f>
        <v/>
      </c>
      <c r="B153" s="6" t="str">
        <f aca="false">IF($K153="","",IF(INDEX('Prospect Tracker'!$A$5:$A$554,$K153)="","",INDEX('Prospect Tracker'!$A$5:$A$554,$K153)))</f>
        <v/>
      </c>
      <c r="C153" s="6" t="str">
        <f aca="false">IF($K153="","",IF(INDEX('Prospect Tracker'!$B$5:$B$554,$K153)="","",INDEX('Prospect Tracker'!$B$5:$B$554,$K153)))</f>
        <v/>
      </c>
      <c r="D153" s="6" t="str">
        <f aca="false">IF($K153="","",IF(INDEX('Prospect Tracker'!$M$5:$M$554,$K153)="","",INDEX('Prospect Tracker'!$M$5:$M$554,$K153)))</f>
        <v/>
      </c>
      <c r="E153" s="6" t="str">
        <f aca="false">IF($K153="","",IF(INDEX('Prospect Tracker'!$R$5:$R$554,$K153)="","",INDEX('Prospect Tracker'!$R$5:$R$554,$K153)))</f>
        <v/>
      </c>
      <c r="F153" s="6" t="str">
        <f aca="false">IF($K153="","",IF(INDEX('Prospect Tracker'!$J$5:$J$554,$K153)="","",INDEX('Prospect Tracker'!$J$5:$J$554,$K153)))</f>
        <v/>
      </c>
      <c r="G153" s="6" t="str">
        <f aca="false">IF($K153="","",IF(INDEX('Prospect Tracker'!$H$5:$H$554,$K153)="","",INDEX('Prospect Tracker'!$H$5:$H$554,$K153)))</f>
        <v/>
      </c>
      <c r="H153" s="7" t="str">
        <f aca="false">IF($K153="","",IF(INDEX('Prospect Tracker'!$K$5:$K$554,$K153)="","",INDEX('Prospect Tracker'!$K$5:$K$554,$K153)))</f>
        <v/>
      </c>
      <c r="I153" s="6" t="str">
        <f aca="false">IF($K153="","",IF(INDEX('Prospect Tracker'!$T$5:$T$554,$K153)="","",INDEX('Prospect Tracker'!$T$5:$T$554,$K153)))</f>
        <v/>
      </c>
      <c r="J153" s="6" t="str">
        <f aca="false">IF($K153="","",IF(INDEX('Prospect Tracker'!$L$5:$L$554,$K153)="","",INDEX('Prospect Tracker'!$L$5:$L$554,$K153)))</f>
        <v/>
      </c>
      <c r="K153" s="1" t="n">
        <f aca="false">IFERROR(MATCH(SMALL('Prospect Tracker'!$X$5:$X$554,ROW()-4),'Prospect Tracker'!$X$5:$X$554,0),"")</f>
        <v>149</v>
      </c>
    </row>
    <row r="154" customFormat="false" ht="15" hidden="false" customHeight="true" outlineLevel="0" collapsed="false">
      <c r="A154" s="11" t="str">
        <f aca="false">IF($K154="","",IF(INDEX('Prospect Tracker'!$W$5:$W$554,$K154)="","",INDEX('Prospect Tracker'!$W$5:$W$554,$K154)))</f>
        <v/>
      </c>
      <c r="B154" s="11" t="str">
        <f aca="false">IF($K154="","",IF(INDEX('Prospect Tracker'!$A$5:$A$554,$K154)="","",INDEX('Prospect Tracker'!$A$5:$A$554,$K154)))</f>
        <v/>
      </c>
      <c r="C154" s="11" t="str">
        <f aca="false">IF($K154="","",IF(INDEX('Prospect Tracker'!$B$5:$B$554,$K154)="","",INDEX('Prospect Tracker'!$B$5:$B$554,$K154)))</f>
        <v/>
      </c>
      <c r="D154" s="11" t="str">
        <f aca="false">IF($K154="","",IF(INDEX('Prospect Tracker'!$M$5:$M$554,$K154)="","",INDEX('Prospect Tracker'!$M$5:$M$554,$K154)))</f>
        <v/>
      </c>
      <c r="E154" s="11" t="str">
        <f aca="false">IF($K154="","",IF(INDEX('Prospect Tracker'!$R$5:$R$554,$K154)="","",INDEX('Prospect Tracker'!$R$5:$R$554,$K154)))</f>
        <v/>
      </c>
      <c r="F154" s="11" t="str">
        <f aca="false">IF($K154="","",IF(INDEX('Prospect Tracker'!$J$5:$J$554,$K154)="","",INDEX('Prospect Tracker'!$J$5:$J$554,$K154)))</f>
        <v/>
      </c>
      <c r="G154" s="11" t="str">
        <f aca="false">IF($K154="","",IF(INDEX('Prospect Tracker'!$H$5:$H$554,$K154)="","",INDEX('Prospect Tracker'!$H$5:$H$554,$K154)))</f>
        <v/>
      </c>
      <c r="H154" s="12" t="str">
        <f aca="false">IF($K154="","",IF(INDEX('Prospect Tracker'!$K$5:$K$554,$K154)="","",INDEX('Prospect Tracker'!$K$5:$K$554,$K154)))</f>
        <v/>
      </c>
      <c r="I154" s="11" t="str">
        <f aca="false">IF($K154="","",IF(INDEX('Prospect Tracker'!$T$5:$T$554,$K154)="","",INDEX('Prospect Tracker'!$T$5:$T$554,$K154)))</f>
        <v/>
      </c>
      <c r="J154" s="11" t="str">
        <f aca="false">IF($K154="","",IF(INDEX('Prospect Tracker'!$L$5:$L$554,$K154)="","",INDEX('Prospect Tracker'!$L$5:$L$554,$K154)))</f>
        <v/>
      </c>
      <c r="K154" s="1" t="n">
        <f aca="false">IFERROR(MATCH(SMALL('Prospect Tracker'!$X$5:$X$554,ROW()-4),'Prospect Tracker'!$X$5:$X$554,0),"")</f>
        <v>150</v>
      </c>
    </row>
    <row r="155" customFormat="false" ht="15" hidden="false" customHeight="true" outlineLevel="0" collapsed="false">
      <c r="A155" s="6" t="str">
        <f aca="false">IF($K155="","",IF(INDEX('Prospect Tracker'!$W$5:$W$554,$K155)="","",INDEX('Prospect Tracker'!$W$5:$W$554,$K155)))</f>
        <v/>
      </c>
      <c r="B155" s="6" t="str">
        <f aca="false">IF($K155="","",IF(INDEX('Prospect Tracker'!$A$5:$A$554,$K155)="","",INDEX('Prospect Tracker'!$A$5:$A$554,$K155)))</f>
        <v/>
      </c>
      <c r="C155" s="6" t="str">
        <f aca="false">IF($K155="","",IF(INDEX('Prospect Tracker'!$B$5:$B$554,$K155)="","",INDEX('Prospect Tracker'!$B$5:$B$554,$K155)))</f>
        <v/>
      </c>
      <c r="D155" s="6" t="str">
        <f aca="false">IF($K155="","",IF(INDEX('Prospect Tracker'!$M$5:$M$554,$K155)="","",INDEX('Prospect Tracker'!$M$5:$M$554,$K155)))</f>
        <v/>
      </c>
      <c r="E155" s="6" t="str">
        <f aca="false">IF($K155="","",IF(INDEX('Prospect Tracker'!$R$5:$R$554,$K155)="","",INDEX('Prospect Tracker'!$R$5:$R$554,$K155)))</f>
        <v/>
      </c>
      <c r="F155" s="6" t="str">
        <f aca="false">IF($K155="","",IF(INDEX('Prospect Tracker'!$J$5:$J$554,$K155)="","",INDEX('Prospect Tracker'!$J$5:$J$554,$K155)))</f>
        <v/>
      </c>
      <c r="G155" s="6" t="str">
        <f aca="false">IF($K155="","",IF(INDEX('Prospect Tracker'!$H$5:$H$554,$K155)="","",INDEX('Prospect Tracker'!$H$5:$H$554,$K155)))</f>
        <v/>
      </c>
      <c r="H155" s="7" t="str">
        <f aca="false">IF($K155="","",IF(INDEX('Prospect Tracker'!$K$5:$K$554,$K155)="","",INDEX('Prospect Tracker'!$K$5:$K$554,$K155)))</f>
        <v/>
      </c>
      <c r="I155" s="6" t="str">
        <f aca="false">IF($K155="","",IF(INDEX('Prospect Tracker'!$T$5:$T$554,$K155)="","",INDEX('Prospect Tracker'!$T$5:$T$554,$K155)))</f>
        <v/>
      </c>
      <c r="J155" s="6" t="str">
        <f aca="false">IF($K155="","",IF(INDEX('Prospect Tracker'!$L$5:$L$554,$K155)="","",INDEX('Prospect Tracker'!$L$5:$L$554,$K155)))</f>
        <v/>
      </c>
      <c r="K155" s="1" t="n">
        <f aca="false">IFERROR(MATCH(SMALL('Prospect Tracker'!$X$5:$X$554,ROW()-4),'Prospect Tracker'!$X$5:$X$554,0),"")</f>
        <v>151</v>
      </c>
    </row>
    <row r="156" customFormat="false" ht="15" hidden="false" customHeight="true" outlineLevel="0" collapsed="false">
      <c r="A156" s="11" t="str">
        <f aca="false">IF($K156="","",IF(INDEX('Prospect Tracker'!$W$5:$W$554,$K156)="","",INDEX('Prospect Tracker'!$W$5:$W$554,$K156)))</f>
        <v/>
      </c>
      <c r="B156" s="11" t="str">
        <f aca="false">IF($K156="","",IF(INDEX('Prospect Tracker'!$A$5:$A$554,$K156)="","",INDEX('Prospect Tracker'!$A$5:$A$554,$K156)))</f>
        <v/>
      </c>
      <c r="C156" s="11" t="str">
        <f aca="false">IF($K156="","",IF(INDEX('Prospect Tracker'!$B$5:$B$554,$K156)="","",INDEX('Prospect Tracker'!$B$5:$B$554,$K156)))</f>
        <v/>
      </c>
      <c r="D156" s="11" t="str">
        <f aca="false">IF($K156="","",IF(INDEX('Prospect Tracker'!$M$5:$M$554,$K156)="","",INDEX('Prospect Tracker'!$M$5:$M$554,$K156)))</f>
        <v/>
      </c>
      <c r="E156" s="11" t="str">
        <f aca="false">IF($K156="","",IF(INDEX('Prospect Tracker'!$R$5:$R$554,$K156)="","",INDEX('Prospect Tracker'!$R$5:$R$554,$K156)))</f>
        <v/>
      </c>
      <c r="F156" s="11" t="str">
        <f aca="false">IF($K156="","",IF(INDEX('Prospect Tracker'!$J$5:$J$554,$K156)="","",INDEX('Prospect Tracker'!$J$5:$J$554,$K156)))</f>
        <v/>
      </c>
      <c r="G156" s="11" t="str">
        <f aca="false">IF($K156="","",IF(INDEX('Prospect Tracker'!$H$5:$H$554,$K156)="","",INDEX('Prospect Tracker'!$H$5:$H$554,$K156)))</f>
        <v/>
      </c>
      <c r="H156" s="12" t="str">
        <f aca="false">IF($K156="","",IF(INDEX('Prospect Tracker'!$K$5:$K$554,$K156)="","",INDEX('Prospect Tracker'!$K$5:$K$554,$K156)))</f>
        <v/>
      </c>
      <c r="I156" s="11" t="str">
        <f aca="false">IF($K156="","",IF(INDEX('Prospect Tracker'!$T$5:$T$554,$K156)="","",INDEX('Prospect Tracker'!$T$5:$T$554,$K156)))</f>
        <v/>
      </c>
      <c r="J156" s="11" t="str">
        <f aca="false">IF($K156="","",IF(INDEX('Prospect Tracker'!$L$5:$L$554,$K156)="","",INDEX('Prospect Tracker'!$L$5:$L$554,$K156)))</f>
        <v/>
      </c>
      <c r="K156" s="1" t="n">
        <f aca="false">IFERROR(MATCH(SMALL('Prospect Tracker'!$X$5:$X$554,ROW()-4),'Prospect Tracker'!$X$5:$X$554,0),"")</f>
        <v>152</v>
      </c>
    </row>
    <row r="157" customFormat="false" ht="15" hidden="false" customHeight="true" outlineLevel="0" collapsed="false">
      <c r="A157" s="6" t="str">
        <f aca="false">IF($K157="","",IF(INDEX('Prospect Tracker'!$W$5:$W$554,$K157)="","",INDEX('Prospect Tracker'!$W$5:$W$554,$K157)))</f>
        <v/>
      </c>
      <c r="B157" s="6" t="str">
        <f aca="false">IF($K157="","",IF(INDEX('Prospect Tracker'!$A$5:$A$554,$K157)="","",INDEX('Prospect Tracker'!$A$5:$A$554,$K157)))</f>
        <v/>
      </c>
      <c r="C157" s="6" t="str">
        <f aca="false">IF($K157="","",IF(INDEX('Prospect Tracker'!$B$5:$B$554,$K157)="","",INDEX('Prospect Tracker'!$B$5:$B$554,$K157)))</f>
        <v/>
      </c>
      <c r="D157" s="6" t="str">
        <f aca="false">IF($K157="","",IF(INDEX('Prospect Tracker'!$M$5:$M$554,$K157)="","",INDEX('Prospect Tracker'!$M$5:$M$554,$K157)))</f>
        <v/>
      </c>
      <c r="E157" s="6" t="str">
        <f aca="false">IF($K157="","",IF(INDEX('Prospect Tracker'!$R$5:$R$554,$K157)="","",INDEX('Prospect Tracker'!$R$5:$R$554,$K157)))</f>
        <v/>
      </c>
      <c r="F157" s="6" t="str">
        <f aca="false">IF($K157="","",IF(INDEX('Prospect Tracker'!$J$5:$J$554,$K157)="","",INDEX('Prospect Tracker'!$J$5:$J$554,$K157)))</f>
        <v/>
      </c>
      <c r="G157" s="6" t="str">
        <f aca="false">IF($K157="","",IF(INDEX('Prospect Tracker'!$H$5:$H$554,$K157)="","",INDEX('Prospect Tracker'!$H$5:$H$554,$K157)))</f>
        <v/>
      </c>
      <c r="H157" s="7" t="str">
        <f aca="false">IF($K157="","",IF(INDEX('Prospect Tracker'!$K$5:$K$554,$K157)="","",INDEX('Prospect Tracker'!$K$5:$K$554,$K157)))</f>
        <v/>
      </c>
      <c r="I157" s="6" t="str">
        <f aca="false">IF($K157="","",IF(INDEX('Prospect Tracker'!$T$5:$T$554,$K157)="","",INDEX('Prospect Tracker'!$T$5:$T$554,$K157)))</f>
        <v/>
      </c>
      <c r="J157" s="6" t="str">
        <f aca="false">IF($K157="","",IF(INDEX('Prospect Tracker'!$L$5:$L$554,$K157)="","",INDEX('Prospect Tracker'!$L$5:$L$554,$K157)))</f>
        <v/>
      </c>
      <c r="K157" s="1" t="n">
        <f aca="false">IFERROR(MATCH(SMALL('Prospect Tracker'!$X$5:$X$554,ROW()-4),'Prospect Tracker'!$X$5:$X$554,0),"")</f>
        <v>153</v>
      </c>
    </row>
    <row r="158" customFormat="false" ht="15" hidden="false" customHeight="true" outlineLevel="0" collapsed="false">
      <c r="A158" s="11" t="str">
        <f aca="false">IF($K158="","",IF(INDEX('Prospect Tracker'!$W$5:$W$554,$K158)="","",INDEX('Prospect Tracker'!$W$5:$W$554,$K158)))</f>
        <v/>
      </c>
      <c r="B158" s="11" t="str">
        <f aca="false">IF($K158="","",IF(INDEX('Prospect Tracker'!$A$5:$A$554,$K158)="","",INDEX('Prospect Tracker'!$A$5:$A$554,$K158)))</f>
        <v/>
      </c>
      <c r="C158" s="11" t="str">
        <f aca="false">IF($K158="","",IF(INDEX('Prospect Tracker'!$B$5:$B$554,$K158)="","",INDEX('Prospect Tracker'!$B$5:$B$554,$K158)))</f>
        <v/>
      </c>
      <c r="D158" s="11" t="str">
        <f aca="false">IF($K158="","",IF(INDEX('Prospect Tracker'!$M$5:$M$554,$K158)="","",INDEX('Prospect Tracker'!$M$5:$M$554,$K158)))</f>
        <v/>
      </c>
      <c r="E158" s="11" t="str">
        <f aca="false">IF($K158="","",IF(INDEX('Prospect Tracker'!$R$5:$R$554,$K158)="","",INDEX('Prospect Tracker'!$R$5:$R$554,$K158)))</f>
        <v/>
      </c>
      <c r="F158" s="11" t="str">
        <f aca="false">IF($K158="","",IF(INDEX('Prospect Tracker'!$J$5:$J$554,$K158)="","",INDEX('Prospect Tracker'!$J$5:$J$554,$K158)))</f>
        <v/>
      </c>
      <c r="G158" s="11" t="str">
        <f aca="false">IF($K158="","",IF(INDEX('Prospect Tracker'!$H$5:$H$554,$K158)="","",INDEX('Prospect Tracker'!$H$5:$H$554,$K158)))</f>
        <v/>
      </c>
      <c r="H158" s="12" t="str">
        <f aca="false">IF($K158="","",IF(INDEX('Prospect Tracker'!$K$5:$K$554,$K158)="","",INDEX('Prospect Tracker'!$K$5:$K$554,$K158)))</f>
        <v/>
      </c>
      <c r="I158" s="11" t="str">
        <f aca="false">IF($K158="","",IF(INDEX('Prospect Tracker'!$T$5:$T$554,$K158)="","",INDEX('Prospect Tracker'!$T$5:$T$554,$K158)))</f>
        <v/>
      </c>
      <c r="J158" s="11" t="str">
        <f aca="false">IF($K158="","",IF(INDEX('Prospect Tracker'!$L$5:$L$554,$K158)="","",INDEX('Prospect Tracker'!$L$5:$L$554,$K158)))</f>
        <v/>
      </c>
      <c r="K158" s="1" t="n">
        <f aca="false">IFERROR(MATCH(SMALL('Prospect Tracker'!$X$5:$X$554,ROW()-4),'Prospect Tracker'!$X$5:$X$554,0),"")</f>
        <v>154</v>
      </c>
    </row>
    <row r="159" customFormat="false" ht="15" hidden="false" customHeight="true" outlineLevel="0" collapsed="false">
      <c r="A159" s="6" t="str">
        <f aca="false">IF($K159="","",IF(INDEX('Prospect Tracker'!$W$5:$W$554,$K159)="","",INDEX('Prospect Tracker'!$W$5:$W$554,$K159)))</f>
        <v/>
      </c>
      <c r="B159" s="6" t="str">
        <f aca="false">IF($K159="","",IF(INDEX('Prospect Tracker'!$A$5:$A$554,$K159)="","",INDEX('Prospect Tracker'!$A$5:$A$554,$K159)))</f>
        <v/>
      </c>
      <c r="C159" s="6" t="str">
        <f aca="false">IF($K159="","",IF(INDEX('Prospect Tracker'!$B$5:$B$554,$K159)="","",INDEX('Prospect Tracker'!$B$5:$B$554,$K159)))</f>
        <v/>
      </c>
      <c r="D159" s="6" t="str">
        <f aca="false">IF($K159="","",IF(INDEX('Prospect Tracker'!$M$5:$M$554,$K159)="","",INDEX('Prospect Tracker'!$M$5:$M$554,$K159)))</f>
        <v/>
      </c>
      <c r="E159" s="6" t="str">
        <f aca="false">IF($K159="","",IF(INDEX('Prospect Tracker'!$R$5:$R$554,$K159)="","",INDEX('Prospect Tracker'!$R$5:$R$554,$K159)))</f>
        <v/>
      </c>
      <c r="F159" s="6" t="str">
        <f aca="false">IF($K159="","",IF(INDEX('Prospect Tracker'!$J$5:$J$554,$K159)="","",INDEX('Prospect Tracker'!$J$5:$J$554,$K159)))</f>
        <v/>
      </c>
      <c r="G159" s="6" t="str">
        <f aca="false">IF($K159="","",IF(INDEX('Prospect Tracker'!$H$5:$H$554,$K159)="","",INDEX('Prospect Tracker'!$H$5:$H$554,$K159)))</f>
        <v/>
      </c>
      <c r="H159" s="7" t="str">
        <f aca="false">IF($K159="","",IF(INDEX('Prospect Tracker'!$K$5:$K$554,$K159)="","",INDEX('Prospect Tracker'!$K$5:$K$554,$K159)))</f>
        <v/>
      </c>
      <c r="I159" s="6" t="str">
        <f aca="false">IF($K159="","",IF(INDEX('Prospect Tracker'!$T$5:$T$554,$K159)="","",INDEX('Prospect Tracker'!$T$5:$T$554,$K159)))</f>
        <v/>
      </c>
      <c r="J159" s="6" t="str">
        <f aca="false">IF($K159="","",IF(INDEX('Prospect Tracker'!$L$5:$L$554,$K159)="","",INDEX('Prospect Tracker'!$L$5:$L$554,$K159)))</f>
        <v/>
      </c>
      <c r="K159" s="1" t="n">
        <f aca="false">IFERROR(MATCH(SMALL('Prospect Tracker'!$X$5:$X$554,ROW()-4),'Prospect Tracker'!$X$5:$X$554,0),"")</f>
        <v>155</v>
      </c>
    </row>
    <row r="160" customFormat="false" ht="15" hidden="false" customHeight="true" outlineLevel="0" collapsed="false">
      <c r="A160" s="11" t="str">
        <f aca="false">IF($K160="","",IF(INDEX('Prospect Tracker'!$W$5:$W$554,$K160)="","",INDEX('Prospect Tracker'!$W$5:$W$554,$K160)))</f>
        <v/>
      </c>
      <c r="B160" s="11" t="str">
        <f aca="false">IF($K160="","",IF(INDEX('Prospect Tracker'!$A$5:$A$554,$K160)="","",INDEX('Prospect Tracker'!$A$5:$A$554,$K160)))</f>
        <v/>
      </c>
      <c r="C160" s="11" t="str">
        <f aca="false">IF($K160="","",IF(INDEX('Prospect Tracker'!$B$5:$B$554,$K160)="","",INDEX('Prospect Tracker'!$B$5:$B$554,$K160)))</f>
        <v/>
      </c>
      <c r="D160" s="11" t="str">
        <f aca="false">IF($K160="","",IF(INDEX('Prospect Tracker'!$M$5:$M$554,$K160)="","",INDEX('Prospect Tracker'!$M$5:$M$554,$K160)))</f>
        <v/>
      </c>
      <c r="E160" s="11" t="str">
        <f aca="false">IF($K160="","",IF(INDEX('Prospect Tracker'!$R$5:$R$554,$K160)="","",INDEX('Prospect Tracker'!$R$5:$R$554,$K160)))</f>
        <v/>
      </c>
      <c r="F160" s="11" t="str">
        <f aca="false">IF($K160="","",IF(INDEX('Prospect Tracker'!$J$5:$J$554,$K160)="","",INDEX('Prospect Tracker'!$J$5:$J$554,$K160)))</f>
        <v/>
      </c>
      <c r="G160" s="11" t="str">
        <f aca="false">IF($K160="","",IF(INDEX('Prospect Tracker'!$H$5:$H$554,$K160)="","",INDEX('Prospect Tracker'!$H$5:$H$554,$K160)))</f>
        <v/>
      </c>
      <c r="H160" s="12" t="str">
        <f aca="false">IF($K160="","",IF(INDEX('Prospect Tracker'!$K$5:$K$554,$K160)="","",INDEX('Prospect Tracker'!$K$5:$K$554,$K160)))</f>
        <v/>
      </c>
      <c r="I160" s="11" t="str">
        <f aca="false">IF($K160="","",IF(INDEX('Prospect Tracker'!$T$5:$T$554,$K160)="","",INDEX('Prospect Tracker'!$T$5:$T$554,$K160)))</f>
        <v/>
      </c>
      <c r="J160" s="11" t="str">
        <f aca="false">IF($K160="","",IF(INDEX('Prospect Tracker'!$L$5:$L$554,$K160)="","",INDEX('Prospect Tracker'!$L$5:$L$554,$K160)))</f>
        <v/>
      </c>
      <c r="K160" s="1" t="n">
        <f aca="false">IFERROR(MATCH(SMALL('Prospect Tracker'!$X$5:$X$554,ROW()-4),'Prospect Tracker'!$X$5:$X$554,0),"")</f>
        <v>156</v>
      </c>
    </row>
    <row r="161" customFormat="false" ht="15" hidden="false" customHeight="true" outlineLevel="0" collapsed="false">
      <c r="A161" s="6" t="str">
        <f aca="false">IF($K161="","",IF(INDEX('Prospect Tracker'!$W$5:$W$554,$K161)="","",INDEX('Prospect Tracker'!$W$5:$W$554,$K161)))</f>
        <v/>
      </c>
      <c r="B161" s="6" t="str">
        <f aca="false">IF($K161="","",IF(INDEX('Prospect Tracker'!$A$5:$A$554,$K161)="","",INDEX('Prospect Tracker'!$A$5:$A$554,$K161)))</f>
        <v/>
      </c>
      <c r="C161" s="6" t="str">
        <f aca="false">IF($K161="","",IF(INDEX('Prospect Tracker'!$B$5:$B$554,$K161)="","",INDEX('Prospect Tracker'!$B$5:$B$554,$K161)))</f>
        <v/>
      </c>
      <c r="D161" s="6" t="str">
        <f aca="false">IF($K161="","",IF(INDEX('Prospect Tracker'!$M$5:$M$554,$K161)="","",INDEX('Prospect Tracker'!$M$5:$M$554,$K161)))</f>
        <v/>
      </c>
      <c r="E161" s="6" t="str">
        <f aca="false">IF($K161="","",IF(INDEX('Prospect Tracker'!$R$5:$R$554,$K161)="","",INDEX('Prospect Tracker'!$R$5:$R$554,$K161)))</f>
        <v/>
      </c>
      <c r="F161" s="6" t="str">
        <f aca="false">IF($K161="","",IF(INDEX('Prospect Tracker'!$J$5:$J$554,$K161)="","",INDEX('Prospect Tracker'!$J$5:$J$554,$K161)))</f>
        <v/>
      </c>
      <c r="G161" s="6" t="str">
        <f aca="false">IF($K161="","",IF(INDEX('Prospect Tracker'!$H$5:$H$554,$K161)="","",INDEX('Prospect Tracker'!$H$5:$H$554,$K161)))</f>
        <v/>
      </c>
      <c r="H161" s="7" t="str">
        <f aca="false">IF($K161="","",IF(INDEX('Prospect Tracker'!$K$5:$K$554,$K161)="","",INDEX('Prospect Tracker'!$K$5:$K$554,$K161)))</f>
        <v/>
      </c>
      <c r="I161" s="6" t="str">
        <f aca="false">IF($K161="","",IF(INDEX('Prospect Tracker'!$T$5:$T$554,$K161)="","",INDEX('Prospect Tracker'!$T$5:$T$554,$K161)))</f>
        <v/>
      </c>
      <c r="J161" s="6" t="str">
        <f aca="false">IF($K161="","",IF(INDEX('Prospect Tracker'!$L$5:$L$554,$K161)="","",INDEX('Prospect Tracker'!$L$5:$L$554,$K161)))</f>
        <v/>
      </c>
      <c r="K161" s="1" t="n">
        <f aca="false">IFERROR(MATCH(SMALL('Prospect Tracker'!$X$5:$X$554,ROW()-4),'Prospect Tracker'!$X$5:$X$554,0),"")</f>
        <v>157</v>
      </c>
    </row>
    <row r="162" customFormat="false" ht="15" hidden="false" customHeight="true" outlineLevel="0" collapsed="false">
      <c r="A162" s="11" t="str">
        <f aca="false">IF($K162="","",IF(INDEX('Prospect Tracker'!$W$5:$W$554,$K162)="","",INDEX('Prospect Tracker'!$W$5:$W$554,$K162)))</f>
        <v/>
      </c>
      <c r="B162" s="11" t="str">
        <f aca="false">IF($K162="","",IF(INDEX('Prospect Tracker'!$A$5:$A$554,$K162)="","",INDEX('Prospect Tracker'!$A$5:$A$554,$K162)))</f>
        <v/>
      </c>
      <c r="C162" s="11" t="str">
        <f aca="false">IF($K162="","",IF(INDEX('Prospect Tracker'!$B$5:$B$554,$K162)="","",INDEX('Prospect Tracker'!$B$5:$B$554,$K162)))</f>
        <v/>
      </c>
      <c r="D162" s="11" t="str">
        <f aca="false">IF($K162="","",IF(INDEX('Prospect Tracker'!$M$5:$M$554,$K162)="","",INDEX('Prospect Tracker'!$M$5:$M$554,$K162)))</f>
        <v/>
      </c>
      <c r="E162" s="11" t="str">
        <f aca="false">IF($K162="","",IF(INDEX('Prospect Tracker'!$R$5:$R$554,$K162)="","",INDEX('Prospect Tracker'!$R$5:$R$554,$K162)))</f>
        <v/>
      </c>
      <c r="F162" s="11" t="str">
        <f aca="false">IF($K162="","",IF(INDEX('Prospect Tracker'!$J$5:$J$554,$K162)="","",INDEX('Prospect Tracker'!$J$5:$J$554,$K162)))</f>
        <v/>
      </c>
      <c r="G162" s="11" t="str">
        <f aca="false">IF($K162="","",IF(INDEX('Prospect Tracker'!$H$5:$H$554,$K162)="","",INDEX('Prospect Tracker'!$H$5:$H$554,$K162)))</f>
        <v/>
      </c>
      <c r="H162" s="12" t="str">
        <f aca="false">IF($K162="","",IF(INDEX('Prospect Tracker'!$K$5:$K$554,$K162)="","",INDEX('Prospect Tracker'!$K$5:$K$554,$K162)))</f>
        <v/>
      </c>
      <c r="I162" s="11" t="str">
        <f aca="false">IF($K162="","",IF(INDEX('Prospect Tracker'!$T$5:$T$554,$K162)="","",INDEX('Prospect Tracker'!$T$5:$T$554,$K162)))</f>
        <v/>
      </c>
      <c r="J162" s="11" t="str">
        <f aca="false">IF($K162="","",IF(INDEX('Prospect Tracker'!$L$5:$L$554,$K162)="","",INDEX('Prospect Tracker'!$L$5:$L$554,$K162)))</f>
        <v/>
      </c>
      <c r="K162" s="1" t="n">
        <f aca="false">IFERROR(MATCH(SMALL('Prospect Tracker'!$X$5:$X$554,ROW()-4),'Prospect Tracker'!$X$5:$X$554,0),"")</f>
        <v>158</v>
      </c>
    </row>
    <row r="163" customFormat="false" ht="15" hidden="false" customHeight="true" outlineLevel="0" collapsed="false">
      <c r="A163" s="6" t="str">
        <f aca="false">IF($K163="","",IF(INDEX('Prospect Tracker'!$W$5:$W$554,$K163)="","",INDEX('Prospect Tracker'!$W$5:$W$554,$K163)))</f>
        <v/>
      </c>
      <c r="B163" s="6" t="str">
        <f aca="false">IF($K163="","",IF(INDEX('Prospect Tracker'!$A$5:$A$554,$K163)="","",INDEX('Prospect Tracker'!$A$5:$A$554,$K163)))</f>
        <v/>
      </c>
      <c r="C163" s="6" t="str">
        <f aca="false">IF($K163="","",IF(INDEX('Prospect Tracker'!$B$5:$B$554,$K163)="","",INDEX('Prospect Tracker'!$B$5:$B$554,$K163)))</f>
        <v/>
      </c>
      <c r="D163" s="6" t="str">
        <f aca="false">IF($K163="","",IF(INDEX('Prospect Tracker'!$M$5:$M$554,$K163)="","",INDEX('Prospect Tracker'!$M$5:$M$554,$K163)))</f>
        <v/>
      </c>
      <c r="E163" s="6" t="str">
        <f aca="false">IF($K163="","",IF(INDEX('Prospect Tracker'!$R$5:$R$554,$K163)="","",INDEX('Prospect Tracker'!$R$5:$R$554,$K163)))</f>
        <v/>
      </c>
      <c r="F163" s="6" t="str">
        <f aca="false">IF($K163="","",IF(INDEX('Prospect Tracker'!$J$5:$J$554,$K163)="","",INDEX('Prospect Tracker'!$J$5:$J$554,$K163)))</f>
        <v/>
      </c>
      <c r="G163" s="6" t="str">
        <f aca="false">IF($K163="","",IF(INDEX('Prospect Tracker'!$H$5:$H$554,$K163)="","",INDEX('Prospect Tracker'!$H$5:$H$554,$K163)))</f>
        <v/>
      </c>
      <c r="H163" s="7" t="str">
        <f aca="false">IF($K163="","",IF(INDEX('Prospect Tracker'!$K$5:$K$554,$K163)="","",INDEX('Prospect Tracker'!$K$5:$K$554,$K163)))</f>
        <v/>
      </c>
      <c r="I163" s="6" t="str">
        <f aca="false">IF($K163="","",IF(INDEX('Prospect Tracker'!$T$5:$T$554,$K163)="","",INDEX('Prospect Tracker'!$T$5:$T$554,$K163)))</f>
        <v/>
      </c>
      <c r="J163" s="6" t="str">
        <f aca="false">IF($K163="","",IF(INDEX('Prospect Tracker'!$L$5:$L$554,$K163)="","",INDEX('Prospect Tracker'!$L$5:$L$554,$K163)))</f>
        <v/>
      </c>
      <c r="K163" s="1" t="n">
        <f aca="false">IFERROR(MATCH(SMALL('Prospect Tracker'!$X$5:$X$554,ROW()-4),'Prospect Tracker'!$X$5:$X$554,0),"")</f>
        <v>159</v>
      </c>
    </row>
    <row r="164" customFormat="false" ht="15" hidden="false" customHeight="true" outlineLevel="0" collapsed="false">
      <c r="A164" s="11" t="str">
        <f aca="false">IF($K164="","",IF(INDEX('Prospect Tracker'!$W$5:$W$554,$K164)="","",INDEX('Prospect Tracker'!$W$5:$W$554,$K164)))</f>
        <v/>
      </c>
      <c r="B164" s="11" t="str">
        <f aca="false">IF($K164="","",IF(INDEX('Prospect Tracker'!$A$5:$A$554,$K164)="","",INDEX('Prospect Tracker'!$A$5:$A$554,$K164)))</f>
        <v/>
      </c>
      <c r="C164" s="11" t="str">
        <f aca="false">IF($K164="","",IF(INDEX('Prospect Tracker'!$B$5:$B$554,$K164)="","",INDEX('Prospect Tracker'!$B$5:$B$554,$K164)))</f>
        <v/>
      </c>
      <c r="D164" s="11" t="str">
        <f aca="false">IF($K164="","",IF(INDEX('Prospect Tracker'!$M$5:$M$554,$K164)="","",INDEX('Prospect Tracker'!$M$5:$M$554,$K164)))</f>
        <v/>
      </c>
      <c r="E164" s="11" t="str">
        <f aca="false">IF($K164="","",IF(INDEX('Prospect Tracker'!$R$5:$R$554,$K164)="","",INDEX('Prospect Tracker'!$R$5:$R$554,$K164)))</f>
        <v/>
      </c>
      <c r="F164" s="11" t="str">
        <f aca="false">IF($K164="","",IF(INDEX('Prospect Tracker'!$J$5:$J$554,$K164)="","",INDEX('Prospect Tracker'!$J$5:$J$554,$K164)))</f>
        <v/>
      </c>
      <c r="G164" s="11" t="str">
        <f aca="false">IF($K164="","",IF(INDEX('Prospect Tracker'!$H$5:$H$554,$K164)="","",INDEX('Prospect Tracker'!$H$5:$H$554,$K164)))</f>
        <v/>
      </c>
      <c r="H164" s="12" t="str">
        <f aca="false">IF($K164="","",IF(INDEX('Prospect Tracker'!$K$5:$K$554,$K164)="","",INDEX('Prospect Tracker'!$K$5:$K$554,$K164)))</f>
        <v/>
      </c>
      <c r="I164" s="11" t="str">
        <f aca="false">IF($K164="","",IF(INDEX('Prospect Tracker'!$T$5:$T$554,$K164)="","",INDEX('Prospect Tracker'!$T$5:$T$554,$K164)))</f>
        <v/>
      </c>
      <c r="J164" s="11" t="str">
        <f aca="false">IF($K164="","",IF(INDEX('Prospect Tracker'!$L$5:$L$554,$K164)="","",INDEX('Prospect Tracker'!$L$5:$L$554,$K164)))</f>
        <v/>
      </c>
      <c r="K164" s="1" t="n">
        <f aca="false">IFERROR(MATCH(SMALL('Prospect Tracker'!$X$5:$X$554,ROW()-4),'Prospect Tracker'!$X$5:$X$554,0),"")</f>
        <v>160</v>
      </c>
    </row>
    <row r="165" customFormat="false" ht="15" hidden="false" customHeight="true" outlineLevel="0" collapsed="false">
      <c r="A165" s="6" t="str">
        <f aca="false">IF($K165="","",IF(INDEX('Prospect Tracker'!$W$5:$W$554,$K165)="","",INDEX('Prospect Tracker'!$W$5:$W$554,$K165)))</f>
        <v/>
      </c>
      <c r="B165" s="6" t="str">
        <f aca="false">IF($K165="","",IF(INDEX('Prospect Tracker'!$A$5:$A$554,$K165)="","",INDEX('Prospect Tracker'!$A$5:$A$554,$K165)))</f>
        <v/>
      </c>
      <c r="C165" s="6" t="str">
        <f aca="false">IF($K165="","",IF(INDEX('Prospect Tracker'!$B$5:$B$554,$K165)="","",INDEX('Prospect Tracker'!$B$5:$B$554,$K165)))</f>
        <v/>
      </c>
      <c r="D165" s="6" t="str">
        <f aca="false">IF($K165="","",IF(INDEX('Prospect Tracker'!$M$5:$M$554,$K165)="","",INDEX('Prospect Tracker'!$M$5:$M$554,$K165)))</f>
        <v/>
      </c>
      <c r="E165" s="6" t="str">
        <f aca="false">IF($K165="","",IF(INDEX('Prospect Tracker'!$R$5:$R$554,$K165)="","",INDEX('Prospect Tracker'!$R$5:$R$554,$K165)))</f>
        <v/>
      </c>
      <c r="F165" s="6" t="str">
        <f aca="false">IF($K165="","",IF(INDEX('Prospect Tracker'!$J$5:$J$554,$K165)="","",INDEX('Prospect Tracker'!$J$5:$J$554,$K165)))</f>
        <v/>
      </c>
      <c r="G165" s="6" t="str">
        <f aca="false">IF($K165="","",IF(INDEX('Prospect Tracker'!$H$5:$H$554,$K165)="","",INDEX('Prospect Tracker'!$H$5:$H$554,$K165)))</f>
        <v/>
      </c>
      <c r="H165" s="7" t="str">
        <f aca="false">IF($K165="","",IF(INDEX('Prospect Tracker'!$K$5:$K$554,$K165)="","",INDEX('Prospect Tracker'!$K$5:$K$554,$K165)))</f>
        <v/>
      </c>
      <c r="I165" s="6" t="str">
        <f aca="false">IF($K165="","",IF(INDEX('Prospect Tracker'!$T$5:$T$554,$K165)="","",INDEX('Prospect Tracker'!$T$5:$T$554,$K165)))</f>
        <v/>
      </c>
      <c r="J165" s="6" t="str">
        <f aca="false">IF($K165="","",IF(INDEX('Prospect Tracker'!$L$5:$L$554,$K165)="","",INDEX('Prospect Tracker'!$L$5:$L$554,$K165)))</f>
        <v/>
      </c>
      <c r="K165" s="1" t="n">
        <f aca="false">IFERROR(MATCH(SMALL('Prospect Tracker'!$X$5:$X$554,ROW()-4),'Prospect Tracker'!$X$5:$X$554,0),"")</f>
        <v>161</v>
      </c>
    </row>
    <row r="166" customFormat="false" ht="15" hidden="false" customHeight="true" outlineLevel="0" collapsed="false">
      <c r="A166" s="11" t="str">
        <f aca="false">IF($K166="","",IF(INDEX('Prospect Tracker'!$W$5:$W$554,$K166)="","",INDEX('Prospect Tracker'!$W$5:$W$554,$K166)))</f>
        <v/>
      </c>
      <c r="B166" s="11" t="str">
        <f aca="false">IF($K166="","",IF(INDEX('Prospect Tracker'!$A$5:$A$554,$K166)="","",INDEX('Prospect Tracker'!$A$5:$A$554,$K166)))</f>
        <v/>
      </c>
      <c r="C166" s="11" t="str">
        <f aca="false">IF($K166="","",IF(INDEX('Prospect Tracker'!$B$5:$B$554,$K166)="","",INDEX('Prospect Tracker'!$B$5:$B$554,$K166)))</f>
        <v/>
      </c>
      <c r="D166" s="11" t="str">
        <f aca="false">IF($K166="","",IF(INDEX('Prospect Tracker'!$M$5:$M$554,$K166)="","",INDEX('Prospect Tracker'!$M$5:$M$554,$K166)))</f>
        <v/>
      </c>
      <c r="E166" s="11" t="str">
        <f aca="false">IF($K166="","",IF(INDEX('Prospect Tracker'!$R$5:$R$554,$K166)="","",INDEX('Prospect Tracker'!$R$5:$R$554,$K166)))</f>
        <v/>
      </c>
      <c r="F166" s="11" t="str">
        <f aca="false">IF($K166="","",IF(INDEX('Prospect Tracker'!$J$5:$J$554,$K166)="","",INDEX('Prospect Tracker'!$J$5:$J$554,$K166)))</f>
        <v/>
      </c>
      <c r="G166" s="11" t="str">
        <f aca="false">IF($K166="","",IF(INDEX('Prospect Tracker'!$H$5:$H$554,$K166)="","",INDEX('Prospect Tracker'!$H$5:$H$554,$K166)))</f>
        <v/>
      </c>
      <c r="H166" s="12" t="str">
        <f aca="false">IF($K166="","",IF(INDEX('Prospect Tracker'!$K$5:$K$554,$K166)="","",INDEX('Prospect Tracker'!$K$5:$K$554,$K166)))</f>
        <v/>
      </c>
      <c r="I166" s="11" t="str">
        <f aca="false">IF($K166="","",IF(INDEX('Prospect Tracker'!$T$5:$T$554,$K166)="","",INDEX('Prospect Tracker'!$T$5:$T$554,$K166)))</f>
        <v/>
      </c>
      <c r="J166" s="11" t="str">
        <f aca="false">IF($K166="","",IF(INDEX('Prospect Tracker'!$L$5:$L$554,$K166)="","",INDEX('Prospect Tracker'!$L$5:$L$554,$K166)))</f>
        <v/>
      </c>
      <c r="K166" s="1" t="n">
        <f aca="false">IFERROR(MATCH(SMALL('Prospect Tracker'!$X$5:$X$554,ROW()-4),'Prospect Tracker'!$X$5:$X$554,0),"")</f>
        <v>162</v>
      </c>
    </row>
    <row r="167" customFormat="false" ht="15" hidden="false" customHeight="true" outlineLevel="0" collapsed="false">
      <c r="A167" s="6" t="str">
        <f aca="false">IF($K167="","",IF(INDEX('Prospect Tracker'!$W$5:$W$554,$K167)="","",INDEX('Prospect Tracker'!$W$5:$W$554,$K167)))</f>
        <v/>
      </c>
      <c r="B167" s="6" t="str">
        <f aca="false">IF($K167="","",IF(INDEX('Prospect Tracker'!$A$5:$A$554,$K167)="","",INDEX('Prospect Tracker'!$A$5:$A$554,$K167)))</f>
        <v/>
      </c>
      <c r="C167" s="6" t="str">
        <f aca="false">IF($K167="","",IF(INDEX('Prospect Tracker'!$B$5:$B$554,$K167)="","",INDEX('Prospect Tracker'!$B$5:$B$554,$K167)))</f>
        <v/>
      </c>
      <c r="D167" s="6" t="str">
        <f aca="false">IF($K167="","",IF(INDEX('Prospect Tracker'!$M$5:$M$554,$K167)="","",INDEX('Prospect Tracker'!$M$5:$M$554,$K167)))</f>
        <v/>
      </c>
      <c r="E167" s="6" t="str">
        <f aca="false">IF($K167="","",IF(INDEX('Prospect Tracker'!$R$5:$R$554,$K167)="","",INDEX('Prospect Tracker'!$R$5:$R$554,$K167)))</f>
        <v/>
      </c>
      <c r="F167" s="6" t="str">
        <f aca="false">IF($K167="","",IF(INDEX('Prospect Tracker'!$J$5:$J$554,$K167)="","",INDEX('Prospect Tracker'!$J$5:$J$554,$K167)))</f>
        <v/>
      </c>
      <c r="G167" s="6" t="str">
        <f aca="false">IF($K167="","",IF(INDEX('Prospect Tracker'!$H$5:$H$554,$K167)="","",INDEX('Prospect Tracker'!$H$5:$H$554,$K167)))</f>
        <v/>
      </c>
      <c r="H167" s="7" t="str">
        <f aca="false">IF($K167="","",IF(INDEX('Prospect Tracker'!$K$5:$K$554,$K167)="","",INDEX('Prospect Tracker'!$K$5:$K$554,$K167)))</f>
        <v/>
      </c>
      <c r="I167" s="6" t="str">
        <f aca="false">IF($K167="","",IF(INDEX('Prospect Tracker'!$T$5:$T$554,$K167)="","",INDEX('Prospect Tracker'!$T$5:$T$554,$K167)))</f>
        <v/>
      </c>
      <c r="J167" s="6" t="str">
        <f aca="false">IF($K167="","",IF(INDEX('Prospect Tracker'!$L$5:$L$554,$K167)="","",INDEX('Prospect Tracker'!$L$5:$L$554,$K167)))</f>
        <v/>
      </c>
      <c r="K167" s="1" t="n">
        <f aca="false">IFERROR(MATCH(SMALL('Prospect Tracker'!$X$5:$X$554,ROW()-4),'Prospect Tracker'!$X$5:$X$554,0),"")</f>
        <v>163</v>
      </c>
    </row>
    <row r="168" customFormat="false" ht="15" hidden="false" customHeight="true" outlineLevel="0" collapsed="false">
      <c r="A168" s="11" t="str">
        <f aca="false">IF($K168="","",IF(INDEX('Prospect Tracker'!$W$5:$W$554,$K168)="","",INDEX('Prospect Tracker'!$W$5:$W$554,$K168)))</f>
        <v/>
      </c>
      <c r="B168" s="11" t="str">
        <f aca="false">IF($K168="","",IF(INDEX('Prospect Tracker'!$A$5:$A$554,$K168)="","",INDEX('Prospect Tracker'!$A$5:$A$554,$K168)))</f>
        <v/>
      </c>
      <c r="C168" s="11" t="str">
        <f aca="false">IF($K168="","",IF(INDEX('Prospect Tracker'!$B$5:$B$554,$K168)="","",INDEX('Prospect Tracker'!$B$5:$B$554,$K168)))</f>
        <v/>
      </c>
      <c r="D168" s="11" t="str">
        <f aca="false">IF($K168="","",IF(INDEX('Prospect Tracker'!$M$5:$M$554,$K168)="","",INDEX('Prospect Tracker'!$M$5:$M$554,$K168)))</f>
        <v/>
      </c>
      <c r="E168" s="11" t="str">
        <f aca="false">IF($K168="","",IF(INDEX('Prospect Tracker'!$R$5:$R$554,$K168)="","",INDEX('Prospect Tracker'!$R$5:$R$554,$K168)))</f>
        <v/>
      </c>
      <c r="F168" s="11" t="str">
        <f aca="false">IF($K168="","",IF(INDEX('Prospect Tracker'!$J$5:$J$554,$K168)="","",INDEX('Prospect Tracker'!$J$5:$J$554,$K168)))</f>
        <v/>
      </c>
      <c r="G168" s="11" t="str">
        <f aca="false">IF($K168="","",IF(INDEX('Prospect Tracker'!$H$5:$H$554,$K168)="","",INDEX('Prospect Tracker'!$H$5:$H$554,$K168)))</f>
        <v/>
      </c>
      <c r="H168" s="12" t="str">
        <f aca="false">IF($K168="","",IF(INDEX('Prospect Tracker'!$K$5:$K$554,$K168)="","",INDEX('Prospect Tracker'!$K$5:$K$554,$K168)))</f>
        <v/>
      </c>
      <c r="I168" s="11" t="str">
        <f aca="false">IF($K168="","",IF(INDEX('Prospect Tracker'!$T$5:$T$554,$K168)="","",INDEX('Prospect Tracker'!$T$5:$T$554,$K168)))</f>
        <v/>
      </c>
      <c r="J168" s="11" t="str">
        <f aca="false">IF($K168="","",IF(INDEX('Prospect Tracker'!$L$5:$L$554,$K168)="","",INDEX('Prospect Tracker'!$L$5:$L$554,$K168)))</f>
        <v/>
      </c>
      <c r="K168" s="1" t="n">
        <f aca="false">IFERROR(MATCH(SMALL('Prospect Tracker'!$X$5:$X$554,ROW()-4),'Prospect Tracker'!$X$5:$X$554,0),"")</f>
        <v>164</v>
      </c>
    </row>
    <row r="169" customFormat="false" ht="15" hidden="false" customHeight="true" outlineLevel="0" collapsed="false">
      <c r="A169" s="6" t="str">
        <f aca="false">IF($K169="","",IF(INDEX('Prospect Tracker'!$W$5:$W$554,$K169)="","",INDEX('Prospect Tracker'!$W$5:$W$554,$K169)))</f>
        <v/>
      </c>
      <c r="B169" s="6" t="str">
        <f aca="false">IF($K169="","",IF(INDEX('Prospect Tracker'!$A$5:$A$554,$K169)="","",INDEX('Prospect Tracker'!$A$5:$A$554,$K169)))</f>
        <v/>
      </c>
      <c r="C169" s="6" t="str">
        <f aca="false">IF($K169="","",IF(INDEX('Prospect Tracker'!$B$5:$B$554,$K169)="","",INDEX('Prospect Tracker'!$B$5:$B$554,$K169)))</f>
        <v/>
      </c>
      <c r="D169" s="6" t="str">
        <f aca="false">IF($K169="","",IF(INDEX('Prospect Tracker'!$M$5:$M$554,$K169)="","",INDEX('Prospect Tracker'!$M$5:$M$554,$K169)))</f>
        <v/>
      </c>
      <c r="E169" s="6" t="str">
        <f aca="false">IF($K169="","",IF(INDEX('Prospect Tracker'!$R$5:$R$554,$K169)="","",INDEX('Prospect Tracker'!$R$5:$R$554,$K169)))</f>
        <v/>
      </c>
      <c r="F169" s="6" t="str">
        <f aca="false">IF($K169="","",IF(INDEX('Prospect Tracker'!$J$5:$J$554,$K169)="","",INDEX('Prospect Tracker'!$J$5:$J$554,$K169)))</f>
        <v/>
      </c>
      <c r="G169" s="6" t="str">
        <f aca="false">IF($K169="","",IF(INDEX('Prospect Tracker'!$H$5:$H$554,$K169)="","",INDEX('Prospect Tracker'!$H$5:$H$554,$K169)))</f>
        <v/>
      </c>
      <c r="H169" s="7" t="str">
        <f aca="false">IF($K169="","",IF(INDEX('Prospect Tracker'!$K$5:$K$554,$K169)="","",INDEX('Prospect Tracker'!$K$5:$K$554,$K169)))</f>
        <v/>
      </c>
      <c r="I169" s="6" t="str">
        <f aca="false">IF($K169="","",IF(INDEX('Prospect Tracker'!$T$5:$T$554,$K169)="","",INDEX('Prospect Tracker'!$T$5:$T$554,$K169)))</f>
        <v/>
      </c>
      <c r="J169" s="6" t="str">
        <f aca="false">IF($K169="","",IF(INDEX('Prospect Tracker'!$L$5:$L$554,$K169)="","",INDEX('Prospect Tracker'!$L$5:$L$554,$K169)))</f>
        <v/>
      </c>
      <c r="K169" s="1" t="n">
        <f aca="false">IFERROR(MATCH(SMALL('Prospect Tracker'!$X$5:$X$554,ROW()-4),'Prospect Tracker'!$X$5:$X$554,0),"")</f>
        <v>165</v>
      </c>
    </row>
    <row r="170" customFormat="false" ht="15" hidden="false" customHeight="true" outlineLevel="0" collapsed="false">
      <c r="A170" s="11" t="str">
        <f aca="false">IF($K170="","",IF(INDEX('Prospect Tracker'!$W$5:$W$554,$K170)="","",INDEX('Prospect Tracker'!$W$5:$W$554,$K170)))</f>
        <v/>
      </c>
      <c r="B170" s="11" t="str">
        <f aca="false">IF($K170="","",IF(INDEX('Prospect Tracker'!$A$5:$A$554,$K170)="","",INDEX('Prospect Tracker'!$A$5:$A$554,$K170)))</f>
        <v/>
      </c>
      <c r="C170" s="11" t="str">
        <f aca="false">IF($K170="","",IF(INDEX('Prospect Tracker'!$B$5:$B$554,$K170)="","",INDEX('Prospect Tracker'!$B$5:$B$554,$K170)))</f>
        <v/>
      </c>
      <c r="D170" s="11" t="str">
        <f aca="false">IF($K170="","",IF(INDEX('Prospect Tracker'!$M$5:$M$554,$K170)="","",INDEX('Prospect Tracker'!$M$5:$M$554,$K170)))</f>
        <v/>
      </c>
      <c r="E170" s="11" t="str">
        <f aca="false">IF($K170="","",IF(INDEX('Prospect Tracker'!$R$5:$R$554,$K170)="","",INDEX('Prospect Tracker'!$R$5:$R$554,$K170)))</f>
        <v/>
      </c>
      <c r="F170" s="11" t="str">
        <f aca="false">IF($K170="","",IF(INDEX('Prospect Tracker'!$J$5:$J$554,$K170)="","",INDEX('Prospect Tracker'!$J$5:$J$554,$K170)))</f>
        <v/>
      </c>
      <c r="G170" s="11" t="str">
        <f aca="false">IF($K170="","",IF(INDEX('Prospect Tracker'!$H$5:$H$554,$K170)="","",INDEX('Prospect Tracker'!$H$5:$H$554,$K170)))</f>
        <v/>
      </c>
      <c r="H170" s="12" t="str">
        <f aca="false">IF($K170="","",IF(INDEX('Prospect Tracker'!$K$5:$K$554,$K170)="","",INDEX('Prospect Tracker'!$K$5:$K$554,$K170)))</f>
        <v/>
      </c>
      <c r="I170" s="11" t="str">
        <f aca="false">IF($K170="","",IF(INDEX('Prospect Tracker'!$T$5:$T$554,$K170)="","",INDEX('Prospect Tracker'!$T$5:$T$554,$K170)))</f>
        <v/>
      </c>
      <c r="J170" s="11" t="str">
        <f aca="false">IF($K170="","",IF(INDEX('Prospect Tracker'!$L$5:$L$554,$K170)="","",INDEX('Prospect Tracker'!$L$5:$L$554,$K170)))</f>
        <v/>
      </c>
      <c r="K170" s="1" t="n">
        <f aca="false">IFERROR(MATCH(SMALL('Prospect Tracker'!$X$5:$X$554,ROW()-4),'Prospect Tracker'!$X$5:$X$554,0),"")</f>
        <v>166</v>
      </c>
    </row>
    <row r="171" customFormat="false" ht="15" hidden="false" customHeight="true" outlineLevel="0" collapsed="false">
      <c r="A171" s="6" t="str">
        <f aca="false">IF($K171="","",IF(INDEX('Prospect Tracker'!$W$5:$W$554,$K171)="","",INDEX('Prospect Tracker'!$W$5:$W$554,$K171)))</f>
        <v/>
      </c>
      <c r="B171" s="6" t="str">
        <f aca="false">IF($K171="","",IF(INDEX('Prospect Tracker'!$A$5:$A$554,$K171)="","",INDEX('Prospect Tracker'!$A$5:$A$554,$K171)))</f>
        <v/>
      </c>
      <c r="C171" s="6" t="str">
        <f aca="false">IF($K171="","",IF(INDEX('Prospect Tracker'!$B$5:$B$554,$K171)="","",INDEX('Prospect Tracker'!$B$5:$B$554,$K171)))</f>
        <v/>
      </c>
      <c r="D171" s="6" t="str">
        <f aca="false">IF($K171="","",IF(INDEX('Prospect Tracker'!$M$5:$M$554,$K171)="","",INDEX('Prospect Tracker'!$M$5:$M$554,$K171)))</f>
        <v/>
      </c>
      <c r="E171" s="6" t="str">
        <f aca="false">IF($K171="","",IF(INDEX('Prospect Tracker'!$R$5:$R$554,$K171)="","",INDEX('Prospect Tracker'!$R$5:$R$554,$K171)))</f>
        <v/>
      </c>
      <c r="F171" s="6" t="str">
        <f aca="false">IF($K171="","",IF(INDEX('Prospect Tracker'!$J$5:$J$554,$K171)="","",INDEX('Prospect Tracker'!$J$5:$J$554,$K171)))</f>
        <v/>
      </c>
      <c r="G171" s="6" t="str">
        <f aca="false">IF($K171="","",IF(INDEX('Prospect Tracker'!$H$5:$H$554,$K171)="","",INDEX('Prospect Tracker'!$H$5:$H$554,$K171)))</f>
        <v/>
      </c>
      <c r="H171" s="7" t="str">
        <f aca="false">IF($K171="","",IF(INDEX('Prospect Tracker'!$K$5:$K$554,$K171)="","",INDEX('Prospect Tracker'!$K$5:$K$554,$K171)))</f>
        <v/>
      </c>
      <c r="I171" s="6" t="str">
        <f aca="false">IF($K171="","",IF(INDEX('Prospect Tracker'!$T$5:$T$554,$K171)="","",INDEX('Prospect Tracker'!$T$5:$T$554,$K171)))</f>
        <v/>
      </c>
      <c r="J171" s="6" t="str">
        <f aca="false">IF($K171="","",IF(INDEX('Prospect Tracker'!$L$5:$L$554,$K171)="","",INDEX('Prospect Tracker'!$L$5:$L$554,$K171)))</f>
        <v/>
      </c>
      <c r="K171" s="1" t="n">
        <f aca="false">IFERROR(MATCH(SMALL('Prospect Tracker'!$X$5:$X$554,ROW()-4),'Prospect Tracker'!$X$5:$X$554,0),"")</f>
        <v>167</v>
      </c>
    </row>
    <row r="172" customFormat="false" ht="15" hidden="false" customHeight="true" outlineLevel="0" collapsed="false">
      <c r="A172" s="11" t="str">
        <f aca="false">IF($K172="","",IF(INDEX('Prospect Tracker'!$W$5:$W$554,$K172)="","",INDEX('Prospect Tracker'!$W$5:$W$554,$K172)))</f>
        <v/>
      </c>
      <c r="B172" s="11" t="str">
        <f aca="false">IF($K172="","",IF(INDEX('Prospect Tracker'!$A$5:$A$554,$K172)="","",INDEX('Prospect Tracker'!$A$5:$A$554,$K172)))</f>
        <v/>
      </c>
      <c r="C172" s="11" t="str">
        <f aca="false">IF($K172="","",IF(INDEX('Prospect Tracker'!$B$5:$B$554,$K172)="","",INDEX('Prospect Tracker'!$B$5:$B$554,$K172)))</f>
        <v/>
      </c>
      <c r="D172" s="11" t="str">
        <f aca="false">IF($K172="","",IF(INDEX('Prospect Tracker'!$M$5:$M$554,$K172)="","",INDEX('Prospect Tracker'!$M$5:$M$554,$K172)))</f>
        <v/>
      </c>
      <c r="E172" s="11" t="str">
        <f aca="false">IF($K172="","",IF(INDEX('Prospect Tracker'!$R$5:$R$554,$K172)="","",INDEX('Prospect Tracker'!$R$5:$R$554,$K172)))</f>
        <v/>
      </c>
      <c r="F172" s="11" t="str">
        <f aca="false">IF($K172="","",IF(INDEX('Prospect Tracker'!$J$5:$J$554,$K172)="","",INDEX('Prospect Tracker'!$J$5:$J$554,$K172)))</f>
        <v/>
      </c>
      <c r="G172" s="11" t="str">
        <f aca="false">IF($K172="","",IF(INDEX('Prospect Tracker'!$H$5:$H$554,$K172)="","",INDEX('Prospect Tracker'!$H$5:$H$554,$K172)))</f>
        <v/>
      </c>
      <c r="H172" s="12" t="str">
        <f aca="false">IF($K172="","",IF(INDEX('Prospect Tracker'!$K$5:$K$554,$K172)="","",INDEX('Prospect Tracker'!$K$5:$K$554,$K172)))</f>
        <v/>
      </c>
      <c r="I172" s="11" t="str">
        <f aca="false">IF($K172="","",IF(INDEX('Prospect Tracker'!$T$5:$T$554,$K172)="","",INDEX('Prospect Tracker'!$T$5:$T$554,$K172)))</f>
        <v/>
      </c>
      <c r="J172" s="11" t="str">
        <f aca="false">IF($K172="","",IF(INDEX('Prospect Tracker'!$L$5:$L$554,$K172)="","",INDEX('Prospect Tracker'!$L$5:$L$554,$K172)))</f>
        <v/>
      </c>
      <c r="K172" s="1" t="n">
        <f aca="false">IFERROR(MATCH(SMALL('Prospect Tracker'!$X$5:$X$554,ROW()-4),'Prospect Tracker'!$X$5:$X$554,0),"")</f>
        <v>168</v>
      </c>
    </row>
    <row r="173" customFormat="false" ht="15" hidden="false" customHeight="true" outlineLevel="0" collapsed="false">
      <c r="A173" s="6" t="str">
        <f aca="false">IF($K173="","",IF(INDEX('Prospect Tracker'!$W$5:$W$554,$K173)="","",INDEX('Prospect Tracker'!$W$5:$W$554,$K173)))</f>
        <v/>
      </c>
      <c r="B173" s="6" t="str">
        <f aca="false">IF($K173="","",IF(INDEX('Prospect Tracker'!$A$5:$A$554,$K173)="","",INDEX('Prospect Tracker'!$A$5:$A$554,$K173)))</f>
        <v/>
      </c>
      <c r="C173" s="6" t="str">
        <f aca="false">IF($K173="","",IF(INDEX('Prospect Tracker'!$B$5:$B$554,$K173)="","",INDEX('Prospect Tracker'!$B$5:$B$554,$K173)))</f>
        <v/>
      </c>
      <c r="D173" s="6" t="str">
        <f aca="false">IF($K173="","",IF(INDEX('Prospect Tracker'!$M$5:$M$554,$K173)="","",INDEX('Prospect Tracker'!$M$5:$M$554,$K173)))</f>
        <v/>
      </c>
      <c r="E173" s="6" t="str">
        <f aca="false">IF($K173="","",IF(INDEX('Prospect Tracker'!$R$5:$R$554,$K173)="","",INDEX('Prospect Tracker'!$R$5:$R$554,$K173)))</f>
        <v/>
      </c>
      <c r="F173" s="6" t="str">
        <f aca="false">IF($K173="","",IF(INDEX('Prospect Tracker'!$J$5:$J$554,$K173)="","",INDEX('Prospect Tracker'!$J$5:$J$554,$K173)))</f>
        <v/>
      </c>
      <c r="G173" s="6" t="str">
        <f aca="false">IF($K173="","",IF(INDEX('Prospect Tracker'!$H$5:$H$554,$K173)="","",INDEX('Prospect Tracker'!$H$5:$H$554,$K173)))</f>
        <v/>
      </c>
      <c r="H173" s="7" t="str">
        <f aca="false">IF($K173="","",IF(INDEX('Prospect Tracker'!$K$5:$K$554,$K173)="","",INDEX('Prospect Tracker'!$K$5:$K$554,$K173)))</f>
        <v/>
      </c>
      <c r="I173" s="6" t="str">
        <f aca="false">IF($K173="","",IF(INDEX('Prospect Tracker'!$T$5:$T$554,$K173)="","",INDEX('Prospect Tracker'!$T$5:$T$554,$K173)))</f>
        <v/>
      </c>
      <c r="J173" s="6" t="str">
        <f aca="false">IF($K173="","",IF(INDEX('Prospect Tracker'!$L$5:$L$554,$K173)="","",INDEX('Prospect Tracker'!$L$5:$L$554,$K173)))</f>
        <v/>
      </c>
      <c r="K173" s="1" t="n">
        <f aca="false">IFERROR(MATCH(SMALL('Prospect Tracker'!$X$5:$X$554,ROW()-4),'Prospect Tracker'!$X$5:$X$554,0),"")</f>
        <v>169</v>
      </c>
    </row>
    <row r="174" customFormat="false" ht="15" hidden="false" customHeight="true" outlineLevel="0" collapsed="false">
      <c r="A174" s="11" t="str">
        <f aca="false">IF($K174="","",IF(INDEX('Prospect Tracker'!$W$5:$W$554,$K174)="","",INDEX('Prospect Tracker'!$W$5:$W$554,$K174)))</f>
        <v/>
      </c>
      <c r="B174" s="11" t="str">
        <f aca="false">IF($K174="","",IF(INDEX('Prospect Tracker'!$A$5:$A$554,$K174)="","",INDEX('Prospect Tracker'!$A$5:$A$554,$K174)))</f>
        <v/>
      </c>
      <c r="C174" s="11" t="str">
        <f aca="false">IF($K174="","",IF(INDEX('Prospect Tracker'!$B$5:$B$554,$K174)="","",INDEX('Prospect Tracker'!$B$5:$B$554,$K174)))</f>
        <v/>
      </c>
      <c r="D174" s="11" t="str">
        <f aca="false">IF($K174="","",IF(INDEX('Prospect Tracker'!$M$5:$M$554,$K174)="","",INDEX('Prospect Tracker'!$M$5:$M$554,$K174)))</f>
        <v/>
      </c>
      <c r="E174" s="11" t="str">
        <f aca="false">IF($K174="","",IF(INDEX('Prospect Tracker'!$R$5:$R$554,$K174)="","",INDEX('Prospect Tracker'!$R$5:$R$554,$K174)))</f>
        <v/>
      </c>
      <c r="F174" s="11" t="str">
        <f aca="false">IF($K174="","",IF(INDEX('Prospect Tracker'!$J$5:$J$554,$K174)="","",INDEX('Prospect Tracker'!$J$5:$J$554,$K174)))</f>
        <v/>
      </c>
      <c r="G174" s="11" t="str">
        <f aca="false">IF($K174="","",IF(INDEX('Prospect Tracker'!$H$5:$H$554,$K174)="","",INDEX('Prospect Tracker'!$H$5:$H$554,$K174)))</f>
        <v/>
      </c>
      <c r="H174" s="12" t="str">
        <f aca="false">IF($K174="","",IF(INDEX('Prospect Tracker'!$K$5:$K$554,$K174)="","",INDEX('Prospect Tracker'!$K$5:$K$554,$K174)))</f>
        <v/>
      </c>
      <c r="I174" s="11" t="str">
        <f aca="false">IF($K174="","",IF(INDEX('Prospect Tracker'!$T$5:$T$554,$K174)="","",INDEX('Prospect Tracker'!$T$5:$T$554,$K174)))</f>
        <v/>
      </c>
      <c r="J174" s="11" t="str">
        <f aca="false">IF($K174="","",IF(INDEX('Prospect Tracker'!$L$5:$L$554,$K174)="","",INDEX('Prospect Tracker'!$L$5:$L$554,$K174)))</f>
        <v/>
      </c>
      <c r="K174" s="1" t="n">
        <f aca="false">IFERROR(MATCH(SMALL('Prospect Tracker'!$X$5:$X$554,ROW()-4),'Prospect Tracker'!$X$5:$X$554,0),"")</f>
        <v>170</v>
      </c>
    </row>
    <row r="175" customFormat="false" ht="15" hidden="false" customHeight="true" outlineLevel="0" collapsed="false">
      <c r="A175" s="6" t="str">
        <f aca="false">IF($K175="","",IF(INDEX('Prospect Tracker'!$W$5:$W$554,$K175)="","",INDEX('Prospect Tracker'!$W$5:$W$554,$K175)))</f>
        <v/>
      </c>
      <c r="B175" s="6" t="str">
        <f aca="false">IF($K175="","",IF(INDEX('Prospect Tracker'!$A$5:$A$554,$K175)="","",INDEX('Prospect Tracker'!$A$5:$A$554,$K175)))</f>
        <v/>
      </c>
      <c r="C175" s="6" t="str">
        <f aca="false">IF($K175="","",IF(INDEX('Prospect Tracker'!$B$5:$B$554,$K175)="","",INDEX('Prospect Tracker'!$B$5:$B$554,$K175)))</f>
        <v/>
      </c>
      <c r="D175" s="6" t="str">
        <f aca="false">IF($K175="","",IF(INDEX('Prospect Tracker'!$M$5:$M$554,$K175)="","",INDEX('Prospect Tracker'!$M$5:$M$554,$K175)))</f>
        <v/>
      </c>
      <c r="E175" s="6" t="str">
        <f aca="false">IF($K175="","",IF(INDEX('Prospect Tracker'!$R$5:$R$554,$K175)="","",INDEX('Prospect Tracker'!$R$5:$R$554,$K175)))</f>
        <v/>
      </c>
      <c r="F175" s="6" t="str">
        <f aca="false">IF($K175="","",IF(INDEX('Prospect Tracker'!$J$5:$J$554,$K175)="","",INDEX('Prospect Tracker'!$J$5:$J$554,$K175)))</f>
        <v/>
      </c>
      <c r="G175" s="6" t="str">
        <f aca="false">IF($K175="","",IF(INDEX('Prospect Tracker'!$H$5:$H$554,$K175)="","",INDEX('Prospect Tracker'!$H$5:$H$554,$K175)))</f>
        <v/>
      </c>
      <c r="H175" s="7" t="str">
        <f aca="false">IF($K175="","",IF(INDEX('Prospect Tracker'!$K$5:$K$554,$K175)="","",INDEX('Prospect Tracker'!$K$5:$K$554,$K175)))</f>
        <v/>
      </c>
      <c r="I175" s="6" t="str">
        <f aca="false">IF($K175="","",IF(INDEX('Prospect Tracker'!$T$5:$T$554,$K175)="","",INDEX('Prospect Tracker'!$T$5:$T$554,$K175)))</f>
        <v/>
      </c>
      <c r="J175" s="6" t="str">
        <f aca="false">IF($K175="","",IF(INDEX('Prospect Tracker'!$L$5:$L$554,$K175)="","",INDEX('Prospect Tracker'!$L$5:$L$554,$K175)))</f>
        <v/>
      </c>
      <c r="K175" s="1" t="n">
        <f aca="false">IFERROR(MATCH(SMALL('Prospect Tracker'!$X$5:$X$554,ROW()-4),'Prospect Tracker'!$X$5:$X$554,0),"")</f>
        <v>171</v>
      </c>
    </row>
    <row r="176" customFormat="false" ht="15" hidden="false" customHeight="true" outlineLevel="0" collapsed="false">
      <c r="A176" s="11" t="str">
        <f aca="false">IF($K176="","",IF(INDEX('Prospect Tracker'!$W$5:$W$554,$K176)="","",INDEX('Prospect Tracker'!$W$5:$W$554,$K176)))</f>
        <v/>
      </c>
      <c r="B176" s="11" t="str">
        <f aca="false">IF($K176="","",IF(INDEX('Prospect Tracker'!$A$5:$A$554,$K176)="","",INDEX('Prospect Tracker'!$A$5:$A$554,$K176)))</f>
        <v/>
      </c>
      <c r="C176" s="11" t="str">
        <f aca="false">IF($K176="","",IF(INDEX('Prospect Tracker'!$B$5:$B$554,$K176)="","",INDEX('Prospect Tracker'!$B$5:$B$554,$K176)))</f>
        <v/>
      </c>
      <c r="D176" s="11" t="str">
        <f aca="false">IF($K176="","",IF(INDEX('Prospect Tracker'!$M$5:$M$554,$K176)="","",INDEX('Prospect Tracker'!$M$5:$M$554,$K176)))</f>
        <v/>
      </c>
      <c r="E176" s="11" t="str">
        <f aca="false">IF($K176="","",IF(INDEX('Prospect Tracker'!$R$5:$R$554,$K176)="","",INDEX('Prospect Tracker'!$R$5:$R$554,$K176)))</f>
        <v/>
      </c>
      <c r="F176" s="11" t="str">
        <f aca="false">IF($K176="","",IF(INDEX('Prospect Tracker'!$J$5:$J$554,$K176)="","",INDEX('Prospect Tracker'!$J$5:$J$554,$K176)))</f>
        <v/>
      </c>
      <c r="G176" s="11" t="str">
        <f aca="false">IF($K176="","",IF(INDEX('Prospect Tracker'!$H$5:$H$554,$K176)="","",INDEX('Prospect Tracker'!$H$5:$H$554,$K176)))</f>
        <v/>
      </c>
      <c r="H176" s="12" t="str">
        <f aca="false">IF($K176="","",IF(INDEX('Prospect Tracker'!$K$5:$K$554,$K176)="","",INDEX('Prospect Tracker'!$K$5:$K$554,$K176)))</f>
        <v/>
      </c>
      <c r="I176" s="11" t="str">
        <f aca="false">IF($K176="","",IF(INDEX('Prospect Tracker'!$T$5:$T$554,$K176)="","",INDEX('Prospect Tracker'!$T$5:$T$554,$K176)))</f>
        <v/>
      </c>
      <c r="J176" s="11" t="str">
        <f aca="false">IF($K176="","",IF(INDEX('Prospect Tracker'!$L$5:$L$554,$K176)="","",INDEX('Prospect Tracker'!$L$5:$L$554,$K176)))</f>
        <v/>
      </c>
      <c r="K176" s="1" t="n">
        <f aca="false">IFERROR(MATCH(SMALL('Prospect Tracker'!$X$5:$X$554,ROW()-4),'Prospect Tracker'!$X$5:$X$554,0),"")</f>
        <v>172</v>
      </c>
    </row>
    <row r="177" customFormat="false" ht="15" hidden="false" customHeight="true" outlineLevel="0" collapsed="false">
      <c r="A177" s="6" t="str">
        <f aca="false">IF($K177="","",IF(INDEX('Prospect Tracker'!$W$5:$W$554,$K177)="","",INDEX('Prospect Tracker'!$W$5:$W$554,$K177)))</f>
        <v/>
      </c>
      <c r="B177" s="6" t="str">
        <f aca="false">IF($K177="","",IF(INDEX('Prospect Tracker'!$A$5:$A$554,$K177)="","",INDEX('Prospect Tracker'!$A$5:$A$554,$K177)))</f>
        <v/>
      </c>
      <c r="C177" s="6" t="str">
        <f aca="false">IF($K177="","",IF(INDEX('Prospect Tracker'!$B$5:$B$554,$K177)="","",INDEX('Prospect Tracker'!$B$5:$B$554,$K177)))</f>
        <v/>
      </c>
      <c r="D177" s="6" t="str">
        <f aca="false">IF($K177="","",IF(INDEX('Prospect Tracker'!$M$5:$M$554,$K177)="","",INDEX('Prospect Tracker'!$M$5:$M$554,$K177)))</f>
        <v/>
      </c>
      <c r="E177" s="6" t="str">
        <f aca="false">IF($K177="","",IF(INDEX('Prospect Tracker'!$R$5:$R$554,$K177)="","",INDEX('Prospect Tracker'!$R$5:$R$554,$K177)))</f>
        <v/>
      </c>
      <c r="F177" s="6" t="str">
        <f aca="false">IF($K177="","",IF(INDEX('Prospect Tracker'!$J$5:$J$554,$K177)="","",INDEX('Prospect Tracker'!$J$5:$J$554,$K177)))</f>
        <v/>
      </c>
      <c r="G177" s="6" t="str">
        <f aca="false">IF($K177="","",IF(INDEX('Prospect Tracker'!$H$5:$H$554,$K177)="","",INDEX('Prospect Tracker'!$H$5:$H$554,$K177)))</f>
        <v/>
      </c>
      <c r="H177" s="7" t="str">
        <f aca="false">IF($K177="","",IF(INDEX('Prospect Tracker'!$K$5:$K$554,$K177)="","",INDEX('Prospect Tracker'!$K$5:$K$554,$K177)))</f>
        <v/>
      </c>
      <c r="I177" s="6" t="str">
        <f aca="false">IF($K177="","",IF(INDEX('Prospect Tracker'!$T$5:$T$554,$K177)="","",INDEX('Prospect Tracker'!$T$5:$T$554,$K177)))</f>
        <v/>
      </c>
      <c r="J177" s="6" t="str">
        <f aca="false">IF($K177="","",IF(INDEX('Prospect Tracker'!$L$5:$L$554,$K177)="","",INDEX('Prospect Tracker'!$L$5:$L$554,$K177)))</f>
        <v/>
      </c>
      <c r="K177" s="1" t="n">
        <f aca="false">IFERROR(MATCH(SMALL('Prospect Tracker'!$X$5:$X$554,ROW()-4),'Prospect Tracker'!$X$5:$X$554,0),"")</f>
        <v>173</v>
      </c>
    </row>
    <row r="178" customFormat="false" ht="15" hidden="false" customHeight="true" outlineLevel="0" collapsed="false">
      <c r="A178" s="11" t="str">
        <f aca="false">IF($K178="","",IF(INDEX('Prospect Tracker'!$W$5:$W$554,$K178)="","",INDEX('Prospect Tracker'!$W$5:$W$554,$K178)))</f>
        <v/>
      </c>
      <c r="B178" s="11" t="str">
        <f aca="false">IF($K178="","",IF(INDEX('Prospect Tracker'!$A$5:$A$554,$K178)="","",INDEX('Prospect Tracker'!$A$5:$A$554,$K178)))</f>
        <v/>
      </c>
      <c r="C178" s="11" t="str">
        <f aca="false">IF($K178="","",IF(INDEX('Prospect Tracker'!$B$5:$B$554,$K178)="","",INDEX('Prospect Tracker'!$B$5:$B$554,$K178)))</f>
        <v/>
      </c>
      <c r="D178" s="11" t="str">
        <f aca="false">IF($K178="","",IF(INDEX('Prospect Tracker'!$M$5:$M$554,$K178)="","",INDEX('Prospect Tracker'!$M$5:$M$554,$K178)))</f>
        <v/>
      </c>
      <c r="E178" s="11" t="str">
        <f aca="false">IF($K178="","",IF(INDEX('Prospect Tracker'!$R$5:$R$554,$K178)="","",INDEX('Prospect Tracker'!$R$5:$R$554,$K178)))</f>
        <v/>
      </c>
      <c r="F178" s="11" t="str">
        <f aca="false">IF($K178="","",IF(INDEX('Prospect Tracker'!$J$5:$J$554,$K178)="","",INDEX('Prospect Tracker'!$J$5:$J$554,$K178)))</f>
        <v/>
      </c>
      <c r="G178" s="11" t="str">
        <f aca="false">IF($K178="","",IF(INDEX('Prospect Tracker'!$H$5:$H$554,$K178)="","",INDEX('Prospect Tracker'!$H$5:$H$554,$K178)))</f>
        <v/>
      </c>
      <c r="H178" s="12" t="str">
        <f aca="false">IF($K178="","",IF(INDEX('Prospect Tracker'!$K$5:$K$554,$K178)="","",INDEX('Prospect Tracker'!$K$5:$K$554,$K178)))</f>
        <v/>
      </c>
      <c r="I178" s="11" t="str">
        <f aca="false">IF($K178="","",IF(INDEX('Prospect Tracker'!$T$5:$T$554,$K178)="","",INDEX('Prospect Tracker'!$T$5:$T$554,$K178)))</f>
        <v/>
      </c>
      <c r="J178" s="11" t="str">
        <f aca="false">IF($K178="","",IF(INDEX('Prospect Tracker'!$L$5:$L$554,$K178)="","",INDEX('Prospect Tracker'!$L$5:$L$554,$K178)))</f>
        <v/>
      </c>
      <c r="K178" s="1" t="n">
        <f aca="false">IFERROR(MATCH(SMALL('Prospect Tracker'!$X$5:$X$554,ROW()-4),'Prospect Tracker'!$X$5:$X$554,0),"")</f>
        <v>174</v>
      </c>
    </row>
    <row r="179" customFormat="false" ht="15" hidden="false" customHeight="true" outlineLevel="0" collapsed="false">
      <c r="A179" s="6" t="str">
        <f aca="false">IF($K179="","",IF(INDEX('Prospect Tracker'!$W$5:$W$554,$K179)="","",INDEX('Prospect Tracker'!$W$5:$W$554,$K179)))</f>
        <v/>
      </c>
      <c r="B179" s="6" t="str">
        <f aca="false">IF($K179="","",IF(INDEX('Prospect Tracker'!$A$5:$A$554,$K179)="","",INDEX('Prospect Tracker'!$A$5:$A$554,$K179)))</f>
        <v/>
      </c>
      <c r="C179" s="6" t="str">
        <f aca="false">IF($K179="","",IF(INDEX('Prospect Tracker'!$B$5:$B$554,$K179)="","",INDEX('Prospect Tracker'!$B$5:$B$554,$K179)))</f>
        <v/>
      </c>
      <c r="D179" s="6" t="str">
        <f aca="false">IF($K179="","",IF(INDEX('Prospect Tracker'!$M$5:$M$554,$K179)="","",INDEX('Prospect Tracker'!$M$5:$M$554,$K179)))</f>
        <v/>
      </c>
      <c r="E179" s="6" t="str">
        <f aca="false">IF($K179="","",IF(INDEX('Prospect Tracker'!$R$5:$R$554,$K179)="","",INDEX('Prospect Tracker'!$R$5:$R$554,$K179)))</f>
        <v/>
      </c>
      <c r="F179" s="6" t="str">
        <f aca="false">IF($K179="","",IF(INDEX('Prospect Tracker'!$J$5:$J$554,$K179)="","",INDEX('Prospect Tracker'!$J$5:$J$554,$K179)))</f>
        <v/>
      </c>
      <c r="G179" s="6" t="str">
        <f aca="false">IF($K179="","",IF(INDEX('Prospect Tracker'!$H$5:$H$554,$K179)="","",INDEX('Prospect Tracker'!$H$5:$H$554,$K179)))</f>
        <v/>
      </c>
      <c r="H179" s="7" t="str">
        <f aca="false">IF($K179="","",IF(INDEX('Prospect Tracker'!$K$5:$K$554,$K179)="","",INDEX('Prospect Tracker'!$K$5:$K$554,$K179)))</f>
        <v/>
      </c>
      <c r="I179" s="6" t="str">
        <f aca="false">IF($K179="","",IF(INDEX('Prospect Tracker'!$T$5:$T$554,$K179)="","",INDEX('Prospect Tracker'!$T$5:$T$554,$K179)))</f>
        <v/>
      </c>
      <c r="J179" s="6" t="str">
        <f aca="false">IF($K179="","",IF(INDEX('Prospect Tracker'!$L$5:$L$554,$K179)="","",INDEX('Prospect Tracker'!$L$5:$L$554,$K179)))</f>
        <v/>
      </c>
      <c r="K179" s="1" t="n">
        <f aca="false">IFERROR(MATCH(SMALL('Prospect Tracker'!$X$5:$X$554,ROW()-4),'Prospect Tracker'!$X$5:$X$554,0),"")</f>
        <v>175</v>
      </c>
    </row>
    <row r="180" customFormat="false" ht="15" hidden="false" customHeight="true" outlineLevel="0" collapsed="false">
      <c r="A180" s="11" t="str">
        <f aca="false">IF($K180="","",IF(INDEX('Prospect Tracker'!$W$5:$W$554,$K180)="","",INDEX('Prospect Tracker'!$W$5:$W$554,$K180)))</f>
        <v/>
      </c>
      <c r="B180" s="11" t="str">
        <f aca="false">IF($K180="","",IF(INDEX('Prospect Tracker'!$A$5:$A$554,$K180)="","",INDEX('Prospect Tracker'!$A$5:$A$554,$K180)))</f>
        <v/>
      </c>
      <c r="C180" s="11" t="str">
        <f aca="false">IF($K180="","",IF(INDEX('Prospect Tracker'!$B$5:$B$554,$K180)="","",INDEX('Prospect Tracker'!$B$5:$B$554,$K180)))</f>
        <v/>
      </c>
      <c r="D180" s="11" t="str">
        <f aca="false">IF($K180="","",IF(INDEX('Prospect Tracker'!$M$5:$M$554,$K180)="","",INDEX('Prospect Tracker'!$M$5:$M$554,$K180)))</f>
        <v/>
      </c>
      <c r="E180" s="11" t="str">
        <f aca="false">IF($K180="","",IF(INDEX('Prospect Tracker'!$R$5:$R$554,$K180)="","",INDEX('Prospect Tracker'!$R$5:$R$554,$K180)))</f>
        <v/>
      </c>
      <c r="F180" s="11" t="str">
        <f aca="false">IF($K180="","",IF(INDEX('Prospect Tracker'!$J$5:$J$554,$K180)="","",INDEX('Prospect Tracker'!$J$5:$J$554,$K180)))</f>
        <v/>
      </c>
      <c r="G180" s="11" t="str">
        <f aca="false">IF($K180="","",IF(INDEX('Prospect Tracker'!$H$5:$H$554,$K180)="","",INDEX('Prospect Tracker'!$H$5:$H$554,$K180)))</f>
        <v/>
      </c>
      <c r="H180" s="12" t="str">
        <f aca="false">IF($K180="","",IF(INDEX('Prospect Tracker'!$K$5:$K$554,$K180)="","",INDEX('Prospect Tracker'!$K$5:$K$554,$K180)))</f>
        <v/>
      </c>
      <c r="I180" s="11" t="str">
        <f aca="false">IF($K180="","",IF(INDEX('Prospect Tracker'!$T$5:$T$554,$K180)="","",INDEX('Prospect Tracker'!$T$5:$T$554,$K180)))</f>
        <v/>
      </c>
      <c r="J180" s="11" t="str">
        <f aca="false">IF($K180="","",IF(INDEX('Prospect Tracker'!$L$5:$L$554,$K180)="","",INDEX('Prospect Tracker'!$L$5:$L$554,$K180)))</f>
        <v/>
      </c>
      <c r="K180" s="1" t="n">
        <f aca="false">IFERROR(MATCH(SMALL('Prospect Tracker'!$X$5:$X$554,ROW()-4),'Prospect Tracker'!$X$5:$X$554,0),"")</f>
        <v>176</v>
      </c>
    </row>
    <row r="181" customFormat="false" ht="15" hidden="false" customHeight="true" outlineLevel="0" collapsed="false">
      <c r="A181" s="6" t="str">
        <f aca="false">IF($K181="","",IF(INDEX('Prospect Tracker'!$W$5:$W$554,$K181)="","",INDEX('Prospect Tracker'!$W$5:$W$554,$K181)))</f>
        <v/>
      </c>
      <c r="B181" s="6" t="str">
        <f aca="false">IF($K181="","",IF(INDEX('Prospect Tracker'!$A$5:$A$554,$K181)="","",INDEX('Prospect Tracker'!$A$5:$A$554,$K181)))</f>
        <v/>
      </c>
      <c r="C181" s="6" t="str">
        <f aca="false">IF($K181="","",IF(INDEX('Prospect Tracker'!$B$5:$B$554,$K181)="","",INDEX('Prospect Tracker'!$B$5:$B$554,$K181)))</f>
        <v/>
      </c>
      <c r="D181" s="6" t="str">
        <f aca="false">IF($K181="","",IF(INDEX('Prospect Tracker'!$M$5:$M$554,$K181)="","",INDEX('Prospect Tracker'!$M$5:$M$554,$K181)))</f>
        <v/>
      </c>
      <c r="E181" s="6" t="str">
        <f aca="false">IF($K181="","",IF(INDEX('Prospect Tracker'!$R$5:$R$554,$K181)="","",INDEX('Prospect Tracker'!$R$5:$R$554,$K181)))</f>
        <v/>
      </c>
      <c r="F181" s="6" t="str">
        <f aca="false">IF($K181="","",IF(INDEX('Prospect Tracker'!$J$5:$J$554,$K181)="","",INDEX('Prospect Tracker'!$J$5:$J$554,$K181)))</f>
        <v/>
      </c>
      <c r="G181" s="6" t="str">
        <f aca="false">IF($K181="","",IF(INDEX('Prospect Tracker'!$H$5:$H$554,$K181)="","",INDEX('Prospect Tracker'!$H$5:$H$554,$K181)))</f>
        <v/>
      </c>
      <c r="H181" s="7" t="str">
        <f aca="false">IF($K181="","",IF(INDEX('Prospect Tracker'!$K$5:$K$554,$K181)="","",INDEX('Prospect Tracker'!$K$5:$K$554,$K181)))</f>
        <v/>
      </c>
      <c r="I181" s="6" t="str">
        <f aca="false">IF($K181="","",IF(INDEX('Prospect Tracker'!$T$5:$T$554,$K181)="","",INDEX('Prospect Tracker'!$T$5:$T$554,$K181)))</f>
        <v/>
      </c>
      <c r="J181" s="6" t="str">
        <f aca="false">IF($K181="","",IF(INDEX('Prospect Tracker'!$L$5:$L$554,$K181)="","",INDEX('Prospect Tracker'!$L$5:$L$554,$K181)))</f>
        <v/>
      </c>
      <c r="K181" s="1" t="n">
        <f aca="false">IFERROR(MATCH(SMALL('Prospect Tracker'!$X$5:$X$554,ROW()-4),'Prospect Tracker'!$X$5:$X$554,0),"")</f>
        <v>177</v>
      </c>
    </row>
    <row r="182" customFormat="false" ht="15" hidden="false" customHeight="true" outlineLevel="0" collapsed="false">
      <c r="A182" s="11" t="str">
        <f aca="false">IF($K182="","",IF(INDEX('Prospect Tracker'!$W$5:$W$554,$K182)="","",INDEX('Prospect Tracker'!$W$5:$W$554,$K182)))</f>
        <v/>
      </c>
      <c r="B182" s="11" t="str">
        <f aca="false">IF($K182="","",IF(INDEX('Prospect Tracker'!$A$5:$A$554,$K182)="","",INDEX('Prospect Tracker'!$A$5:$A$554,$K182)))</f>
        <v/>
      </c>
      <c r="C182" s="11" t="str">
        <f aca="false">IF($K182="","",IF(INDEX('Prospect Tracker'!$B$5:$B$554,$K182)="","",INDEX('Prospect Tracker'!$B$5:$B$554,$K182)))</f>
        <v/>
      </c>
      <c r="D182" s="11" t="str">
        <f aca="false">IF($K182="","",IF(INDEX('Prospect Tracker'!$M$5:$M$554,$K182)="","",INDEX('Prospect Tracker'!$M$5:$M$554,$K182)))</f>
        <v/>
      </c>
      <c r="E182" s="11" t="str">
        <f aca="false">IF($K182="","",IF(INDEX('Prospect Tracker'!$R$5:$R$554,$K182)="","",INDEX('Prospect Tracker'!$R$5:$R$554,$K182)))</f>
        <v/>
      </c>
      <c r="F182" s="11" t="str">
        <f aca="false">IF($K182="","",IF(INDEX('Prospect Tracker'!$J$5:$J$554,$K182)="","",INDEX('Prospect Tracker'!$J$5:$J$554,$K182)))</f>
        <v/>
      </c>
      <c r="G182" s="11" t="str">
        <f aca="false">IF($K182="","",IF(INDEX('Prospect Tracker'!$H$5:$H$554,$K182)="","",INDEX('Prospect Tracker'!$H$5:$H$554,$K182)))</f>
        <v/>
      </c>
      <c r="H182" s="12" t="str">
        <f aca="false">IF($K182="","",IF(INDEX('Prospect Tracker'!$K$5:$K$554,$K182)="","",INDEX('Prospect Tracker'!$K$5:$K$554,$K182)))</f>
        <v/>
      </c>
      <c r="I182" s="11" t="str">
        <f aca="false">IF($K182="","",IF(INDEX('Prospect Tracker'!$T$5:$T$554,$K182)="","",INDEX('Prospect Tracker'!$T$5:$T$554,$K182)))</f>
        <v/>
      </c>
      <c r="J182" s="11" t="str">
        <f aca="false">IF($K182="","",IF(INDEX('Prospect Tracker'!$L$5:$L$554,$K182)="","",INDEX('Prospect Tracker'!$L$5:$L$554,$K182)))</f>
        <v/>
      </c>
      <c r="K182" s="1" t="n">
        <f aca="false">IFERROR(MATCH(SMALL('Prospect Tracker'!$X$5:$X$554,ROW()-4),'Prospect Tracker'!$X$5:$X$554,0),"")</f>
        <v>178</v>
      </c>
    </row>
    <row r="183" customFormat="false" ht="15" hidden="false" customHeight="true" outlineLevel="0" collapsed="false">
      <c r="A183" s="6" t="str">
        <f aca="false">IF($K183="","",IF(INDEX('Prospect Tracker'!$W$5:$W$554,$K183)="","",INDEX('Prospect Tracker'!$W$5:$W$554,$K183)))</f>
        <v/>
      </c>
      <c r="B183" s="6" t="str">
        <f aca="false">IF($K183="","",IF(INDEX('Prospect Tracker'!$A$5:$A$554,$K183)="","",INDEX('Prospect Tracker'!$A$5:$A$554,$K183)))</f>
        <v/>
      </c>
      <c r="C183" s="6" t="str">
        <f aca="false">IF($K183="","",IF(INDEX('Prospect Tracker'!$B$5:$B$554,$K183)="","",INDEX('Prospect Tracker'!$B$5:$B$554,$K183)))</f>
        <v/>
      </c>
      <c r="D183" s="6" t="str">
        <f aca="false">IF($K183="","",IF(INDEX('Prospect Tracker'!$M$5:$M$554,$K183)="","",INDEX('Prospect Tracker'!$M$5:$M$554,$K183)))</f>
        <v/>
      </c>
      <c r="E183" s="6" t="str">
        <f aca="false">IF($K183="","",IF(INDEX('Prospect Tracker'!$R$5:$R$554,$K183)="","",INDEX('Prospect Tracker'!$R$5:$R$554,$K183)))</f>
        <v/>
      </c>
      <c r="F183" s="6" t="str">
        <f aca="false">IF($K183="","",IF(INDEX('Prospect Tracker'!$J$5:$J$554,$K183)="","",INDEX('Prospect Tracker'!$J$5:$J$554,$K183)))</f>
        <v/>
      </c>
      <c r="G183" s="6" t="str">
        <f aca="false">IF($K183="","",IF(INDEX('Prospect Tracker'!$H$5:$H$554,$K183)="","",INDEX('Prospect Tracker'!$H$5:$H$554,$K183)))</f>
        <v/>
      </c>
      <c r="H183" s="7" t="str">
        <f aca="false">IF($K183="","",IF(INDEX('Prospect Tracker'!$K$5:$K$554,$K183)="","",INDEX('Prospect Tracker'!$K$5:$K$554,$K183)))</f>
        <v/>
      </c>
      <c r="I183" s="6" t="str">
        <f aca="false">IF($K183="","",IF(INDEX('Prospect Tracker'!$T$5:$T$554,$K183)="","",INDEX('Prospect Tracker'!$T$5:$T$554,$K183)))</f>
        <v/>
      </c>
      <c r="J183" s="6" t="str">
        <f aca="false">IF($K183="","",IF(INDEX('Prospect Tracker'!$L$5:$L$554,$K183)="","",INDEX('Prospect Tracker'!$L$5:$L$554,$K183)))</f>
        <v/>
      </c>
      <c r="K183" s="1" t="n">
        <f aca="false">IFERROR(MATCH(SMALL('Prospect Tracker'!$X$5:$X$554,ROW()-4),'Prospect Tracker'!$X$5:$X$554,0),"")</f>
        <v>179</v>
      </c>
    </row>
    <row r="184" customFormat="false" ht="15" hidden="false" customHeight="true" outlineLevel="0" collapsed="false">
      <c r="A184" s="11" t="str">
        <f aca="false">IF($K184="","",IF(INDEX('Prospect Tracker'!$W$5:$W$554,$K184)="","",INDEX('Prospect Tracker'!$W$5:$W$554,$K184)))</f>
        <v/>
      </c>
      <c r="B184" s="11" t="str">
        <f aca="false">IF($K184="","",IF(INDEX('Prospect Tracker'!$A$5:$A$554,$K184)="","",INDEX('Prospect Tracker'!$A$5:$A$554,$K184)))</f>
        <v/>
      </c>
      <c r="C184" s="11" t="str">
        <f aca="false">IF($K184="","",IF(INDEX('Prospect Tracker'!$B$5:$B$554,$K184)="","",INDEX('Prospect Tracker'!$B$5:$B$554,$K184)))</f>
        <v/>
      </c>
      <c r="D184" s="11" t="str">
        <f aca="false">IF($K184="","",IF(INDEX('Prospect Tracker'!$M$5:$M$554,$K184)="","",INDEX('Prospect Tracker'!$M$5:$M$554,$K184)))</f>
        <v/>
      </c>
      <c r="E184" s="11" t="str">
        <f aca="false">IF($K184="","",IF(INDEX('Prospect Tracker'!$R$5:$R$554,$K184)="","",INDEX('Prospect Tracker'!$R$5:$R$554,$K184)))</f>
        <v/>
      </c>
      <c r="F184" s="11" t="str">
        <f aca="false">IF($K184="","",IF(INDEX('Prospect Tracker'!$J$5:$J$554,$K184)="","",INDEX('Prospect Tracker'!$J$5:$J$554,$K184)))</f>
        <v/>
      </c>
      <c r="G184" s="11" t="str">
        <f aca="false">IF($K184="","",IF(INDEX('Prospect Tracker'!$H$5:$H$554,$K184)="","",INDEX('Prospect Tracker'!$H$5:$H$554,$K184)))</f>
        <v/>
      </c>
      <c r="H184" s="12" t="str">
        <f aca="false">IF($K184="","",IF(INDEX('Prospect Tracker'!$K$5:$K$554,$K184)="","",INDEX('Prospect Tracker'!$K$5:$K$554,$K184)))</f>
        <v/>
      </c>
      <c r="I184" s="11" t="str">
        <f aca="false">IF($K184="","",IF(INDEX('Prospect Tracker'!$T$5:$T$554,$K184)="","",INDEX('Prospect Tracker'!$T$5:$T$554,$K184)))</f>
        <v/>
      </c>
      <c r="J184" s="11" t="str">
        <f aca="false">IF($K184="","",IF(INDEX('Prospect Tracker'!$L$5:$L$554,$K184)="","",INDEX('Prospect Tracker'!$L$5:$L$554,$K184)))</f>
        <v/>
      </c>
      <c r="K184" s="1" t="n">
        <f aca="false">IFERROR(MATCH(SMALL('Prospect Tracker'!$X$5:$X$554,ROW()-4),'Prospect Tracker'!$X$5:$X$554,0),"")</f>
        <v>180</v>
      </c>
    </row>
    <row r="185" customFormat="false" ht="15" hidden="false" customHeight="true" outlineLevel="0" collapsed="false">
      <c r="A185" s="6" t="str">
        <f aca="false">IF($K185="","",IF(INDEX('Prospect Tracker'!$W$5:$W$554,$K185)="","",INDEX('Prospect Tracker'!$W$5:$W$554,$K185)))</f>
        <v/>
      </c>
      <c r="B185" s="6" t="str">
        <f aca="false">IF($K185="","",IF(INDEX('Prospect Tracker'!$A$5:$A$554,$K185)="","",INDEX('Prospect Tracker'!$A$5:$A$554,$K185)))</f>
        <v/>
      </c>
      <c r="C185" s="6" t="str">
        <f aca="false">IF($K185="","",IF(INDEX('Prospect Tracker'!$B$5:$B$554,$K185)="","",INDEX('Prospect Tracker'!$B$5:$B$554,$K185)))</f>
        <v/>
      </c>
      <c r="D185" s="6" t="str">
        <f aca="false">IF($K185="","",IF(INDEX('Prospect Tracker'!$M$5:$M$554,$K185)="","",INDEX('Prospect Tracker'!$M$5:$M$554,$K185)))</f>
        <v/>
      </c>
      <c r="E185" s="6" t="str">
        <f aca="false">IF($K185="","",IF(INDEX('Prospect Tracker'!$R$5:$R$554,$K185)="","",INDEX('Prospect Tracker'!$R$5:$R$554,$K185)))</f>
        <v/>
      </c>
      <c r="F185" s="6" t="str">
        <f aca="false">IF($K185="","",IF(INDEX('Prospect Tracker'!$J$5:$J$554,$K185)="","",INDEX('Prospect Tracker'!$J$5:$J$554,$K185)))</f>
        <v/>
      </c>
      <c r="G185" s="6" t="str">
        <f aca="false">IF($K185="","",IF(INDEX('Prospect Tracker'!$H$5:$H$554,$K185)="","",INDEX('Prospect Tracker'!$H$5:$H$554,$K185)))</f>
        <v/>
      </c>
      <c r="H185" s="7" t="str">
        <f aca="false">IF($K185="","",IF(INDEX('Prospect Tracker'!$K$5:$K$554,$K185)="","",INDEX('Prospect Tracker'!$K$5:$K$554,$K185)))</f>
        <v/>
      </c>
      <c r="I185" s="6" t="str">
        <f aca="false">IF($K185="","",IF(INDEX('Prospect Tracker'!$T$5:$T$554,$K185)="","",INDEX('Prospect Tracker'!$T$5:$T$554,$K185)))</f>
        <v/>
      </c>
      <c r="J185" s="6" t="str">
        <f aca="false">IF($K185="","",IF(INDEX('Prospect Tracker'!$L$5:$L$554,$K185)="","",INDEX('Prospect Tracker'!$L$5:$L$554,$K185)))</f>
        <v/>
      </c>
      <c r="K185" s="1" t="n">
        <f aca="false">IFERROR(MATCH(SMALL('Prospect Tracker'!$X$5:$X$554,ROW()-4),'Prospect Tracker'!$X$5:$X$554,0),"")</f>
        <v>181</v>
      </c>
    </row>
    <row r="186" customFormat="false" ht="15" hidden="false" customHeight="true" outlineLevel="0" collapsed="false">
      <c r="A186" s="11" t="str">
        <f aca="false">IF($K186="","",IF(INDEX('Prospect Tracker'!$W$5:$W$554,$K186)="","",INDEX('Prospect Tracker'!$W$5:$W$554,$K186)))</f>
        <v/>
      </c>
      <c r="B186" s="11" t="str">
        <f aca="false">IF($K186="","",IF(INDEX('Prospect Tracker'!$A$5:$A$554,$K186)="","",INDEX('Prospect Tracker'!$A$5:$A$554,$K186)))</f>
        <v/>
      </c>
      <c r="C186" s="11" t="str">
        <f aca="false">IF($K186="","",IF(INDEX('Prospect Tracker'!$B$5:$B$554,$K186)="","",INDEX('Prospect Tracker'!$B$5:$B$554,$K186)))</f>
        <v/>
      </c>
      <c r="D186" s="11" t="str">
        <f aca="false">IF($K186="","",IF(INDEX('Prospect Tracker'!$M$5:$M$554,$K186)="","",INDEX('Prospect Tracker'!$M$5:$M$554,$K186)))</f>
        <v/>
      </c>
      <c r="E186" s="11" t="str">
        <f aca="false">IF($K186="","",IF(INDEX('Prospect Tracker'!$R$5:$R$554,$K186)="","",INDEX('Prospect Tracker'!$R$5:$R$554,$K186)))</f>
        <v/>
      </c>
      <c r="F186" s="11" t="str">
        <f aca="false">IF($K186="","",IF(INDEX('Prospect Tracker'!$J$5:$J$554,$K186)="","",INDEX('Prospect Tracker'!$J$5:$J$554,$K186)))</f>
        <v/>
      </c>
      <c r="G186" s="11" t="str">
        <f aca="false">IF($K186="","",IF(INDEX('Prospect Tracker'!$H$5:$H$554,$K186)="","",INDEX('Prospect Tracker'!$H$5:$H$554,$K186)))</f>
        <v/>
      </c>
      <c r="H186" s="12" t="str">
        <f aca="false">IF($K186="","",IF(INDEX('Prospect Tracker'!$K$5:$K$554,$K186)="","",INDEX('Prospect Tracker'!$K$5:$K$554,$K186)))</f>
        <v/>
      </c>
      <c r="I186" s="11" t="str">
        <f aca="false">IF($K186="","",IF(INDEX('Prospect Tracker'!$T$5:$T$554,$K186)="","",INDEX('Prospect Tracker'!$T$5:$T$554,$K186)))</f>
        <v/>
      </c>
      <c r="J186" s="11" t="str">
        <f aca="false">IF($K186="","",IF(INDEX('Prospect Tracker'!$L$5:$L$554,$K186)="","",INDEX('Prospect Tracker'!$L$5:$L$554,$K186)))</f>
        <v/>
      </c>
      <c r="K186" s="1" t="n">
        <f aca="false">IFERROR(MATCH(SMALL('Prospect Tracker'!$X$5:$X$554,ROW()-4),'Prospect Tracker'!$X$5:$X$554,0),"")</f>
        <v>182</v>
      </c>
    </row>
    <row r="187" customFormat="false" ht="15" hidden="false" customHeight="true" outlineLevel="0" collapsed="false">
      <c r="A187" s="6" t="str">
        <f aca="false">IF($K187="","",IF(INDEX('Prospect Tracker'!$W$5:$W$554,$K187)="","",INDEX('Prospect Tracker'!$W$5:$W$554,$K187)))</f>
        <v/>
      </c>
      <c r="B187" s="6" t="str">
        <f aca="false">IF($K187="","",IF(INDEX('Prospect Tracker'!$A$5:$A$554,$K187)="","",INDEX('Prospect Tracker'!$A$5:$A$554,$K187)))</f>
        <v/>
      </c>
      <c r="C187" s="6" t="str">
        <f aca="false">IF($K187="","",IF(INDEX('Prospect Tracker'!$B$5:$B$554,$K187)="","",INDEX('Prospect Tracker'!$B$5:$B$554,$K187)))</f>
        <v/>
      </c>
      <c r="D187" s="6" t="str">
        <f aca="false">IF($K187="","",IF(INDEX('Prospect Tracker'!$M$5:$M$554,$K187)="","",INDEX('Prospect Tracker'!$M$5:$M$554,$K187)))</f>
        <v/>
      </c>
      <c r="E187" s="6" t="str">
        <f aca="false">IF($K187="","",IF(INDEX('Prospect Tracker'!$R$5:$R$554,$K187)="","",INDEX('Prospect Tracker'!$R$5:$R$554,$K187)))</f>
        <v/>
      </c>
      <c r="F187" s="6" t="str">
        <f aca="false">IF($K187="","",IF(INDEX('Prospect Tracker'!$J$5:$J$554,$K187)="","",INDEX('Prospect Tracker'!$J$5:$J$554,$K187)))</f>
        <v/>
      </c>
      <c r="G187" s="6" t="str">
        <f aca="false">IF($K187="","",IF(INDEX('Prospect Tracker'!$H$5:$H$554,$K187)="","",INDEX('Prospect Tracker'!$H$5:$H$554,$K187)))</f>
        <v/>
      </c>
      <c r="H187" s="7" t="str">
        <f aca="false">IF($K187="","",IF(INDEX('Prospect Tracker'!$K$5:$K$554,$K187)="","",INDEX('Prospect Tracker'!$K$5:$K$554,$K187)))</f>
        <v/>
      </c>
      <c r="I187" s="6" t="str">
        <f aca="false">IF($K187="","",IF(INDEX('Prospect Tracker'!$T$5:$T$554,$K187)="","",INDEX('Prospect Tracker'!$T$5:$T$554,$K187)))</f>
        <v/>
      </c>
      <c r="J187" s="6" t="str">
        <f aca="false">IF($K187="","",IF(INDEX('Prospect Tracker'!$L$5:$L$554,$K187)="","",INDEX('Prospect Tracker'!$L$5:$L$554,$K187)))</f>
        <v/>
      </c>
      <c r="K187" s="1" t="n">
        <f aca="false">IFERROR(MATCH(SMALL('Prospect Tracker'!$X$5:$X$554,ROW()-4),'Prospect Tracker'!$X$5:$X$554,0),"")</f>
        <v>183</v>
      </c>
    </row>
    <row r="188" customFormat="false" ht="15" hidden="false" customHeight="true" outlineLevel="0" collapsed="false">
      <c r="A188" s="11" t="str">
        <f aca="false">IF($K188="","",IF(INDEX('Prospect Tracker'!$W$5:$W$554,$K188)="","",INDEX('Prospect Tracker'!$W$5:$W$554,$K188)))</f>
        <v/>
      </c>
      <c r="B188" s="11" t="str">
        <f aca="false">IF($K188="","",IF(INDEX('Prospect Tracker'!$A$5:$A$554,$K188)="","",INDEX('Prospect Tracker'!$A$5:$A$554,$K188)))</f>
        <v/>
      </c>
      <c r="C188" s="11" t="str">
        <f aca="false">IF($K188="","",IF(INDEX('Prospect Tracker'!$B$5:$B$554,$K188)="","",INDEX('Prospect Tracker'!$B$5:$B$554,$K188)))</f>
        <v/>
      </c>
      <c r="D188" s="11" t="str">
        <f aca="false">IF($K188="","",IF(INDEX('Prospect Tracker'!$M$5:$M$554,$K188)="","",INDEX('Prospect Tracker'!$M$5:$M$554,$K188)))</f>
        <v/>
      </c>
      <c r="E188" s="11" t="str">
        <f aca="false">IF($K188="","",IF(INDEX('Prospect Tracker'!$R$5:$R$554,$K188)="","",INDEX('Prospect Tracker'!$R$5:$R$554,$K188)))</f>
        <v/>
      </c>
      <c r="F188" s="11" t="str">
        <f aca="false">IF($K188="","",IF(INDEX('Prospect Tracker'!$J$5:$J$554,$K188)="","",INDEX('Prospect Tracker'!$J$5:$J$554,$K188)))</f>
        <v/>
      </c>
      <c r="G188" s="11" t="str">
        <f aca="false">IF($K188="","",IF(INDEX('Prospect Tracker'!$H$5:$H$554,$K188)="","",INDEX('Prospect Tracker'!$H$5:$H$554,$K188)))</f>
        <v/>
      </c>
      <c r="H188" s="12" t="str">
        <f aca="false">IF($K188="","",IF(INDEX('Prospect Tracker'!$K$5:$K$554,$K188)="","",INDEX('Prospect Tracker'!$K$5:$K$554,$K188)))</f>
        <v/>
      </c>
      <c r="I188" s="11" t="str">
        <f aca="false">IF($K188="","",IF(INDEX('Prospect Tracker'!$T$5:$T$554,$K188)="","",INDEX('Prospect Tracker'!$T$5:$T$554,$K188)))</f>
        <v/>
      </c>
      <c r="J188" s="11" t="str">
        <f aca="false">IF($K188="","",IF(INDEX('Prospect Tracker'!$L$5:$L$554,$K188)="","",INDEX('Prospect Tracker'!$L$5:$L$554,$K188)))</f>
        <v/>
      </c>
      <c r="K188" s="1" t="n">
        <f aca="false">IFERROR(MATCH(SMALL('Prospect Tracker'!$X$5:$X$554,ROW()-4),'Prospect Tracker'!$X$5:$X$554,0),"")</f>
        <v>184</v>
      </c>
    </row>
    <row r="189" customFormat="false" ht="15" hidden="false" customHeight="true" outlineLevel="0" collapsed="false">
      <c r="A189" s="6" t="str">
        <f aca="false">IF($K189="","",IF(INDEX('Prospect Tracker'!$W$5:$W$554,$K189)="","",INDEX('Prospect Tracker'!$W$5:$W$554,$K189)))</f>
        <v/>
      </c>
      <c r="B189" s="6" t="str">
        <f aca="false">IF($K189="","",IF(INDEX('Prospect Tracker'!$A$5:$A$554,$K189)="","",INDEX('Prospect Tracker'!$A$5:$A$554,$K189)))</f>
        <v/>
      </c>
      <c r="C189" s="6" t="str">
        <f aca="false">IF($K189="","",IF(INDEX('Prospect Tracker'!$B$5:$B$554,$K189)="","",INDEX('Prospect Tracker'!$B$5:$B$554,$K189)))</f>
        <v/>
      </c>
      <c r="D189" s="6" t="str">
        <f aca="false">IF($K189="","",IF(INDEX('Prospect Tracker'!$M$5:$M$554,$K189)="","",INDEX('Prospect Tracker'!$M$5:$M$554,$K189)))</f>
        <v/>
      </c>
      <c r="E189" s="6" t="str">
        <f aca="false">IF($K189="","",IF(INDEX('Prospect Tracker'!$R$5:$R$554,$K189)="","",INDEX('Prospect Tracker'!$R$5:$R$554,$K189)))</f>
        <v/>
      </c>
      <c r="F189" s="6" t="str">
        <f aca="false">IF($K189="","",IF(INDEX('Prospect Tracker'!$J$5:$J$554,$K189)="","",INDEX('Prospect Tracker'!$J$5:$J$554,$K189)))</f>
        <v/>
      </c>
      <c r="G189" s="6" t="str">
        <f aca="false">IF($K189="","",IF(INDEX('Prospect Tracker'!$H$5:$H$554,$K189)="","",INDEX('Prospect Tracker'!$H$5:$H$554,$K189)))</f>
        <v/>
      </c>
      <c r="H189" s="7" t="str">
        <f aca="false">IF($K189="","",IF(INDEX('Prospect Tracker'!$K$5:$K$554,$K189)="","",INDEX('Prospect Tracker'!$K$5:$K$554,$K189)))</f>
        <v/>
      </c>
      <c r="I189" s="6" t="str">
        <f aca="false">IF($K189="","",IF(INDEX('Prospect Tracker'!$T$5:$T$554,$K189)="","",INDEX('Prospect Tracker'!$T$5:$T$554,$K189)))</f>
        <v/>
      </c>
      <c r="J189" s="6" t="str">
        <f aca="false">IF($K189="","",IF(INDEX('Prospect Tracker'!$L$5:$L$554,$K189)="","",INDEX('Prospect Tracker'!$L$5:$L$554,$K189)))</f>
        <v/>
      </c>
      <c r="K189" s="1" t="n">
        <f aca="false">IFERROR(MATCH(SMALL('Prospect Tracker'!$X$5:$X$554,ROW()-4),'Prospect Tracker'!$X$5:$X$554,0),"")</f>
        <v>185</v>
      </c>
    </row>
    <row r="190" customFormat="false" ht="15" hidden="false" customHeight="true" outlineLevel="0" collapsed="false">
      <c r="A190" s="11" t="str">
        <f aca="false">IF($K190="","",IF(INDEX('Prospect Tracker'!$W$5:$W$554,$K190)="","",INDEX('Prospect Tracker'!$W$5:$W$554,$K190)))</f>
        <v/>
      </c>
      <c r="B190" s="11" t="str">
        <f aca="false">IF($K190="","",IF(INDEX('Prospect Tracker'!$A$5:$A$554,$K190)="","",INDEX('Prospect Tracker'!$A$5:$A$554,$K190)))</f>
        <v/>
      </c>
      <c r="C190" s="11" t="str">
        <f aca="false">IF($K190="","",IF(INDEX('Prospect Tracker'!$B$5:$B$554,$K190)="","",INDEX('Prospect Tracker'!$B$5:$B$554,$K190)))</f>
        <v/>
      </c>
      <c r="D190" s="11" t="str">
        <f aca="false">IF($K190="","",IF(INDEX('Prospect Tracker'!$M$5:$M$554,$K190)="","",INDEX('Prospect Tracker'!$M$5:$M$554,$K190)))</f>
        <v/>
      </c>
      <c r="E190" s="11" t="str">
        <f aca="false">IF($K190="","",IF(INDEX('Prospect Tracker'!$R$5:$R$554,$K190)="","",INDEX('Prospect Tracker'!$R$5:$R$554,$K190)))</f>
        <v/>
      </c>
      <c r="F190" s="11" t="str">
        <f aca="false">IF($K190="","",IF(INDEX('Prospect Tracker'!$J$5:$J$554,$K190)="","",INDEX('Prospect Tracker'!$J$5:$J$554,$K190)))</f>
        <v/>
      </c>
      <c r="G190" s="11" t="str">
        <f aca="false">IF($K190="","",IF(INDEX('Prospect Tracker'!$H$5:$H$554,$K190)="","",INDEX('Prospect Tracker'!$H$5:$H$554,$K190)))</f>
        <v/>
      </c>
      <c r="H190" s="12" t="str">
        <f aca="false">IF($K190="","",IF(INDEX('Prospect Tracker'!$K$5:$K$554,$K190)="","",INDEX('Prospect Tracker'!$K$5:$K$554,$K190)))</f>
        <v/>
      </c>
      <c r="I190" s="11" t="str">
        <f aca="false">IF($K190="","",IF(INDEX('Prospect Tracker'!$T$5:$T$554,$K190)="","",INDEX('Prospect Tracker'!$T$5:$T$554,$K190)))</f>
        <v/>
      </c>
      <c r="J190" s="11" t="str">
        <f aca="false">IF($K190="","",IF(INDEX('Prospect Tracker'!$L$5:$L$554,$K190)="","",INDEX('Prospect Tracker'!$L$5:$L$554,$K190)))</f>
        <v/>
      </c>
      <c r="K190" s="1" t="n">
        <f aca="false">IFERROR(MATCH(SMALL('Prospect Tracker'!$X$5:$X$554,ROW()-4),'Prospect Tracker'!$X$5:$X$554,0),"")</f>
        <v>186</v>
      </c>
    </row>
    <row r="191" customFormat="false" ht="15" hidden="false" customHeight="true" outlineLevel="0" collapsed="false">
      <c r="A191" s="6" t="str">
        <f aca="false">IF($K191="","",IF(INDEX('Prospect Tracker'!$W$5:$W$554,$K191)="","",INDEX('Prospect Tracker'!$W$5:$W$554,$K191)))</f>
        <v/>
      </c>
      <c r="B191" s="6" t="str">
        <f aca="false">IF($K191="","",IF(INDEX('Prospect Tracker'!$A$5:$A$554,$K191)="","",INDEX('Prospect Tracker'!$A$5:$A$554,$K191)))</f>
        <v/>
      </c>
      <c r="C191" s="6" t="str">
        <f aca="false">IF($K191="","",IF(INDEX('Prospect Tracker'!$B$5:$B$554,$K191)="","",INDEX('Prospect Tracker'!$B$5:$B$554,$K191)))</f>
        <v/>
      </c>
      <c r="D191" s="6" t="str">
        <f aca="false">IF($K191="","",IF(INDEX('Prospect Tracker'!$M$5:$M$554,$K191)="","",INDEX('Prospect Tracker'!$M$5:$M$554,$K191)))</f>
        <v/>
      </c>
      <c r="E191" s="6" t="str">
        <f aca="false">IF($K191="","",IF(INDEX('Prospect Tracker'!$R$5:$R$554,$K191)="","",INDEX('Prospect Tracker'!$R$5:$R$554,$K191)))</f>
        <v/>
      </c>
      <c r="F191" s="6" t="str">
        <f aca="false">IF($K191="","",IF(INDEX('Prospect Tracker'!$J$5:$J$554,$K191)="","",INDEX('Prospect Tracker'!$J$5:$J$554,$K191)))</f>
        <v/>
      </c>
      <c r="G191" s="6" t="str">
        <f aca="false">IF($K191="","",IF(INDEX('Prospect Tracker'!$H$5:$H$554,$K191)="","",INDEX('Prospect Tracker'!$H$5:$H$554,$K191)))</f>
        <v/>
      </c>
      <c r="H191" s="7" t="str">
        <f aca="false">IF($K191="","",IF(INDEX('Prospect Tracker'!$K$5:$K$554,$K191)="","",INDEX('Prospect Tracker'!$K$5:$K$554,$K191)))</f>
        <v/>
      </c>
      <c r="I191" s="6" t="str">
        <f aca="false">IF($K191="","",IF(INDEX('Prospect Tracker'!$T$5:$T$554,$K191)="","",INDEX('Prospect Tracker'!$T$5:$T$554,$K191)))</f>
        <v/>
      </c>
      <c r="J191" s="6" t="str">
        <f aca="false">IF($K191="","",IF(INDEX('Prospect Tracker'!$L$5:$L$554,$K191)="","",INDEX('Prospect Tracker'!$L$5:$L$554,$K191)))</f>
        <v/>
      </c>
      <c r="K191" s="1" t="n">
        <f aca="false">IFERROR(MATCH(SMALL('Prospect Tracker'!$X$5:$X$554,ROW()-4),'Prospect Tracker'!$X$5:$X$554,0),"")</f>
        <v>187</v>
      </c>
    </row>
    <row r="192" customFormat="false" ht="15" hidden="false" customHeight="true" outlineLevel="0" collapsed="false">
      <c r="A192" s="11" t="str">
        <f aca="false">IF($K192="","",IF(INDEX('Prospect Tracker'!$W$5:$W$554,$K192)="","",INDEX('Prospect Tracker'!$W$5:$W$554,$K192)))</f>
        <v/>
      </c>
      <c r="B192" s="11" t="str">
        <f aca="false">IF($K192="","",IF(INDEX('Prospect Tracker'!$A$5:$A$554,$K192)="","",INDEX('Prospect Tracker'!$A$5:$A$554,$K192)))</f>
        <v/>
      </c>
      <c r="C192" s="11" t="str">
        <f aca="false">IF($K192="","",IF(INDEX('Prospect Tracker'!$B$5:$B$554,$K192)="","",INDEX('Prospect Tracker'!$B$5:$B$554,$K192)))</f>
        <v/>
      </c>
      <c r="D192" s="11" t="str">
        <f aca="false">IF($K192="","",IF(INDEX('Prospect Tracker'!$M$5:$M$554,$K192)="","",INDEX('Prospect Tracker'!$M$5:$M$554,$K192)))</f>
        <v/>
      </c>
      <c r="E192" s="11" t="str">
        <f aca="false">IF($K192="","",IF(INDEX('Prospect Tracker'!$R$5:$R$554,$K192)="","",INDEX('Prospect Tracker'!$R$5:$R$554,$K192)))</f>
        <v/>
      </c>
      <c r="F192" s="11" t="str">
        <f aca="false">IF($K192="","",IF(INDEX('Prospect Tracker'!$J$5:$J$554,$K192)="","",INDEX('Prospect Tracker'!$J$5:$J$554,$K192)))</f>
        <v/>
      </c>
      <c r="G192" s="11" t="str">
        <f aca="false">IF($K192="","",IF(INDEX('Prospect Tracker'!$H$5:$H$554,$K192)="","",INDEX('Prospect Tracker'!$H$5:$H$554,$K192)))</f>
        <v/>
      </c>
      <c r="H192" s="12" t="str">
        <f aca="false">IF($K192="","",IF(INDEX('Prospect Tracker'!$K$5:$K$554,$K192)="","",INDEX('Prospect Tracker'!$K$5:$K$554,$K192)))</f>
        <v/>
      </c>
      <c r="I192" s="11" t="str">
        <f aca="false">IF($K192="","",IF(INDEX('Prospect Tracker'!$T$5:$T$554,$K192)="","",INDEX('Prospect Tracker'!$T$5:$T$554,$K192)))</f>
        <v/>
      </c>
      <c r="J192" s="11" t="str">
        <f aca="false">IF($K192="","",IF(INDEX('Prospect Tracker'!$L$5:$L$554,$K192)="","",INDEX('Prospect Tracker'!$L$5:$L$554,$K192)))</f>
        <v/>
      </c>
      <c r="K192" s="1" t="n">
        <f aca="false">IFERROR(MATCH(SMALL('Prospect Tracker'!$X$5:$X$554,ROW()-4),'Prospect Tracker'!$X$5:$X$554,0),"")</f>
        <v>188</v>
      </c>
    </row>
    <row r="193" customFormat="false" ht="15" hidden="false" customHeight="true" outlineLevel="0" collapsed="false">
      <c r="A193" s="6" t="str">
        <f aca="false">IF($K193="","",IF(INDEX('Prospect Tracker'!$W$5:$W$554,$K193)="","",INDEX('Prospect Tracker'!$W$5:$W$554,$K193)))</f>
        <v/>
      </c>
      <c r="B193" s="6" t="str">
        <f aca="false">IF($K193="","",IF(INDEX('Prospect Tracker'!$A$5:$A$554,$K193)="","",INDEX('Prospect Tracker'!$A$5:$A$554,$K193)))</f>
        <v/>
      </c>
      <c r="C193" s="6" t="str">
        <f aca="false">IF($K193="","",IF(INDEX('Prospect Tracker'!$B$5:$B$554,$K193)="","",INDEX('Prospect Tracker'!$B$5:$B$554,$K193)))</f>
        <v/>
      </c>
      <c r="D193" s="6" t="str">
        <f aca="false">IF($K193="","",IF(INDEX('Prospect Tracker'!$M$5:$M$554,$K193)="","",INDEX('Prospect Tracker'!$M$5:$M$554,$K193)))</f>
        <v/>
      </c>
      <c r="E193" s="6" t="str">
        <f aca="false">IF($K193="","",IF(INDEX('Prospect Tracker'!$R$5:$R$554,$K193)="","",INDEX('Prospect Tracker'!$R$5:$R$554,$K193)))</f>
        <v/>
      </c>
      <c r="F193" s="6" t="str">
        <f aca="false">IF($K193="","",IF(INDEX('Prospect Tracker'!$J$5:$J$554,$K193)="","",INDEX('Prospect Tracker'!$J$5:$J$554,$K193)))</f>
        <v/>
      </c>
      <c r="G193" s="6" t="str">
        <f aca="false">IF($K193="","",IF(INDEX('Prospect Tracker'!$H$5:$H$554,$K193)="","",INDEX('Prospect Tracker'!$H$5:$H$554,$K193)))</f>
        <v/>
      </c>
      <c r="H193" s="7" t="str">
        <f aca="false">IF($K193="","",IF(INDEX('Prospect Tracker'!$K$5:$K$554,$K193)="","",INDEX('Prospect Tracker'!$K$5:$K$554,$K193)))</f>
        <v/>
      </c>
      <c r="I193" s="6" t="str">
        <f aca="false">IF($K193="","",IF(INDEX('Prospect Tracker'!$T$5:$T$554,$K193)="","",INDEX('Prospect Tracker'!$T$5:$T$554,$K193)))</f>
        <v/>
      </c>
      <c r="J193" s="6" t="str">
        <f aca="false">IF($K193="","",IF(INDEX('Prospect Tracker'!$L$5:$L$554,$K193)="","",INDEX('Prospect Tracker'!$L$5:$L$554,$K193)))</f>
        <v/>
      </c>
      <c r="K193" s="1" t="n">
        <f aca="false">IFERROR(MATCH(SMALL('Prospect Tracker'!$X$5:$X$554,ROW()-4),'Prospect Tracker'!$X$5:$X$554,0),"")</f>
        <v>189</v>
      </c>
    </row>
    <row r="194" customFormat="false" ht="15" hidden="false" customHeight="true" outlineLevel="0" collapsed="false">
      <c r="A194" s="11" t="str">
        <f aca="false">IF($K194="","",IF(INDEX('Prospect Tracker'!$W$5:$W$554,$K194)="","",INDEX('Prospect Tracker'!$W$5:$W$554,$K194)))</f>
        <v/>
      </c>
      <c r="B194" s="11" t="str">
        <f aca="false">IF($K194="","",IF(INDEX('Prospect Tracker'!$A$5:$A$554,$K194)="","",INDEX('Prospect Tracker'!$A$5:$A$554,$K194)))</f>
        <v/>
      </c>
      <c r="C194" s="11" t="str">
        <f aca="false">IF($K194="","",IF(INDEX('Prospect Tracker'!$B$5:$B$554,$K194)="","",INDEX('Prospect Tracker'!$B$5:$B$554,$K194)))</f>
        <v/>
      </c>
      <c r="D194" s="11" t="str">
        <f aca="false">IF($K194="","",IF(INDEX('Prospect Tracker'!$M$5:$M$554,$K194)="","",INDEX('Prospect Tracker'!$M$5:$M$554,$K194)))</f>
        <v/>
      </c>
      <c r="E194" s="11" t="str">
        <f aca="false">IF($K194="","",IF(INDEX('Prospect Tracker'!$R$5:$R$554,$K194)="","",INDEX('Prospect Tracker'!$R$5:$R$554,$K194)))</f>
        <v/>
      </c>
      <c r="F194" s="11" t="str">
        <f aca="false">IF($K194="","",IF(INDEX('Prospect Tracker'!$J$5:$J$554,$K194)="","",INDEX('Prospect Tracker'!$J$5:$J$554,$K194)))</f>
        <v/>
      </c>
      <c r="G194" s="11" t="str">
        <f aca="false">IF($K194="","",IF(INDEX('Prospect Tracker'!$H$5:$H$554,$K194)="","",INDEX('Prospect Tracker'!$H$5:$H$554,$K194)))</f>
        <v/>
      </c>
      <c r="H194" s="12" t="str">
        <f aca="false">IF($K194="","",IF(INDEX('Prospect Tracker'!$K$5:$K$554,$K194)="","",INDEX('Prospect Tracker'!$K$5:$K$554,$K194)))</f>
        <v/>
      </c>
      <c r="I194" s="11" t="str">
        <f aca="false">IF($K194="","",IF(INDEX('Prospect Tracker'!$T$5:$T$554,$K194)="","",INDEX('Prospect Tracker'!$T$5:$T$554,$K194)))</f>
        <v/>
      </c>
      <c r="J194" s="11" t="str">
        <f aca="false">IF($K194="","",IF(INDEX('Prospect Tracker'!$L$5:$L$554,$K194)="","",INDEX('Prospect Tracker'!$L$5:$L$554,$K194)))</f>
        <v/>
      </c>
      <c r="K194" s="1" t="n">
        <f aca="false">IFERROR(MATCH(SMALL('Prospect Tracker'!$X$5:$X$554,ROW()-4),'Prospect Tracker'!$X$5:$X$554,0),"")</f>
        <v>190</v>
      </c>
    </row>
    <row r="195" customFormat="false" ht="15" hidden="false" customHeight="true" outlineLevel="0" collapsed="false">
      <c r="A195" s="6" t="str">
        <f aca="false">IF($K195="","",IF(INDEX('Prospect Tracker'!$W$5:$W$554,$K195)="","",INDEX('Prospect Tracker'!$W$5:$W$554,$K195)))</f>
        <v/>
      </c>
      <c r="B195" s="6" t="str">
        <f aca="false">IF($K195="","",IF(INDEX('Prospect Tracker'!$A$5:$A$554,$K195)="","",INDEX('Prospect Tracker'!$A$5:$A$554,$K195)))</f>
        <v/>
      </c>
      <c r="C195" s="6" t="str">
        <f aca="false">IF($K195="","",IF(INDEX('Prospect Tracker'!$B$5:$B$554,$K195)="","",INDEX('Prospect Tracker'!$B$5:$B$554,$K195)))</f>
        <v/>
      </c>
      <c r="D195" s="6" t="str">
        <f aca="false">IF($K195="","",IF(INDEX('Prospect Tracker'!$M$5:$M$554,$K195)="","",INDEX('Prospect Tracker'!$M$5:$M$554,$K195)))</f>
        <v/>
      </c>
      <c r="E195" s="6" t="str">
        <f aca="false">IF($K195="","",IF(INDEX('Prospect Tracker'!$R$5:$R$554,$K195)="","",INDEX('Prospect Tracker'!$R$5:$R$554,$K195)))</f>
        <v/>
      </c>
      <c r="F195" s="6" t="str">
        <f aca="false">IF($K195="","",IF(INDEX('Prospect Tracker'!$J$5:$J$554,$K195)="","",INDEX('Prospect Tracker'!$J$5:$J$554,$K195)))</f>
        <v/>
      </c>
      <c r="G195" s="6" t="str">
        <f aca="false">IF($K195="","",IF(INDEX('Prospect Tracker'!$H$5:$H$554,$K195)="","",INDEX('Prospect Tracker'!$H$5:$H$554,$K195)))</f>
        <v/>
      </c>
      <c r="H195" s="7" t="str">
        <f aca="false">IF($K195="","",IF(INDEX('Prospect Tracker'!$K$5:$K$554,$K195)="","",INDEX('Prospect Tracker'!$K$5:$K$554,$K195)))</f>
        <v/>
      </c>
      <c r="I195" s="6" t="str">
        <f aca="false">IF($K195="","",IF(INDEX('Prospect Tracker'!$T$5:$T$554,$K195)="","",INDEX('Prospect Tracker'!$T$5:$T$554,$K195)))</f>
        <v/>
      </c>
      <c r="J195" s="6" t="str">
        <f aca="false">IF($K195="","",IF(INDEX('Prospect Tracker'!$L$5:$L$554,$K195)="","",INDEX('Prospect Tracker'!$L$5:$L$554,$K195)))</f>
        <v/>
      </c>
      <c r="K195" s="1" t="n">
        <f aca="false">IFERROR(MATCH(SMALL('Prospect Tracker'!$X$5:$X$554,ROW()-4),'Prospect Tracker'!$X$5:$X$554,0),"")</f>
        <v>191</v>
      </c>
    </row>
    <row r="196" customFormat="false" ht="15" hidden="false" customHeight="true" outlineLevel="0" collapsed="false">
      <c r="A196" s="11" t="str">
        <f aca="false">IF($K196="","",IF(INDEX('Prospect Tracker'!$W$5:$W$554,$K196)="","",INDEX('Prospect Tracker'!$W$5:$W$554,$K196)))</f>
        <v/>
      </c>
      <c r="B196" s="11" t="str">
        <f aca="false">IF($K196="","",IF(INDEX('Prospect Tracker'!$A$5:$A$554,$K196)="","",INDEX('Prospect Tracker'!$A$5:$A$554,$K196)))</f>
        <v/>
      </c>
      <c r="C196" s="11" t="str">
        <f aca="false">IF($K196="","",IF(INDEX('Prospect Tracker'!$B$5:$B$554,$K196)="","",INDEX('Prospect Tracker'!$B$5:$B$554,$K196)))</f>
        <v/>
      </c>
      <c r="D196" s="11" t="str">
        <f aca="false">IF($K196="","",IF(INDEX('Prospect Tracker'!$M$5:$M$554,$K196)="","",INDEX('Prospect Tracker'!$M$5:$M$554,$K196)))</f>
        <v/>
      </c>
      <c r="E196" s="11" t="str">
        <f aca="false">IF($K196="","",IF(INDEX('Prospect Tracker'!$R$5:$R$554,$K196)="","",INDEX('Prospect Tracker'!$R$5:$R$554,$K196)))</f>
        <v/>
      </c>
      <c r="F196" s="11" t="str">
        <f aca="false">IF($K196="","",IF(INDEX('Prospect Tracker'!$J$5:$J$554,$K196)="","",INDEX('Prospect Tracker'!$J$5:$J$554,$K196)))</f>
        <v/>
      </c>
      <c r="G196" s="11" t="str">
        <f aca="false">IF($K196="","",IF(INDEX('Prospect Tracker'!$H$5:$H$554,$K196)="","",INDEX('Prospect Tracker'!$H$5:$H$554,$K196)))</f>
        <v/>
      </c>
      <c r="H196" s="12" t="str">
        <f aca="false">IF($K196="","",IF(INDEX('Prospect Tracker'!$K$5:$K$554,$K196)="","",INDEX('Prospect Tracker'!$K$5:$K$554,$K196)))</f>
        <v/>
      </c>
      <c r="I196" s="11" t="str">
        <f aca="false">IF($K196="","",IF(INDEX('Prospect Tracker'!$T$5:$T$554,$K196)="","",INDEX('Prospect Tracker'!$T$5:$T$554,$K196)))</f>
        <v/>
      </c>
      <c r="J196" s="11" t="str">
        <f aca="false">IF($K196="","",IF(INDEX('Prospect Tracker'!$L$5:$L$554,$K196)="","",INDEX('Prospect Tracker'!$L$5:$L$554,$K196)))</f>
        <v/>
      </c>
      <c r="K196" s="1" t="n">
        <f aca="false">IFERROR(MATCH(SMALL('Prospect Tracker'!$X$5:$X$554,ROW()-4),'Prospect Tracker'!$X$5:$X$554,0),"")</f>
        <v>192</v>
      </c>
    </row>
    <row r="197" customFormat="false" ht="15" hidden="false" customHeight="true" outlineLevel="0" collapsed="false">
      <c r="A197" s="6" t="str">
        <f aca="false">IF($K197="","",IF(INDEX('Prospect Tracker'!$W$5:$W$554,$K197)="","",INDEX('Prospect Tracker'!$W$5:$W$554,$K197)))</f>
        <v/>
      </c>
      <c r="B197" s="6" t="str">
        <f aca="false">IF($K197="","",IF(INDEX('Prospect Tracker'!$A$5:$A$554,$K197)="","",INDEX('Prospect Tracker'!$A$5:$A$554,$K197)))</f>
        <v/>
      </c>
      <c r="C197" s="6" t="str">
        <f aca="false">IF($K197="","",IF(INDEX('Prospect Tracker'!$B$5:$B$554,$K197)="","",INDEX('Prospect Tracker'!$B$5:$B$554,$K197)))</f>
        <v/>
      </c>
      <c r="D197" s="6" t="str">
        <f aca="false">IF($K197="","",IF(INDEX('Prospect Tracker'!$M$5:$M$554,$K197)="","",INDEX('Prospect Tracker'!$M$5:$M$554,$K197)))</f>
        <v/>
      </c>
      <c r="E197" s="6" t="str">
        <f aca="false">IF($K197="","",IF(INDEX('Prospect Tracker'!$R$5:$R$554,$K197)="","",INDEX('Prospect Tracker'!$R$5:$R$554,$K197)))</f>
        <v/>
      </c>
      <c r="F197" s="6" t="str">
        <f aca="false">IF($K197="","",IF(INDEX('Prospect Tracker'!$J$5:$J$554,$K197)="","",INDEX('Prospect Tracker'!$J$5:$J$554,$K197)))</f>
        <v/>
      </c>
      <c r="G197" s="6" t="str">
        <f aca="false">IF($K197="","",IF(INDEX('Prospect Tracker'!$H$5:$H$554,$K197)="","",INDEX('Prospect Tracker'!$H$5:$H$554,$K197)))</f>
        <v/>
      </c>
      <c r="H197" s="7" t="str">
        <f aca="false">IF($K197="","",IF(INDEX('Prospect Tracker'!$K$5:$K$554,$K197)="","",INDEX('Prospect Tracker'!$K$5:$K$554,$K197)))</f>
        <v/>
      </c>
      <c r="I197" s="6" t="str">
        <f aca="false">IF($K197="","",IF(INDEX('Prospect Tracker'!$T$5:$T$554,$K197)="","",INDEX('Prospect Tracker'!$T$5:$T$554,$K197)))</f>
        <v/>
      </c>
      <c r="J197" s="6" t="str">
        <f aca="false">IF($K197="","",IF(INDEX('Prospect Tracker'!$L$5:$L$554,$K197)="","",INDEX('Prospect Tracker'!$L$5:$L$554,$K197)))</f>
        <v/>
      </c>
      <c r="K197" s="1" t="n">
        <f aca="false">IFERROR(MATCH(SMALL('Prospect Tracker'!$X$5:$X$554,ROW()-4),'Prospect Tracker'!$X$5:$X$554,0),"")</f>
        <v>193</v>
      </c>
    </row>
    <row r="198" customFormat="false" ht="15" hidden="false" customHeight="true" outlineLevel="0" collapsed="false">
      <c r="A198" s="11" t="str">
        <f aca="false">IF($K198="","",IF(INDEX('Prospect Tracker'!$W$5:$W$554,$K198)="","",INDEX('Prospect Tracker'!$W$5:$W$554,$K198)))</f>
        <v/>
      </c>
      <c r="B198" s="11" t="str">
        <f aca="false">IF($K198="","",IF(INDEX('Prospect Tracker'!$A$5:$A$554,$K198)="","",INDEX('Prospect Tracker'!$A$5:$A$554,$K198)))</f>
        <v/>
      </c>
      <c r="C198" s="11" t="str">
        <f aca="false">IF($K198="","",IF(INDEX('Prospect Tracker'!$B$5:$B$554,$K198)="","",INDEX('Prospect Tracker'!$B$5:$B$554,$K198)))</f>
        <v/>
      </c>
      <c r="D198" s="11" t="str">
        <f aca="false">IF($K198="","",IF(INDEX('Prospect Tracker'!$M$5:$M$554,$K198)="","",INDEX('Prospect Tracker'!$M$5:$M$554,$K198)))</f>
        <v/>
      </c>
      <c r="E198" s="11" t="str">
        <f aca="false">IF($K198="","",IF(INDEX('Prospect Tracker'!$R$5:$R$554,$K198)="","",INDEX('Prospect Tracker'!$R$5:$R$554,$K198)))</f>
        <v/>
      </c>
      <c r="F198" s="11" t="str">
        <f aca="false">IF($K198="","",IF(INDEX('Prospect Tracker'!$J$5:$J$554,$K198)="","",INDEX('Prospect Tracker'!$J$5:$J$554,$K198)))</f>
        <v/>
      </c>
      <c r="G198" s="11" t="str">
        <f aca="false">IF($K198="","",IF(INDEX('Prospect Tracker'!$H$5:$H$554,$K198)="","",INDEX('Prospect Tracker'!$H$5:$H$554,$K198)))</f>
        <v/>
      </c>
      <c r="H198" s="12" t="str">
        <f aca="false">IF($K198="","",IF(INDEX('Prospect Tracker'!$K$5:$K$554,$K198)="","",INDEX('Prospect Tracker'!$K$5:$K$554,$K198)))</f>
        <v/>
      </c>
      <c r="I198" s="11" t="str">
        <f aca="false">IF($K198="","",IF(INDEX('Prospect Tracker'!$T$5:$T$554,$K198)="","",INDEX('Prospect Tracker'!$T$5:$T$554,$K198)))</f>
        <v/>
      </c>
      <c r="J198" s="11" t="str">
        <f aca="false">IF($K198="","",IF(INDEX('Prospect Tracker'!$L$5:$L$554,$K198)="","",INDEX('Prospect Tracker'!$L$5:$L$554,$K198)))</f>
        <v/>
      </c>
      <c r="K198" s="1" t="n">
        <f aca="false">IFERROR(MATCH(SMALL('Prospect Tracker'!$X$5:$X$554,ROW()-4),'Prospect Tracker'!$X$5:$X$554,0),"")</f>
        <v>194</v>
      </c>
    </row>
    <row r="199" customFormat="false" ht="15" hidden="false" customHeight="true" outlineLevel="0" collapsed="false">
      <c r="A199" s="6" t="str">
        <f aca="false">IF($K199="","",IF(INDEX('Prospect Tracker'!$W$5:$W$554,$K199)="","",INDEX('Prospect Tracker'!$W$5:$W$554,$K199)))</f>
        <v/>
      </c>
      <c r="B199" s="6" t="str">
        <f aca="false">IF($K199="","",IF(INDEX('Prospect Tracker'!$A$5:$A$554,$K199)="","",INDEX('Prospect Tracker'!$A$5:$A$554,$K199)))</f>
        <v/>
      </c>
      <c r="C199" s="6" t="str">
        <f aca="false">IF($K199="","",IF(INDEX('Prospect Tracker'!$B$5:$B$554,$K199)="","",INDEX('Prospect Tracker'!$B$5:$B$554,$K199)))</f>
        <v/>
      </c>
      <c r="D199" s="6" t="str">
        <f aca="false">IF($K199="","",IF(INDEX('Prospect Tracker'!$M$5:$M$554,$K199)="","",INDEX('Prospect Tracker'!$M$5:$M$554,$K199)))</f>
        <v/>
      </c>
      <c r="E199" s="6" t="str">
        <f aca="false">IF($K199="","",IF(INDEX('Prospect Tracker'!$R$5:$R$554,$K199)="","",INDEX('Prospect Tracker'!$R$5:$R$554,$K199)))</f>
        <v/>
      </c>
      <c r="F199" s="6" t="str">
        <f aca="false">IF($K199="","",IF(INDEX('Prospect Tracker'!$J$5:$J$554,$K199)="","",INDEX('Prospect Tracker'!$J$5:$J$554,$K199)))</f>
        <v/>
      </c>
      <c r="G199" s="6" t="str">
        <f aca="false">IF($K199="","",IF(INDEX('Prospect Tracker'!$H$5:$H$554,$K199)="","",INDEX('Prospect Tracker'!$H$5:$H$554,$K199)))</f>
        <v/>
      </c>
      <c r="H199" s="7" t="str">
        <f aca="false">IF($K199="","",IF(INDEX('Prospect Tracker'!$K$5:$K$554,$K199)="","",INDEX('Prospect Tracker'!$K$5:$K$554,$K199)))</f>
        <v/>
      </c>
      <c r="I199" s="6" t="str">
        <f aca="false">IF($K199="","",IF(INDEX('Prospect Tracker'!$T$5:$T$554,$K199)="","",INDEX('Prospect Tracker'!$T$5:$T$554,$K199)))</f>
        <v/>
      </c>
      <c r="J199" s="6" t="str">
        <f aca="false">IF($K199="","",IF(INDEX('Prospect Tracker'!$L$5:$L$554,$K199)="","",INDEX('Prospect Tracker'!$L$5:$L$554,$K199)))</f>
        <v/>
      </c>
      <c r="K199" s="1" t="n">
        <f aca="false">IFERROR(MATCH(SMALL('Prospect Tracker'!$X$5:$X$554,ROW()-4),'Prospect Tracker'!$X$5:$X$554,0),"")</f>
        <v>195</v>
      </c>
    </row>
    <row r="200" customFormat="false" ht="15" hidden="false" customHeight="true" outlineLevel="0" collapsed="false">
      <c r="A200" s="11" t="str">
        <f aca="false">IF($K200="","",IF(INDEX('Prospect Tracker'!$W$5:$W$554,$K200)="","",INDEX('Prospect Tracker'!$W$5:$W$554,$K200)))</f>
        <v/>
      </c>
      <c r="B200" s="11" t="str">
        <f aca="false">IF($K200="","",IF(INDEX('Prospect Tracker'!$A$5:$A$554,$K200)="","",INDEX('Prospect Tracker'!$A$5:$A$554,$K200)))</f>
        <v/>
      </c>
      <c r="C200" s="11" t="str">
        <f aca="false">IF($K200="","",IF(INDEX('Prospect Tracker'!$B$5:$B$554,$K200)="","",INDEX('Prospect Tracker'!$B$5:$B$554,$K200)))</f>
        <v/>
      </c>
      <c r="D200" s="11" t="str">
        <f aca="false">IF($K200="","",IF(INDEX('Prospect Tracker'!$M$5:$M$554,$K200)="","",INDEX('Prospect Tracker'!$M$5:$M$554,$K200)))</f>
        <v/>
      </c>
      <c r="E200" s="11" t="str">
        <f aca="false">IF($K200="","",IF(INDEX('Prospect Tracker'!$R$5:$R$554,$K200)="","",INDEX('Prospect Tracker'!$R$5:$R$554,$K200)))</f>
        <v/>
      </c>
      <c r="F200" s="11" t="str">
        <f aca="false">IF($K200="","",IF(INDEX('Prospect Tracker'!$J$5:$J$554,$K200)="","",INDEX('Prospect Tracker'!$J$5:$J$554,$K200)))</f>
        <v/>
      </c>
      <c r="G200" s="11" t="str">
        <f aca="false">IF($K200="","",IF(INDEX('Prospect Tracker'!$H$5:$H$554,$K200)="","",INDEX('Prospect Tracker'!$H$5:$H$554,$K200)))</f>
        <v/>
      </c>
      <c r="H200" s="12" t="str">
        <f aca="false">IF($K200="","",IF(INDEX('Prospect Tracker'!$K$5:$K$554,$K200)="","",INDEX('Prospect Tracker'!$K$5:$K$554,$K200)))</f>
        <v/>
      </c>
      <c r="I200" s="11" t="str">
        <f aca="false">IF($K200="","",IF(INDEX('Prospect Tracker'!$T$5:$T$554,$K200)="","",INDEX('Prospect Tracker'!$T$5:$T$554,$K200)))</f>
        <v/>
      </c>
      <c r="J200" s="11" t="str">
        <f aca="false">IF($K200="","",IF(INDEX('Prospect Tracker'!$L$5:$L$554,$K200)="","",INDEX('Prospect Tracker'!$L$5:$L$554,$K200)))</f>
        <v/>
      </c>
      <c r="K200" s="1" t="n">
        <f aca="false">IFERROR(MATCH(SMALL('Prospect Tracker'!$X$5:$X$554,ROW()-4),'Prospect Tracker'!$X$5:$X$554,0),"")</f>
        <v>196</v>
      </c>
    </row>
    <row r="201" customFormat="false" ht="15" hidden="false" customHeight="true" outlineLevel="0" collapsed="false">
      <c r="A201" s="6" t="str">
        <f aca="false">IF($K201="","",IF(INDEX('Prospect Tracker'!$W$5:$W$554,$K201)="","",INDEX('Prospect Tracker'!$W$5:$W$554,$K201)))</f>
        <v/>
      </c>
      <c r="B201" s="6" t="str">
        <f aca="false">IF($K201="","",IF(INDEX('Prospect Tracker'!$A$5:$A$554,$K201)="","",INDEX('Prospect Tracker'!$A$5:$A$554,$K201)))</f>
        <v/>
      </c>
      <c r="C201" s="6" t="str">
        <f aca="false">IF($K201="","",IF(INDEX('Prospect Tracker'!$B$5:$B$554,$K201)="","",INDEX('Prospect Tracker'!$B$5:$B$554,$K201)))</f>
        <v/>
      </c>
      <c r="D201" s="6" t="str">
        <f aca="false">IF($K201="","",IF(INDEX('Prospect Tracker'!$M$5:$M$554,$K201)="","",INDEX('Prospect Tracker'!$M$5:$M$554,$K201)))</f>
        <v/>
      </c>
      <c r="E201" s="6" t="str">
        <f aca="false">IF($K201="","",IF(INDEX('Prospect Tracker'!$R$5:$R$554,$K201)="","",INDEX('Prospect Tracker'!$R$5:$R$554,$K201)))</f>
        <v/>
      </c>
      <c r="F201" s="6" t="str">
        <f aca="false">IF($K201="","",IF(INDEX('Prospect Tracker'!$J$5:$J$554,$K201)="","",INDEX('Prospect Tracker'!$J$5:$J$554,$K201)))</f>
        <v/>
      </c>
      <c r="G201" s="6" t="str">
        <f aca="false">IF($K201="","",IF(INDEX('Prospect Tracker'!$H$5:$H$554,$K201)="","",INDEX('Prospect Tracker'!$H$5:$H$554,$K201)))</f>
        <v/>
      </c>
      <c r="H201" s="7" t="str">
        <f aca="false">IF($K201="","",IF(INDEX('Prospect Tracker'!$K$5:$K$554,$K201)="","",INDEX('Prospect Tracker'!$K$5:$K$554,$K201)))</f>
        <v/>
      </c>
      <c r="I201" s="6" t="str">
        <f aca="false">IF($K201="","",IF(INDEX('Prospect Tracker'!$T$5:$T$554,$K201)="","",INDEX('Prospect Tracker'!$T$5:$T$554,$K201)))</f>
        <v/>
      </c>
      <c r="J201" s="6" t="str">
        <f aca="false">IF($K201="","",IF(INDEX('Prospect Tracker'!$L$5:$L$554,$K201)="","",INDEX('Prospect Tracker'!$L$5:$L$554,$K201)))</f>
        <v/>
      </c>
      <c r="K201" s="1" t="n">
        <f aca="false">IFERROR(MATCH(SMALL('Prospect Tracker'!$X$5:$X$554,ROW()-4),'Prospect Tracker'!$X$5:$X$554,0),"")</f>
        <v>197</v>
      </c>
    </row>
    <row r="202" customFormat="false" ht="15" hidden="false" customHeight="true" outlineLevel="0" collapsed="false">
      <c r="A202" s="11" t="str">
        <f aca="false">IF($K202="","",IF(INDEX('Prospect Tracker'!$W$5:$W$554,$K202)="","",INDEX('Prospect Tracker'!$W$5:$W$554,$K202)))</f>
        <v/>
      </c>
      <c r="B202" s="11" t="str">
        <f aca="false">IF($K202="","",IF(INDEX('Prospect Tracker'!$A$5:$A$554,$K202)="","",INDEX('Prospect Tracker'!$A$5:$A$554,$K202)))</f>
        <v/>
      </c>
      <c r="C202" s="11" t="str">
        <f aca="false">IF($K202="","",IF(INDEX('Prospect Tracker'!$B$5:$B$554,$K202)="","",INDEX('Prospect Tracker'!$B$5:$B$554,$K202)))</f>
        <v/>
      </c>
      <c r="D202" s="11" t="str">
        <f aca="false">IF($K202="","",IF(INDEX('Prospect Tracker'!$M$5:$M$554,$K202)="","",INDEX('Prospect Tracker'!$M$5:$M$554,$K202)))</f>
        <v/>
      </c>
      <c r="E202" s="11" t="str">
        <f aca="false">IF($K202="","",IF(INDEX('Prospect Tracker'!$R$5:$R$554,$K202)="","",INDEX('Prospect Tracker'!$R$5:$R$554,$K202)))</f>
        <v/>
      </c>
      <c r="F202" s="11" t="str">
        <f aca="false">IF($K202="","",IF(INDEX('Prospect Tracker'!$J$5:$J$554,$K202)="","",INDEX('Prospect Tracker'!$J$5:$J$554,$K202)))</f>
        <v/>
      </c>
      <c r="G202" s="11" t="str">
        <f aca="false">IF($K202="","",IF(INDEX('Prospect Tracker'!$H$5:$H$554,$K202)="","",INDEX('Prospect Tracker'!$H$5:$H$554,$K202)))</f>
        <v/>
      </c>
      <c r="H202" s="12" t="str">
        <f aca="false">IF($K202="","",IF(INDEX('Prospect Tracker'!$K$5:$K$554,$K202)="","",INDEX('Prospect Tracker'!$K$5:$K$554,$K202)))</f>
        <v/>
      </c>
      <c r="I202" s="11" t="str">
        <f aca="false">IF($K202="","",IF(INDEX('Prospect Tracker'!$T$5:$T$554,$K202)="","",INDEX('Prospect Tracker'!$T$5:$T$554,$K202)))</f>
        <v/>
      </c>
      <c r="J202" s="11" t="str">
        <f aca="false">IF($K202="","",IF(INDEX('Prospect Tracker'!$L$5:$L$554,$K202)="","",INDEX('Prospect Tracker'!$L$5:$L$554,$K202)))</f>
        <v/>
      </c>
      <c r="K202" s="1" t="n">
        <f aca="false">IFERROR(MATCH(SMALL('Prospect Tracker'!$X$5:$X$554,ROW()-4),'Prospect Tracker'!$X$5:$X$554,0),"")</f>
        <v>198</v>
      </c>
    </row>
    <row r="203" customFormat="false" ht="15" hidden="false" customHeight="true" outlineLevel="0" collapsed="false">
      <c r="A203" s="6" t="str">
        <f aca="false">IF($K203="","",IF(INDEX('Prospect Tracker'!$W$5:$W$554,$K203)="","",INDEX('Prospect Tracker'!$W$5:$W$554,$K203)))</f>
        <v/>
      </c>
      <c r="B203" s="6" t="str">
        <f aca="false">IF($K203="","",IF(INDEX('Prospect Tracker'!$A$5:$A$554,$K203)="","",INDEX('Prospect Tracker'!$A$5:$A$554,$K203)))</f>
        <v/>
      </c>
      <c r="C203" s="6" t="str">
        <f aca="false">IF($K203="","",IF(INDEX('Prospect Tracker'!$B$5:$B$554,$K203)="","",INDEX('Prospect Tracker'!$B$5:$B$554,$K203)))</f>
        <v/>
      </c>
      <c r="D203" s="6" t="str">
        <f aca="false">IF($K203="","",IF(INDEX('Prospect Tracker'!$M$5:$M$554,$K203)="","",INDEX('Prospect Tracker'!$M$5:$M$554,$K203)))</f>
        <v/>
      </c>
      <c r="E203" s="6" t="str">
        <f aca="false">IF($K203="","",IF(INDEX('Prospect Tracker'!$R$5:$R$554,$K203)="","",INDEX('Prospect Tracker'!$R$5:$R$554,$K203)))</f>
        <v/>
      </c>
      <c r="F203" s="6" t="str">
        <f aca="false">IF($K203="","",IF(INDEX('Prospect Tracker'!$J$5:$J$554,$K203)="","",INDEX('Prospect Tracker'!$J$5:$J$554,$K203)))</f>
        <v/>
      </c>
      <c r="G203" s="6" t="str">
        <f aca="false">IF($K203="","",IF(INDEX('Prospect Tracker'!$H$5:$H$554,$K203)="","",INDEX('Prospect Tracker'!$H$5:$H$554,$K203)))</f>
        <v/>
      </c>
      <c r="H203" s="7" t="str">
        <f aca="false">IF($K203="","",IF(INDEX('Prospect Tracker'!$K$5:$K$554,$K203)="","",INDEX('Prospect Tracker'!$K$5:$K$554,$K203)))</f>
        <v/>
      </c>
      <c r="I203" s="6" t="str">
        <f aca="false">IF($K203="","",IF(INDEX('Prospect Tracker'!$T$5:$T$554,$K203)="","",INDEX('Prospect Tracker'!$T$5:$T$554,$K203)))</f>
        <v/>
      </c>
      <c r="J203" s="6" t="str">
        <f aca="false">IF($K203="","",IF(INDEX('Prospect Tracker'!$L$5:$L$554,$K203)="","",INDEX('Prospect Tracker'!$L$5:$L$554,$K203)))</f>
        <v/>
      </c>
      <c r="K203" s="1" t="n">
        <f aca="false">IFERROR(MATCH(SMALL('Prospect Tracker'!$X$5:$X$554,ROW()-4),'Prospect Tracker'!$X$5:$X$554,0),"")</f>
        <v>199</v>
      </c>
    </row>
    <row r="204" customFormat="false" ht="15" hidden="false" customHeight="true" outlineLevel="0" collapsed="false">
      <c r="A204" s="11" t="str">
        <f aca="false">IF($K204="","",IF(INDEX('Prospect Tracker'!$W$5:$W$554,$K204)="","",INDEX('Prospect Tracker'!$W$5:$W$554,$K204)))</f>
        <v/>
      </c>
      <c r="B204" s="11" t="str">
        <f aca="false">IF($K204="","",IF(INDEX('Prospect Tracker'!$A$5:$A$554,$K204)="","",INDEX('Prospect Tracker'!$A$5:$A$554,$K204)))</f>
        <v/>
      </c>
      <c r="C204" s="11" t="str">
        <f aca="false">IF($K204="","",IF(INDEX('Prospect Tracker'!$B$5:$B$554,$K204)="","",INDEX('Prospect Tracker'!$B$5:$B$554,$K204)))</f>
        <v/>
      </c>
      <c r="D204" s="11" t="str">
        <f aca="false">IF($K204="","",IF(INDEX('Prospect Tracker'!$M$5:$M$554,$K204)="","",INDEX('Prospect Tracker'!$M$5:$M$554,$K204)))</f>
        <v/>
      </c>
      <c r="E204" s="11" t="str">
        <f aca="false">IF($K204="","",IF(INDEX('Prospect Tracker'!$R$5:$R$554,$K204)="","",INDEX('Prospect Tracker'!$R$5:$R$554,$K204)))</f>
        <v/>
      </c>
      <c r="F204" s="11" t="str">
        <f aca="false">IF($K204="","",IF(INDEX('Prospect Tracker'!$J$5:$J$554,$K204)="","",INDEX('Prospect Tracker'!$J$5:$J$554,$K204)))</f>
        <v/>
      </c>
      <c r="G204" s="11" t="str">
        <f aca="false">IF($K204="","",IF(INDEX('Prospect Tracker'!$H$5:$H$554,$K204)="","",INDEX('Prospect Tracker'!$H$5:$H$554,$K204)))</f>
        <v/>
      </c>
      <c r="H204" s="12" t="str">
        <f aca="false">IF($K204="","",IF(INDEX('Prospect Tracker'!$K$5:$K$554,$K204)="","",INDEX('Prospect Tracker'!$K$5:$K$554,$K204)))</f>
        <v/>
      </c>
      <c r="I204" s="11" t="str">
        <f aca="false">IF($K204="","",IF(INDEX('Prospect Tracker'!$T$5:$T$554,$K204)="","",INDEX('Prospect Tracker'!$T$5:$T$554,$K204)))</f>
        <v/>
      </c>
      <c r="J204" s="11" t="str">
        <f aca="false">IF($K204="","",IF(INDEX('Prospect Tracker'!$L$5:$L$554,$K204)="","",INDEX('Prospect Tracker'!$L$5:$L$554,$K204)))</f>
        <v/>
      </c>
      <c r="K204" s="1" t="n">
        <f aca="false">IFERROR(MATCH(SMALL('Prospect Tracker'!$X$5:$X$554,ROW()-4),'Prospect Tracker'!$X$5:$X$554,0),"")</f>
        <v>200</v>
      </c>
    </row>
    <row r="205" customFormat="false" ht="15" hidden="false" customHeight="true" outlineLevel="0" collapsed="false">
      <c r="A205" s="6" t="str">
        <f aca="false">IF($K205="","",IF(INDEX('Prospect Tracker'!$W$5:$W$554,$K205)="","",INDEX('Prospect Tracker'!$W$5:$W$554,$K205)))</f>
        <v/>
      </c>
      <c r="B205" s="6" t="str">
        <f aca="false">IF($K205="","",IF(INDEX('Prospect Tracker'!$A$5:$A$554,$K205)="","",INDEX('Prospect Tracker'!$A$5:$A$554,$K205)))</f>
        <v/>
      </c>
      <c r="C205" s="6" t="str">
        <f aca="false">IF($K205="","",IF(INDEX('Prospect Tracker'!$B$5:$B$554,$K205)="","",INDEX('Prospect Tracker'!$B$5:$B$554,$K205)))</f>
        <v/>
      </c>
      <c r="D205" s="6" t="str">
        <f aca="false">IF($K205="","",IF(INDEX('Prospect Tracker'!$M$5:$M$554,$K205)="","",INDEX('Prospect Tracker'!$M$5:$M$554,$K205)))</f>
        <v/>
      </c>
      <c r="E205" s="6" t="str">
        <f aca="false">IF($K205="","",IF(INDEX('Prospect Tracker'!$R$5:$R$554,$K205)="","",INDEX('Prospect Tracker'!$R$5:$R$554,$K205)))</f>
        <v/>
      </c>
      <c r="F205" s="6" t="str">
        <f aca="false">IF($K205="","",IF(INDEX('Prospect Tracker'!$J$5:$J$554,$K205)="","",INDEX('Prospect Tracker'!$J$5:$J$554,$K205)))</f>
        <v/>
      </c>
      <c r="G205" s="6" t="str">
        <f aca="false">IF($K205="","",IF(INDEX('Prospect Tracker'!$H$5:$H$554,$K205)="","",INDEX('Prospect Tracker'!$H$5:$H$554,$K205)))</f>
        <v/>
      </c>
      <c r="H205" s="7" t="str">
        <f aca="false">IF($K205="","",IF(INDEX('Prospect Tracker'!$K$5:$K$554,$K205)="","",INDEX('Prospect Tracker'!$K$5:$K$554,$K205)))</f>
        <v/>
      </c>
      <c r="I205" s="6" t="str">
        <f aca="false">IF($K205="","",IF(INDEX('Prospect Tracker'!$T$5:$T$554,$K205)="","",INDEX('Prospect Tracker'!$T$5:$T$554,$K205)))</f>
        <v/>
      </c>
      <c r="J205" s="6" t="str">
        <f aca="false">IF($K205="","",IF(INDEX('Prospect Tracker'!$L$5:$L$554,$K205)="","",INDEX('Prospect Tracker'!$L$5:$L$554,$K205)))</f>
        <v/>
      </c>
      <c r="K205" s="1" t="n">
        <f aca="false">IFERROR(MATCH(SMALL('Prospect Tracker'!$X$5:$X$554,ROW()-4),'Prospect Tracker'!$X$5:$X$554,0),"")</f>
        <v>201</v>
      </c>
    </row>
    <row r="206" customFormat="false" ht="15" hidden="false" customHeight="true" outlineLevel="0" collapsed="false">
      <c r="A206" s="11" t="str">
        <f aca="false">IF($K206="","",IF(INDEX('Prospect Tracker'!$W$5:$W$554,$K206)="","",INDEX('Prospect Tracker'!$W$5:$W$554,$K206)))</f>
        <v/>
      </c>
      <c r="B206" s="11" t="str">
        <f aca="false">IF($K206="","",IF(INDEX('Prospect Tracker'!$A$5:$A$554,$K206)="","",INDEX('Prospect Tracker'!$A$5:$A$554,$K206)))</f>
        <v/>
      </c>
      <c r="C206" s="11" t="str">
        <f aca="false">IF($K206="","",IF(INDEX('Prospect Tracker'!$B$5:$B$554,$K206)="","",INDEX('Prospect Tracker'!$B$5:$B$554,$K206)))</f>
        <v/>
      </c>
      <c r="D206" s="11" t="str">
        <f aca="false">IF($K206="","",IF(INDEX('Prospect Tracker'!$M$5:$M$554,$K206)="","",INDEX('Prospect Tracker'!$M$5:$M$554,$K206)))</f>
        <v/>
      </c>
      <c r="E206" s="11" t="str">
        <f aca="false">IF($K206="","",IF(INDEX('Prospect Tracker'!$R$5:$R$554,$K206)="","",INDEX('Prospect Tracker'!$R$5:$R$554,$K206)))</f>
        <v/>
      </c>
      <c r="F206" s="11" t="str">
        <f aca="false">IF($K206="","",IF(INDEX('Prospect Tracker'!$J$5:$J$554,$K206)="","",INDEX('Prospect Tracker'!$J$5:$J$554,$K206)))</f>
        <v/>
      </c>
      <c r="G206" s="11" t="str">
        <f aca="false">IF($K206="","",IF(INDEX('Prospect Tracker'!$H$5:$H$554,$K206)="","",INDEX('Prospect Tracker'!$H$5:$H$554,$K206)))</f>
        <v/>
      </c>
      <c r="H206" s="12" t="str">
        <f aca="false">IF($K206="","",IF(INDEX('Prospect Tracker'!$K$5:$K$554,$K206)="","",INDEX('Prospect Tracker'!$K$5:$K$554,$K206)))</f>
        <v/>
      </c>
      <c r="I206" s="11" t="str">
        <f aca="false">IF($K206="","",IF(INDEX('Prospect Tracker'!$T$5:$T$554,$K206)="","",INDEX('Prospect Tracker'!$T$5:$T$554,$K206)))</f>
        <v/>
      </c>
      <c r="J206" s="11" t="str">
        <f aca="false">IF($K206="","",IF(INDEX('Prospect Tracker'!$L$5:$L$554,$K206)="","",INDEX('Prospect Tracker'!$L$5:$L$554,$K206)))</f>
        <v/>
      </c>
      <c r="K206" s="1" t="n">
        <f aca="false">IFERROR(MATCH(SMALL('Prospect Tracker'!$X$5:$X$554,ROW()-4),'Prospect Tracker'!$X$5:$X$554,0),"")</f>
        <v>202</v>
      </c>
    </row>
    <row r="207" customFormat="false" ht="15" hidden="false" customHeight="true" outlineLevel="0" collapsed="false">
      <c r="A207" s="6" t="str">
        <f aca="false">IF($K207="","",IF(INDEX('Prospect Tracker'!$W$5:$W$554,$K207)="","",INDEX('Prospect Tracker'!$W$5:$W$554,$K207)))</f>
        <v/>
      </c>
      <c r="B207" s="6" t="str">
        <f aca="false">IF($K207="","",IF(INDEX('Prospect Tracker'!$A$5:$A$554,$K207)="","",INDEX('Prospect Tracker'!$A$5:$A$554,$K207)))</f>
        <v/>
      </c>
      <c r="C207" s="6" t="str">
        <f aca="false">IF($K207="","",IF(INDEX('Prospect Tracker'!$B$5:$B$554,$K207)="","",INDEX('Prospect Tracker'!$B$5:$B$554,$K207)))</f>
        <v/>
      </c>
      <c r="D207" s="6" t="str">
        <f aca="false">IF($K207="","",IF(INDEX('Prospect Tracker'!$M$5:$M$554,$K207)="","",INDEX('Prospect Tracker'!$M$5:$M$554,$K207)))</f>
        <v/>
      </c>
      <c r="E207" s="6" t="str">
        <f aca="false">IF($K207="","",IF(INDEX('Prospect Tracker'!$R$5:$R$554,$K207)="","",INDEX('Prospect Tracker'!$R$5:$R$554,$K207)))</f>
        <v/>
      </c>
      <c r="F207" s="6" t="str">
        <f aca="false">IF($K207="","",IF(INDEX('Prospect Tracker'!$J$5:$J$554,$K207)="","",INDEX('Prospect Tracker'!$J$5:$J$554,$K207)))</f>
        <v/>
      </c>
      <c r="G207" s="6" t="str">
        <f aca="false">IF($K207="","",IF(INDEX('Prospect Tracker'!$H$5:$H$554,$K207)="","",INDEX('Prospect Tracker'!$H$5:$H$554,$K207)))</f>
        <v/>
      </c>
      <c r="H207" s="7" t="str">
        <f aca="false">IF($K207="","",IF(INDEX('Prospect Tracker'!$K$5:$K$554,$K207)="","",INDEX('Prospect Tracker'!$K$5:$K$554,$K207)))</f>
        <v/>
      </c>
      <c r="I207" s="6" t="str">
        <f aca="false">IF($K207="","",IF(INDEX('Prospect Tracker'!$T$5:$T$554,$K207)="","",INDEX('Prospect Tracker'!$T$5:$T$554,$K207)))</f>
        <v/>
      </c>
      <c r="J207" s="6" t="str">
        <f aca="false">IF($K207="","",IF(INDEX('Prospect Tracker'!$L$5:$L$554,$K207)="","",INDEX('Prospect Tracker'!$L$5:$L$554,$K207)))</f>
        <v/>
      </c>
      <c r="K207" s="1" t="n">
        <f aca="false">IFERROR(MATCH(SMALL('Prospect Tracker'!$X$5:$X$554,ROW()-4),'Prospect Tracker'!$X$5:$X$554,0),"")</f>
        <v>203</v>
      </c>
    </row>
    <row r="208" customFormat="false" ht="15" hidden="false" customHeight="true" outlineLevel="0" collapsed="false">
      <c r="A208" s="11" t="str">
        <f aca="false">IF($K208="","",IF(INDEX('Prospect Tracker'!$W$5:$W$554,$K208)="","",INDEX('Prospect Tracker'!$W$5:$W$554,$K208)))</f>
        <v/>
      </c>
      <c r="B208" s="11" t="str">
        <f aca="false">IF($K208="","",IF(INDEX('Prospect Tracker'!$A$5:$A$554,$K208)="","",INDEX('Prospect Tracker'!$A$5:$A$554,$K208)))</f>
        <v/>
      </c>
      <c r="C208" s="11" t="str">
        <f aca="false">IF($K208="","",IF(INDEX('Prospect Tracker'!$B$5:$B$554,$K208)="","",INDEX('Prospect Tracker'!$B$5:$B$554,$K208)))</f>
        <v/>
      </c>
      <c r="D208" s="11" t="str">
        <f aca="false">IF($K208="","",IF(INDEX('Prospect Tracker'!$M$5:$M$554,$K208)="","",INDEX('Prospect Tracker'!$M$5:$M$554,$K208)))</f>
        <v/>
      </c>
      <c r="E208" s="11" t="str">
        <f aca="false">IF($K208="","",IF(INDEX('Prospect Tracker'!$R$5:$R$554,$K208)="","",INDEX('Prospect Tracker'!$R$5:$R$554,$K208)))</f>
        <v/>
      </c>
      <c r="F208" s="11" t="str">
        <f aca="false">IF($K208="","",IF(INDEX('Prospect Tracker'!$J$5:$J$554,$K208)="","",INDEX('Prospect Tracker'!$J$5:$J$554,$K208)))</f>
        <v/>
      </c>
      <c r="G208" s="11" t="str">
        <f aca="false">IF($K208="","",IF(INDEX('Prospect Tracker'!$H$5:$H$554,$K208)="","",INDEX('Prospect Tracker'!$H$5:$H$554,$K208)))</f>
        <v/>
      </c>
      <c r="H208" s="12" t="str">
        <f aca="false">IF($K208="","",IF(INDEX('Prospect Tracker'!$K$5:$K$554,$K208)="","",INDEX('Prospect Tracker'!$K$5:$K$554,$K208)))</f>
        <v/>
      </c>
      <c r="I208" s="11" t="str">
        <f aca="false">IF($K208="","",IF(INDEX('Prospect Tracker'!$T$5:$T$554,$K208)="","",INDEX('Prospect Tracker'!$T$5:$T$554,$K208)))</f>
        <v/>
      </c>
      <c r="J208" s="11" t="str">
        <f aca="false">IF($K208="","",IF(INDEX('Prospect Tracker'!$L$5:$L$554,$K208)="","",INDEX('Prospect Tracker'!$L$5:$L$554,$K208)))</f>
        <v/>
      </c>
      <c r="K208" s="1" t="n">
        <f aca="false">IFERROR(MATCH(SMALL('Prospect Tracker'!$X$5:$X$554,ROW()-4),'Prospect Tracker'!$X$5:$X$554,0),"")</f>
        <v>204</v>
      </c>
    </row>
    <row r="209" customFormat="false" ht="15" hidden="false" customHeight="true" outlineLevel="0" collapsed="false">
      <c r="A209" s="6" t="str">
        <f aca="false">IF($K209="","",IF(INDEX('Prospect Tracker'!$W$5:$W$554,$K209)="","",INDEX('Prospect Tracker'!$W$5:$W$554,$K209)))</f>
        <v/>
      </c>
      <c r="B209" s="6" t="str">
        <f aca="false">IF($K209="","",IF(INDEX('Prospect Tracker'!$A$5:$A$554,$K209)="","",INDEX('Prospect Tracker'!$A$5:$A$554,$K209)))</f>
        <v/>
      </c>
      <c r="C209" s="6" t="str">
        <f aca="false">IF($K209="","",IF(INDEX('Prospect Tracker'!$B$5:$B$554,$K209)="","",INDEX('Prospect Tracker'!$B$5:$B$554,$K209)))</f>
        <v/>
      </c>
      <c r="D209" s="6" t="str">
        <f aca="false">IF($K209="","",IF(INDEX('Prospect Tracker'!$M$5:$M$554,$K209)="","",INDEX('Prospect Tracker'!$M$5:$M$554,$K209)))</f>
        <v/>
      </c>
      <c r="E209" s="6" t="str">
        <f aca="false">IF($K209="","",IF(INDEX('Prospect Tracker'!$R$5:$R$554,$K209)="","",INDEX('Prospect Tracker'!$R$5:$R$554,$K209)))</f>
        <v/>
      </c>
      <c r="F209" s="6" t="str">
        <f aca="false">IF($K209="","",IF(INDEX('Prospect Tracker'!$J$5:$J$554,$K209)="","",INDEX('Prospect Tracker'!$J$5:$J$554,$K209)))</f>
        <v/>
      </c>
      <c r="G209" s="6" t="str">
        <f aca="false">IF($K209="","",IF(INDEX('Prospect Tracker'!$H$5:$H$554,$K209)="","",INDEX('Prospect Tracker'!$H$5:$H$554,$K209)))</f>
        <v/>
      </c>
      <c r="H209" s="7" t="str">
        <f aca="false">IF($K209="","",IF(INDEX('Prospect Tracker'!$K$5:$K$554,$K209)="","",INDEX('Prospect Tracker'!$K$5:$K$554,$K209)))</f>
        <v/>
      </c>
      <c r="I209" s="6" t="str">
        <f aca="false">IF($K209="","",IF(INDEX('Prospect Tracker'!$T$5:$T$554,$K209)="","",INDEX('Prospect Tracker'!$T$5:$T$554,$K209)))</f>
        <v/>
      </c>
      <c r="J209" s="6" t="str">
        <f aca="false">IF($K209="","",IF(INDEX('Prospect Tracker'!$L$5:$L$554,$K209)="","",INDEX('Prospect Tracker'!$L$5:$L$554,$K209)))</f>
        <v/>
      </c>
      <c r="K209" s="1" t="n">
        <f aca="false">IFERROR(MATCH(SMALL('Prospect Tracker'!$X$5:$X$554,ROW()-4),'Prospect Tracker'!$X$5:$X$554,0),"")</f>
        <v>205</v>
      </c>
    </row>
    <row r="210" customFormat="false" ht="15" hidden="false" customHeight="true" outlineLevel="0" collapsed="false">
      <c r="A210" s="11" t="str">
        <f aca="false">IF($K210="","",IF(INDEX('Prospect Tracker'!$W$5:$W$554,$K210)="","",INDEX('Prospect Tracker'!$W$5:$W$554,$K210)))</f>
        <v/>
      </c>
      <c r="B210" s="11" t="str">
        <f aca="false">IF($K210="","",IF(INDEX('Prospect Tracker'!$A$5:$A$554,$K210)="","",INDEX('Prospect Tracker'!$A$5:$A$554,$K210)))</f>
        <v/>
      </c>
      <c r="C210" s="11" t="str">
        <f aca="false">IF($K210="","",IF(INDEX('Prospect Tracker'!$B$5:$B$554,$K210)="","",INDEX('Prospect Tracker'!$B$5:$B$554,$K210)))</f>
        <v/>
      </c>
      <c r="D210" s="11" t="str">
        <f aca="false">IF($K210="","",IF(INDEX('Prospect Tracker'!$M$5:$M$554,$K210)="","",INDEX('Prospect Tracker'!$M$5:$M$554,$K210)))</f>
        <v/>
      </c>
      <c r="E210" s="11" t="str">
        <f aca="false">IF($K210="","",IF(INDEX('Prospect Tracker'!$R$5:$R$554,$K210)="","",INDEX('Prospect Tracker'!$R$5:$R$554,$K210)))</f>
        <v/>
      </c>
      <c r="F210" s="11" t="str">
        <f aca="false">IF($K210="","",IF(INDEX('Prospect Tracker'!$J$5:$J$554,$K210)="","",INDEX('Prospect Tracker'!$J$5:$J$554,$K210)))</f>
        <v/>
      </c>
      <c r="G210" s="11" t="str">
        <f aca="false">IF($K210="","",IF(INDEX('Prospect Tracker'!$H$5:$H$554,$K210)="","",INDEX('Prospect Tracker'!$H$5:$H$554,$K210)))</f>
        <v/>
      </c>
      <c r="H210" s="12" t="str">
        <f aca="false">IF($K210="","",IF(INDEX('Prospect Tracker'!$K$5:$K$554,$K210)="","",INDEX('Prospect Tracker'!$K$5:$K$554,$K210)))</f>
        <v/>
      </c>
      <c r="I210" s="11" t="str">
        <f aca="false">IF($K210="","",IF(INDEX('Prospect Tracker'!$T$5:$T$554,$K210)="","",INDEX('Prospect Tracker'!$T$5:$T$554,$K210)))</f>
        <v/>
      </c>
      <c r="J210" s="11" t="str">
        <f aca="false">IF($K210="","",IF(INDEX('Prospect Tracker'!$L$5:$L$554,$K210)="","",INDEX('Prospect Tracker'!$L$5:$L$554,$K210)))</f>
        <v/>
      </c>
      <c r="K210" s="1" t="n">
        <f aca="false">IFERROR(MATCH(SMALL('Prospect Tracker'!$X$5:$X$554,ROW()-4),'Prospect Tracker'!$X$5:$X$554,0),"")</f>
        <v>206</v>
      </c>
    </row>
    <row r="211" customFormat="false" ht="15" hidden="false" customHeight="true" outlineLevel="0" collapsed="false">
      <c r="A211" s="6" t="str">
        <f aca="false">IF($K211="","",IF(INDEX('Prospect Tracker'!$W$5:$W$554,$K211)="","",INDEX('Prospect Tracker'!$W$5:$W$554,$K211)))</f>
        <v/>
      </c>
      <c r="B211" s="6" t="str">
        <f aca="false">IF($K211="","",IF(INDEX('Prospect Tracker'!$A$5:$A$554,$K211)="","",INDEX('Prospect Tracker'!$A$5:$A$554,$K211)))</f>
        <v/>
      </c>
      <c r="C211" s="6" t="str">
        <f aca="false">IF($K211="","",IF(INDEX('Prospect Tracker'!$B$5:$B$554,$K211)="","",INDEX('Prospect Tracker'!$B$5:$B$554,$K211)))</f>
        <v/>
      </c>
      <c r="D211" s="6" t="str">
        <f aca="false">IF($K211="","",IF(INDEX('Prospect Tracker'!$M$5:$M$554,$K211)="","",INDEX('Prospect Tracker'!$M$5:$M$554,$K211)))</f>
        <v/>
      </c>
      <c r="E211" s="6" t="str">
        <f aca="false">IF($K211="","",IF(INDEX('Prospect Tracker'!$R$5:$R$554,$K211)="","",INDEX('Prospect Tracker'!$R$5:$R$554,$K211)))</f>
        <v/>
      </c>
      <c r="F211" s="6" t="str">
        <f aca="false">IF($K211="","",IF(INDEX('Prospect Tracker'!$J$5:$J$554,$K211)="","",INDEX('Prospect Tracker'!$J$5:$J$554,$K211)))</f>
        <v/>
      </c>
      <c r="G211" s="6" t="str">
        <f aca="false">IF($K211="","",IF(INDEX('Prospect Tracker'!$H$5:$H$554,$K211)="","",INDEX('Prospect Tracker'!$H$5:$H$554,$K211)))</f>
        <v/>
      </c>
      <c r="H211" s="7" t="str">
        <f aca="false">IF($K211="","",IF(INDEX('Prospect Tracker'!$K$5:$K$554,$K211)="","",INDEX('Prospect Tracker'!$K$5:$K$554,$K211)))</f>
        <v/>
      </c>
      <c r="I211" s="6" t="str">
        <f aca="false">IF($K211="","",IF(INDEX('Prospect Tracker'!$T$5:$T$554,$K211)="","",INDEX('Prospect Tracker'!$T$5:$T$554,$K211)))</f>
        <v/>
      </c>
      <c r="J211" s="6" t="str">
        <f aca="false">IF($K211="","",IF(INDEX('Prospect Tracker'!$L$5:$L$554,$K211)="","",INDEX('Prospect Tracker'!$L$5:$L$554,$K211)))</f>
        <v/>
      </c>
      <c r="K211" s="1" t="n">
        <f aca="false">IFERROR(MATCH(SMALL('Prospect Tracker'!$X$5:$X$554,ROW()-4),'Prospect Tracker'!$X$5:$X$554,0),"")</f>
        <v>207</v>
      </c>
    </row>
    <row r="212" customFormat="false" ht="15" hidden="false" customHeight="true" outlineLevel="0" collapsed="false">
      <c r="A212" s="11" t="str">
        <f aca="false">IF($K212="","",IF(INDEX('Prospect Tracker'!$W$5:$W$554,$K212)="","",INDEX('Prospect Tracker'!$W$5:$W$554,$K212)))</f>
        <v/>
      </c>
      <c r="B212" s="11" t="str">
        <f aca="false">IF($K212="","",IF(INDEX('Prospect Tracker'!$A$5:$A$554,$K212)="","",INDEX('Prospect Tracker'!$A$5:$A$554,$K212)))</f>
        <v/>
      </c>
      <c r="C212" s="11" t="str">
        <f aca="false">IF($K212="","",IF(INDEX('Prospect Tracker'!$B$5:$B$554,$K212)="","",INDEX('Prospect Tracker'!$B$5:$B$554,$K212)))</f>
        <v/>
      </c>
      <c r="D212" s="11" t="str">
        <f aca="false">IF($K212="","",IF(INDEX('Prospect Tracker'!$M$5:$M$554,$K212)="","",INDEX('Prospect Tracker'!$M$5:$M$554,$K212)))</f>
        <v/>
      </c>
      <c r="E212" s="11" t="str">
        <f aca="false">IF($K212="","",IF(INDEX('Prospect Tracker'!$R$5:$R$554,$K212)="","",INDEX('Prospect Tracker'!$R$5:$R$554,$K212)))</f>
        <v/>
      </c>
      <c r="F212" s="11" t="str">
        <f aca="false">IF($K212="","",IF(INDEX('Prospect Tracker'!$J$5:$J$554,$K212)="","",INDEX('Prospect Tracker'!$J$5:$J$554,$K212)))</f>
        <v/>
      </c>
      <c r="G212" s="11" t="str">
        <f aca="false">IF($K212="","",IF(INDEX('Prospect Tracker'!$H$5:$H$554,$K212)="","",INDEX('Prospect Tracker'!$H$5:$H$554,$K212)))</f>
        <v/>
      </c>
      <c r="H212" s="12" t="str">
        <f aca="false">IF($K212="","",IF(INDEX('Prospect Tracker'!$K$5:$K$554,$K212)="","",INDEX('Prospect Tracker'!$K$5:$K$554,$K212)))</f>
        <v/>
      </c>
      <c r="I212" s="11" t="str">
        <f aca="false">IF($K212="","",IF(INDEX('Prospect Tracker'!$T$5:$T$554,$K212)="","",INDEX('Prospect Tracker'!$T$5:$T$554,$K212)))</f>
        <v/>
      </c>
      <c r="J212" s="11" t="str">
        <f aca="false">IF($K212="","",IF(INDEX('Prospect Tracker'!$L$5:$L$554,$K212)="","",INDEX('Prospect Tracker'!$L$5:$L$554,$K212)))</f>
        <v/>
      </c>
      <c r="K212" s="1" t="n">
        <f aca="false">IFERROR(MATCH(SMALL('Prospect Tracker'!$X$5:$X$554,ROW()-4),'Prospect Tracker'!$X$5:$X$554,0),"")</f>
        <v>208</v>
      </c>
    </row>
    <row r="213" customFormat="false" ht="15" hidden="false" customHeight="true" outlineLevel="0" collapsed="false">
      <c r="A213" s="6" t="str">
        <f aca="false">IF($K213="","",IF(INDEX('Prospect Tracker'!$W$5:$W$554,$K213)="","",INDEX('Prospect Tracker'!$W$5:$W$554,$K213)))</f>
        <v/>
      </c>
      <c r="B213" s="6" t="str">
        <f aca="false">IF($K213="","",IF(INDEX('Prospect Tracker'!$A$5:$A$554,$K213)="","",INDEX('Prospect Tracker'!$A$5:$A$554,$K213)))</f>
        <v/>
      </c>
      <c r="C213" s="6" t="str">
        <f aca="false">IF($K213="","",IF(INDEX('Prospect Tracker'!$B$5:$B$554,$K213)="","",INDEX('Prospect Tracker'!$B$5:$B$554,$K213)))</f>
        <v/>
      </c>
      <c r="D213" s="6" t="str">
        <f aca="false">IF($K213="","",IF(INDEX('Prospect Tracker'!$M$5:$M$554,$K213)="","",INDEX('Prospect Tracker'!$M$5:$M$554,$K213)))</f>
        <v/>
      </c>
      <c r="E213" s="6" t="str">
        <f aca="false">IF($K213="","",IF(INDEX('Prospect Tracker'!$R$5:$R$554,$K213)="","",INDEX('Prospect Tracker'!$R$5:$R$554,$K213)))</f>
        <v/>
      </c>
      <c r="F213" s="6" t="str">
        <f aca="false">IF($K213="","",IF(INDEX('Prospect Tracker'!$J$5:$J$554,$K213)="","",INDEX('Prospect Tracker'!$J$5:$J$554,$K213)))</f>
        <v/>
      </c>
      <c r="G213" s="6" t="str">
        <f aca="false">IF($K213="","",IF(INDEX('Prospect Tracker'!$H$5:$H$554,$K213)="","",INDEX('Prospect Tracker'!$H$5:$H$554,$K213)))</f>
        <v/>
      </c>
      <c r="H213" s="7" t="str">
        <f aca="false">IF($K213="","",IF(INDEX('Prospect Tracker'!$K$5:$K$554,$K213)="","",INDEX('Prospect Tracker'!$K$5:$K$554,$K213)))</f>
        <v/>
      </c>
      <c r="I213" s="6" t="str">
        <f aca="false">IF($K213="","",IF(INDEX('Prospect Tracker'!$T$5:$T$554,$K213)="","",INDEX('Prospect Tracker'!$T$5:$T$554,$K213)))</f>
        <v/>
      </c>
      <c r="J213" s="6" t="str">
        <f aca="false">IF($K213="","",IF(INDEX('Prospect Tracker'!$L$5:$L$554,$K213)="","",INDEX('Prospect Tracker'!$L$5:$L$554,$K213)))</f>
        <v/>
      </c>
      <c r="K213" s="1" t="n">
        <f aca="false">IFERROR(MATCH(SMALL('Prospect Tracker'!$X$5:$X$554,ROW()-4),'Prospect Tracker'!$X$5:$X$554,0),"")</f>
        <v>209</v>
      </c>
    </row>
    <row r="214" customFormat="false" ht="15" hidden="false" customHeight="true" outlineLevel="0" collapsed="false">
      <c r="A214" s="11" t="str">
        <f aca="false">IF($K214="","",IF(INDEX('Prospect Tracker'!$W$5:$W$554,$K214)="","",INDEX('Prospect Tracker'!$W$5:$W$554,$K214)))</f>
        <v/>
      </c>
      <c r="B214" s="11" t="str">
        <f aca="false">IF($K214="","",IF(INDEX('Prospect Tracker'!$A$5:$A$554,$K214)="","",INDEX('Prospect Tracker'!$A$5:$A$554,$K214)))</f>
        <v/>
      </c>
      <c r="C214" s="11" t="str">
        <f aca="false">IF($K214="","",IF(INDEX('Prospect Tracker'!$B$5:$B$554,$K214)="","",INDEX('Prospect Tracker'!$B$5:$B$554,$K214)))</f>
        <v/>
      </c>
      <c r="D214" s="11" t="str">
        <f aca="false">IF($K214="","",IF(INDEX('Prospect Tracker'!$M$5:$M$554,$K214)="","",INDEX('Prospect Tracker'!$M$5:$M$554,$K214)))</f>
        <v/>
      </c>
      <c r="E214" s="11" t="str">
        <f aca="false">IF($K214="","",IF(INDEX('Prospect Tracker'!$R$5:$R$554,$K214)="","",INDEX('Prospect Tracker'!$R$5:$R$554,$K214)))</f>
        <v/>
      </c>
      <c r="F214" s="11" t="str">
        <f aca="false">IF($K214="","",IF(INDEX('Prospect Tracker'!$J$5:$J$554,$K214)="","",INDEX('Prospect Tracker'!$J$5:$J$554,$K214)))</f>
        <v/>
      </c>
      <c r="G214" s="11" t="str">
        <f aca="false">IF($K214="","",IF(INDEX('Prospect Tracker'!$H$5:$H$554,$K214)="","",INDEX('Prospect Tracker'!$H$5:$H$554,$K214)))</f>
        <v/>
      </c>
      <c r="H214" s="12" t="str">
        <f aca="false">IF($K214="","",IF(INDEX('Prospect Tracker'!$K$5:$K$554,$K214)="","",INDEX('Prospect Tracker'!$K$5:$K$554,$K214)))</f>
        <v/>
      </c>
      <c r="I214" s="11" t="str">
        <f aca="false">IF($K214="","",IF(INDEX('Prospect Tracker'!$T$5:$T$554,$K214)="","",INDEX('Prospect Tracker'!$T$5:$T$554,$K214)))</f>
        <v/>
      </c>
      <c r="J214" s="11" t="str">
        <f aca="false">IF($K214="","",IF(INDEX('Prospect Tracker'!$L$5:$L$554,$K214)="","",INDEX('Prospect Tracker'!$L$5:$L$554,$K214)))</f>
        <v/>
      </c>
      <c r="K214" s="1" t="n">
        <f aca="false">IFERROR(MATCH(SMALL('Prospect Tracker'!$X$5:$X$554,ROW()-4),'Prospect Tracker'!$X$5:$X$554,0),"")</f>
        <v>210</v>
      </c>
    </row>
    <row r="215" customFormat="false" ht="15" hidden="false" customHeight="true" outlineLevel="0" collapsed="false">
      <c r="A215" s="6" t="str">
        <f aca="false">IF($K215="","",IF(INDEX('Prospect Tracker'!$W$5:$W$554,$K215)="","",INDEX('Prospect Tracker'!$W$5:$W$554,$K215)))</f>
        <v/>
      </c>
      <c r="B215" s="6" t="str">
        <f aca="false">IF($K215="","",IF(INDEX('Prospect Tracker'!$A$5:$A$554,$K215)="","",INDEX('Prospect Tracker'!$A$5:$A$554,$K215)))</f>
        <v/>
      </c>
      <c r="C215" s="6" t="str">
        <f aca="false">IF($K215="","",IF(INDEX('Prospect Tracker'!$B$5:$B$554,$K215)="","",INDEX('Prospect Tracker'!$B$5:$B$554,$K215)))</f>
        <v/>
      </c>
      <c r="D215" s="6" t="str">
        <f aca="false">IF($K215="","",IF(INDEX('Prospect Tracker'!$M$5:$M$554,$K215)="","",INDEX('Prospect Tracker'!$M$5:$M$554,$K215)))</f>
        <v/>
      </c>
      <c r="E215" s="6" t="str">
        <f aca="false">IF($K215="","",IF(INDEX('Prospect Tracker'!$R$5:$R$554,$K215)="","",INDEX('Prospect Tracker'!$R$5:$R$554,$K215)))</f>
        <v/>
      </c>
      <c r="F215" s="6" t="str">
        <f aca="false">IF($K215="","",IF(INDEX('Prospect Tracker'!$J$5:$J$554,$K215)="","",INDEX('Prospect Tracker'!$J$5:$J$554,$K215)))</f>
        <v/>
      </c>
      <c r="G215" s="6" t="str">
        <f aca="false">IF($K215="","",IF(INDEX('Prospect Tracker'!$H$5:$H$554,$K215)="","",INDEX('Prospect Tracker'!$H$5:$H$554,$K215)))</f>
        <v/>
      </c>
      <c r="H215" s="7" t="str">
        <f aca="false">IF($K215="","",IF(INDEX('Prospect Tracker'!$K$5:$K$554,$K215)="","",INDEX('Prospect Tracker'!$K$5:$K$554,$K215)))</f>
        <v/>
      </c>
      <c r="I215" s="6" t="str">
        <f aca="false">IF($K215="","",IF(INDEX('Prospect Tracker'!$T$5:$T$554,$K215)="","",INDEX('Prospect Tracker'!$T$5:$T$554,$K215)))</f>
        <v/>
      </c>
      <c r="J215" s="6" t="str">
        <f aca="false">IF($K215="","",IF(INDEX('Prospect Tracker'!$L$5:$L$554,$K215)="","",INDEX('Prospect Tracker'!$L$5:$L$554,$K215)))</f>
        <v/>
      </c>
      <c r="K215" s="1" t="n">
        <f aca="false">IFERROR(MATCH(SMALL('Prospect Tracker'!$X$5:$X$554,ROW()-4),'Prospect Tracker'!$X$5:$X$554,0),"")</f>
        <v>211</v>
      </c>
    </row>
    <row r="216" customFormat="false" ht="15" hidden="false" customHeight="true" outlineLevel="0" collapsed="false">
      <c r="A216" s="11" t="str">
        <f aca="false">IF($K216="","",IF(INDEX('Prospect Tracker'!$W$5:$W$554,$K216)="","",INDEX('Prospect Tracker'!$W$5:$W$554,$K216)))</f>
        <v/>
      </c>
      <c r="B216" s="11" t="str">
        <f aca="false">IF($K216="","",IF(INDEX('Prospect Tracker'!$A$5:$A$554,$K216)="","",INDEX('Prospect Tracker'!$A$5:$A$554,$K216)))</f>
        <v/>
      </c>
      <c r="C216" s="11" t="str">
        <f aca="false">IF($K216="","",IF(INDEX('Prospect Tracker'!$B$5:$B$554,$K216)="","",INDEX('Prospect Tracker'!$B$5:$B$554,$K216)))</f>
        <v/>
      </c>
      <c r="D216" s="11" t="str">
        <f aca="false">IF($K216="","",IF(INDEX('Prospect Tracker'!$M$5:$M$554,$K216)="","",INDEX('Prospect Tracker'!$M$5:$M$554,$K216)))</f>
        <v/>
      </c>
      <c r="E216" s="11" t="str">
        <f aca="false">IF($K216="","",IF(INDEX('Prospect Tracker'!$R$5:$R$554,$K216)="","",INDEX('Prospect Tracker'!$R$5:$R$554,$K216)))</f>
        <v/>
      </c>
      <c r="F216" s="11" t="str">
        <f aca="false">IF($K216="","",IF(INDEX('Prospect Tracker'!$J$5:$J$554,$K216)="","",INDEX('Prospect Tracker'!$J$5:$J$554,$K216)))</f>
        <v/>
      </c>
      <c r="G216" s="11" t="str">
        <f aca="false">IF($K216="","",IF(INDEX('Prospect Tracker'!$H$5:$H$554,$K216)="","",INDEX('Prospect Tracker'!$H$5:$H$554,$K216)))</f>
        <v/>
      </c>
      <c r="H216" s="12" t="str">
        <f aca="false">IF($K216="","",IF(INDEX('Prospect Tracker'!$K$5:$K$554,$K216)="","",INDEX('Prospect Tracker'!$K$5:$K$554,$K216)))</f>
        <v/>
      </c>
      <c r="I216" s="11" t="str">
        <f aca="false">IF($K216="","",IF(INDEX('Prospect Tracker'!$T$5:$T$554,$K216)="","",INDEX('Prospect Tracker'!$T$5:$T$554,$K216)))</f>
        <v/>
      </c>
      <c r="J216" s="11" t="str">
        <f aca="false">IF($K216="","",IF(INDEX('Prospect Tracker'!$L$5:$L$554,$K216)="","",INDEX('Prospect Tracker'!$L$5:$L$554,$K216)))</f>
        <v/>
      </c>
      <c r="K216" s="1" t="n">
        <f aca="false">IFERROR(MATCH(SMALL('Prospect Tracker'!$X$5:$X$554,ROW()-4),'Prospect Tracker'!$X$5:$X$554,0),"")</f>
        <v>212</v>
      </c>
    </row>
    <row r="217" customFormat="false" ht="15" hidden="false" customHeight="true" outlineLevel="0" collapsed="false">
      <c r="A217" s="6" t="str">
        <f aca="false">IF($K217="","",IF(INDEX('Prospect Tracker'!$W$5:$W$554,$K217)="","",INDEX('Prospect Tracker'!$W$5:$W$554,$K217)))</f>
        <v/>
      </c>
      <c r="B217" s="6" t="str">
        <f aca="false">IF($K217="","",IF(INDEX('Prospect Tracker'!$A$5:$A$554,$K217)="","",INDEX('Prospect Tracker'!$A$5:$A$554,$K217)))</f>
        <v/>
      </c>
      <c r="C217" s="6" t="str">
        <f aca="false">IF($K217="","",IF(INDEX('Prospect Tracker'!$B$5:$B$554,$K217)="","",INDEX('Prospect Tracker'!$B$5:$B$554,$K217)))</f>
        <v/>
      </c>
      <c r="D217" s="6" t="str">
        <f aca="false">IF($K217="","",IF(INDEX('Prospect Tracker'!$M$5:$M$554,$K217)="","",INDEX('Prospect Tracker'!$M$5:$M$554,$K217)))</f>
        <v/>
      </c>
      <c r="E217" s="6" t="str">
        <f aca="false">IF($K217="","",IF(INDEX('Prospect Tracker'!$R$5:$R$554,$K217)="","",INDEX('Prospect Tracker'!$R$5:$R$554,$K217)))</f>
        <v/>
      </c>
      <c r="F217" s="6" t="str">
        <f aca="false">IF($K217="","",IF(INDEX('Prospect Tracker'!$J$5:$J$554,$K217)="","",INDEX('Prospect Tracker'!$J$5:$J$554,$K217)))</f>
        <v/>
      </c>
      <c r="G217" s="6" t="str">
        <f aca="false">IF($K217="","",IF(INDEX('Prospect Tracker'!$H$5:$H$554,$K217)="","",INDEX('Prospect Tracker'!$H$5:$H$554,$K217)))</f>
        <v/>
      </c>
      <c r="H217" s="7" t="str">
        <f aca="false">IF($K217="","",IF(INDEX('Prospect Tracker'!$K$5:$K$554,$K217)="","",INDEX('Prospect Tracker'!$K$5:$K$554,$K217)))</f>
        <v/>
      </c>
      <c r="I217" s="6" t="str">
        <f aca="false">IF($K217="","",IF(INDEX('Prospect Tracker'!$T$5:$T$554,$K217)="","",INDEX('Prospect Tracker'!$T$5:$T$554,$K217)))</f>
        <v/>
      </c>
      <c r="J217" s="6" t="str">
        <f aca="false">IF($K217="","",IF(INDEX('Prospect Tracker'!$L$5:$L$554,$K217)="","",INDEX('Prospect Tracker'!$L$5:$L$554,$K217)))</f>
        <v/>
      </c>
      <c r="K217" s="1" t="n">
        <f aca="false">IFERROR(MATCH(SMALL('Prospect Tracker'!$X$5:$X$554,ROW()-4),'Prospect Tracker'!$X$5:$X$554,0),"")</f>
        <v>213</v>
      </c>
    </row>
    <row r="218" customFormat="false" ht="15" hidden="false" customHeight="true" outlineLevel="0" collapsed="false">
      <c r="A218" s="11" t="str">
        <f aca="false">IF($K218="","",IF(INDEX('Prospect Tracker'!$W$5:$W$554,$K218)="","",INDEX('Prospect Tracker'!$W$5:$W$554,$K218)))</f>
        <v/>
      </c>
      <c r="B218" s="11" t="str">
        <f aca="false">IF($K218="","",IF(INDEX('Prospect Tracker'!$A$5:$A$554,$K218)="","",INDEX('Prospect Tracker'!$A$5:$A$554,$K218)))</f>
        <v/>
      </c>
      <c r="C218" s="11" t="str">
        <f aca="false">IF($K218="","",IF(INDEX('Prospect Tracker'!$B$5:$B$554,$K218)="","",INDEX('Prospect Tracker'!$B$5:$B$554,$K218)))</f>
        <v/>
      </c>
      <c r="D218" s="11" t="str">
        <f aca="false">IF($K218="","",IF(INDEX('Prospect Tracker'!$M$5:$M$554,$K218)="","",INDEX('Prospect Tracker'!$M$5:$M$554,$K218)))</f>
        <v/>
      </c>
      <c r="E218" s="11" t="str">
        <f aca="false">IF($K218="","",IF(INDEX('Prospect Tracker'!$R$5:$R$554,$K218)="","",INDEX('Prospect Tracker'!$R$5:$R$554,$K218)))</f>
        <v/>
      </c>
      <c r="F218" s="11" t="str">
        <f aca="false">IF($K218="","",IF(INDEX('Prospect Tracker'!$J$5:$J$554,$K218)="","",INDEX('Prospect Tracker'!$J$5:$J$554,$K218)))</f>
        <v/>
      </c>
      <c r="G218" s="11" t="str">
        <f aca="false">IF($K218="","",IF(INDEX('Prospect Tracker'!$H$5:$H$554,$K218)="","",INDEX('Prospect Tracker'!$H$5:$H$554,$K218)))</f>
        <v/>
      </c>
      <c r="H218" s="12" t="str">
        <f aca="false">IF($K218="","",IF(INDEX('Prospect Tracker'!$K$5:$K$554,$K218)="","",INDEX('Prospect Tracker'!$K$5:$K$554,$K218)))</f>
        <v/>
      </c>
      <c r="I218" s="11" t="str">
        <f aca="false">IF($K218="","",IF(INDEX('Prospect Tracker'!$T$5:$T$554,$K218)="","",INDEX('Prospect Tracker'!$T$5:$T$554,$K218)))</f>
        <v/>
      </c>
      <c r="J218" s="11" t="str">
        <f aca="false">IF($K218="","",IF(INDEX('Prospect Tracker'!$L$5:$L$554,$K218)="","",INDEX('Prospect Tracker'!$L$5:$L$554,$K218)))</f>
        <v/>
      </c>
      <c r="K218" s="1" t="n">
        <f aca="false">IFERROR(MATCH(SMALL('Prospect Tracker'!$X$5:$X$554,ROW()-4),'Prospect Tracker'!$X$5:$X$554,0),"")</f>
        <v>214</v>
      </c>
    </row>
    <row r="219" customFormat="false" ht="15" hidden="false" customHeight="true" outlineLevel="0" collapsed="false">
      <c r="A219" s="6" t="str">
        <f aca="false">IF($K219="","",IF(INDEX('Prospect Tracker'!$W$5:$W$554,$K219)="","",INDEX('Prospect Tracker'!$W$5:$W$554,$K219)))</f>
        <v/>
      </c>
      <c r="B219" s="6" t="str">
        <f aca="false">IF($K219="","",IF(INDEX('Prospect Tracker'!$A$5:$A$554,$K219)="","",INDEX('Prospect Tracker'!$A$5:$A$554,$K219)))</f>
        <v/>
      </c>
      <c r="C219" s="6" t="str">
        <f aca="false">IF($K219="","",IF(INDEX('Prospect Tracker'!$B$5:$B$554,$K219)="","",INDEX('Prospect Tracker'!$B$5:$B$554,$K219)))</f>
        <v/>
      </c>
      <c r="D219" s="6" t="str">
        <f aca="false">IF($K219="","",IF(INDEX('Prospect Tracker'!$M$5:$M$554,$K219)="","",INDEX('Prospect Tracker'!$M$5:$M$554,$K219)))</f>
        <v/>
      </c>
      <c r="E219" s="6" t="str">
        <f aca="false">IF($K219="","",IF(INDEX('Prospect Tracker'!$R$5:$R$554,$K219)="","",INDEX('Prospect Tracker'!$R$5:$R$554,$K219)))</f>
        <v/>
      </c>
      <c r="F219" s="6" t="str">
        <f aca="false">IF($K219="","",IF(INDEX('Prospect Tracker'!$J$5:$J$554,$K219)="","",INDEX('Prospect Tracker'!$J$5:$J$554,$K219)))</f>
        <v/>
      </c>
      <c r="G219" s="6" t="str">
        <f aca="false">IF($K219="","",IF(INDEX('Prospect Tracker'!$H$5:$H$554,$K219)="","",INDEX('Prospect Tracker'!$H$5:$H$554,$K219)))</f>
        <v/>
      </c>
      <c r="H219" s="7" t="str">
        <f aca="false">IF($K219="","",IF(INDEX('Prospect Tracker'!$K$5:$K$554,$K219)="","",INDEX('Prospect Tracker'!$K$5:$K$554,$K219)))</f>
        <v/>
      </c>
      <c r="I219" s="6" t="str">
        <f aca="false">IF($K219="","",IF(INDEX('Prospect Tracker'!$T$5:$T$554,$K219)="","",INDEX('Prospect Tracker'!$T$5:$T$554,$K219)))</f>
        <v/>
      </c>
      <c r="J219" s="6" t="str">
        <f aca="false">IF($K219="","",IF(INDEX('Prospect Tracker'!$L$5:$L$554,$K219)="","",INDEX('Prospect Tracker'!$L$5:$L$554,$K219)))</f>
        <v/>
      </c>
      <c r="K219" s="1" t="n">
        <f aca="false">IFERROR(MATCH(SMALL('Prospect Tracker'!$X$5:$X$554,ROW()-4),'Prospect Tracker'!$X$5:$X$554,0),"")</f>
        <v>215</v>
      </c>
    </row>
    <row r="220" customFormat="false" ht="15" hidden="false" customHeight="true" outlineLevel="0" collapsed="false">
      <c r="A220" s="11" t="str">
        <f aca="false">IF($K220="","",IF(INDEX('Prospect Tracker'!$W$5:$W$554,$K220)="","",INDEX('Prospect Tracker'!$W$5:$W$554,$K220)))</f>
        <v/>
      </c>
      <c r="B220" s="11" t="str">
        <f aca="false">IF($K220="","",IF(INDEX('Prospect Tracker'!$A$5:$A$554,$K220)="","",INDEX('Prospect Tracker'!$A$5:$A$554,$K220)))</f>
        <v/>
      </c>
      <c r="C220" s="11" t="str">
        <f aca="false">IF($K220="","",IF(INDEX('Prospect Tracker'!$B$5:$B$554,$K220)="","",INDEX('Prospect Tracker'!$B$5:$B$554,$K220)))</f>
        <v/>
      </c>
      <c r="D220" s="11" t="str">
        <f aca="false">IF($K220="","",IF(INDEX('Prospect Tracker'!$M$5:$M$554,$K220)="","",INDEX('Prospect Tracker'!$M$5:$M$554,$K220)))</f>
        <v/>
      </c>
      <c r="E220" s="11" t="str">
        <f aca="false">IF($K220="","",IF(INDEX('Prospect Tracker'!$R$5:$R$554,$K220)="","",INDEX('Prospect Tracker'!$R$5:$R$554,$K220)))</f>
        <v/>
      </c>
      <c r="F220" s="11" t="str">
        <f aca="false">IF($K220="","",IF(INDEX('Prospect Tracker'!$J$5:$J$554,$K220)="","",INDEX('Prospect Tracker'!$J$5:$J$554,$K220)))</f>
        <v/>
      </c>
      <c r="G220" s="11" t="str">
        <f aca="false">IF($K220="","",IF(INDEX('Prospect Tracker'!$H$5:$H$554,$K220)="","",INDEX('Prospect Tracker'!$H$5:$H$554,$K220)))</f>
        <v/>
      </c>
      <c r="H220" s="12" t="str">
        <f aca="false">IF($K220="","",IF(INDEX('Prospect Tracker'!$K$5:$K$554,$K220)="","",INDEX('Prospect Tracker'!$K$5:$K$554,$K220)))</f>
        <v/>
      </c>
      <c r="I220" s="11" t="str">
        <f aca="false">IF($K220="","",IF(INDEX('Prospect Tracker'!$T$5:$T$554,$K220)="","",INDEX('Prospect Tracker'!$T$5:$T$554,$K220)))</f>
        <v/>
      </c>
      <c r="J220" s="11" t="str">
        <f aca="false">IF($K220="","",IF(INDEX('Prospect Tracker'!$L$5:$L$554,$K220)="","",INDEX('Prospect Tracker'!$L$5:$L$554,$K220)))</f>
        <v/>
      </c>
      <c r="K220" s="1" t="n">
        <f aca="false">IFERROR(MATCH(SMALL('Prospect Tracker'!$X$5:$X$554,ROW()-4),'Prospect Tracker'!$X$5:$X$554,0),"")</f>
        <v>216</v>
      </c>
    </row>
    <row r="221" customFormat="false" ht="15" hidden="false" customHeight="true" outlineLevel="0" collapsed="false">
      <c r="A221" s="6" t="str">
        <f aca="false">IF($K221="","",IF(INDEX('Prospect Tracker'!$W$5:$W$554,$K221)="","",INDEX('Prospect Tracker'!$W$5:$W$554,$K221)))</f>
        <v/>
      </c>
      <c r="B221" s="6" t="str">
        <f aca="false">IF($K221="","",IF(INDEX('Prospect Tracker'!$A$5:$A$554,$K221)="","",INDEX('Prospect Tracker'!$A$5:$A$554,$K221)))</f>
        <v/>
      </c>
      <c r="C221" s="6" t="str">
        <f aca="false">IF($K221="","",IF(INDEX('Prospect Tracker'!$B$5:$B$554,$K221)="","",INDEX('Prospect Tracker'!$B$5:$B$554,$K221)))</f>
        <v/>
      </c>
      <c r="D221" s="6" t="str">
        <f aca="false">IF($K221="","",IF(INDEX('Prospect Tracker'!$M$5:$M$554,$K221)="","",INDEX('Prospect Tracker'!$M$5:$M$554,$K221)))</f>
        <v/>
      </c>
      <c r="E221" s="6" t="str">
        <f aca="false">IF($K221="","",IF(INDEX('Prospect Tracker'!$R$5:$R$554,$K221)="","",INDEX('Prospect Tracker'!$R$5:$R$554,$K221)))</f>
        <v/>
      </c>
      <c r="F221" s="6" t="str">
        <f aca="false">IF($K221="","",IF(INDEX('Prospect Tracker'!$J$5:$J$554,$K221)="","",INDEX('Prospect Tracker'!$J$5:$J$554,$K221)))</f>
        <v/>
      </c>
      <c r="G221" s="6" t="str">
        <f aca="false">IF($K221="","",IF(INDEX('Prospect Tracker'!$H$5:$H$554,$K221)="","",INDEX('Prospect Tracker'!$H$5:$H$554,$K221)))</f>
        <v/>
      </c>
      <c r="H221" s="7" t="str">
        <f aca="false">IF($K221="","",IF(INDEX('Prospect Tracker'!$K$5:$K$554,$K221)="","",INDEX('Prospect Tracker'!$K$5:$K$554,$K221)))</f>
        <v/>
      </c>
      <c r="I221" s="6" t="str">
        <f aca="false">IF($K221="","",IF(INDEX('Prospect Tracker'!$T$5:$T$554,$K221)="","",INDEX('Prospect Tracker'!$T$5:$T$554,$K221)))</f>
        <v/>
      </c>
      <c r="J221" s="6" t="str">
        <f aca="false">IF($K221="","",IF(INDEX('Prospect Tracker'!$L$5:$L$554,$K221)="","",INDEX('Prospect Tracker'!$L$5:$L$554,$K221)))</f>
        <v/>
      </c>
      <c r="K221" s="1" t="n">
        <f aca="false">IFERROR(MATCH(SMALL('Prospect Tracker'!$X$5:$X$554,ROW()-4),'Prospect Tracker'!$X$5:$X$554,0),"")</f>
        <v>217</v>
      </c>
    </row>
    <row r="222" customFormat="false" ht="15" hidden="false" customHeight="true" outlineLevel="0" collapsed="false">
      <c r="A222" s="11" t="str">
        <f aca="false">IF($K222="","",IF(INDEX('Prospect Tracker'!$W$5:$W$554,$K222)="","",INDEX('Prospect Tracker'!$W$5:$W$554,$K222)))</f>
        <v/>
      </c>
      <c r="B222" s="11" t="str">
        <f aca="false">IF($K222="","",IF(INDEX('Prospect Tracker'!$A$5:$A$554,$K222)="","",INDEX('Prospect Tracker'!$A$5:$A$554,$K222)))</f>
        <v/>
      </c>
      <c r="C222" s="11" t="str">
        <f aca="false">IF($K222="","",IF(INDEX('Prospect Tracker'!$B$5:$B$554,$K222)="","",INDEX('Prospect Tracker'!$B$5:$B$554,$K222)))</f>
        <v/>
      </c>
      <c r="D222" s="11" t="str">
        <f aca="false">IF($K222="","",IF(INDEX('Prospect Tracker'!$M$5:$M$554,$K222)="","",INDEX('Prospect Tracker'!$M$5:$M$554,$K222)))</f>
        <v/>
      </c>
      <c r="E222" s="11" t="str">
        <f aca="false">IF($K222="","",IF(INDEX('Prospect Tracker'!$R$5:$R$554,$K222)="","",INDEX('Prospect Tracker'!$R$5:$R$554,$K222)))</f>
        <v/>
      </c>
      <c r="F222" s="11" t="str">
        <f aca="false">IF($K222="","",IF(INDEX('Prospect Tracker'!$J$5:$J$554,$K222)="","",INDEX('Prospect Tracker'!$J$5:$J$554,$K222)))</f>
        <v/>
      </c>
      <c r="G222" s="11" t="str">
        <f aca="false">IF($K222="","",IF(INDEX('Prospect Tracker'!$H$5:$H$554,$K222)="","",INDEX('Prospect Tracker'!$H$5:$H$554,$K222)))</f>
        <v/>
      </c>
      <c r="H222" s="12" t="str">
        <f aca="false">IF($K222="","",IF(INDEX('Prospect Tracker'!$K$5:$K$554,$K222)="","",INDEX('Prospect Tracker'!$K$5:$K$554,$K222)))</f>
        <v/>
      </c>
      <c r="I222" s="11" t="str">
        <f aca="false">IF($K222="","",IF(INDEX('Prospect Tracker'!$T$5:$T$554,$K222)="","",INDEX('Prospect Tracker'!$T$5:$T$554,$K222)))</f>
        <v/>
      </c>
      <c r="J222" s="11" t="str">
        <f aca="false">IF($K222="","",IF(INDEX('Prospect Tracker'!$L$5:$L$554,$K222)="","",INDEX('Prospect Tracker'!$L$5:$L$554,$K222)))</f>
        <v/>
      </c>
      <c r="K222" s="1" t="n">
        <f aca="false">IFERROR(MATCH(SMALL('Prospect Tracker'!$X$5:$X$554,ROW()-4),'Prospect Tracker'!$X$5:$X$554,0),"")</f>
        <v>218</v>
      </c>
    </row>
    <row r="223" customFormat="false" ht="15" hidden="false" customHeight="true" outlineLevel="0" collapsed="false">
      <c r="A223" s="6" t="str">
        <f aca="false">IF($K223="","",IF(INDEX('Prospect Tracker'!$W$5:$W$554,$K223)="","",INDEX('Prospect Tracker'!$W$5:$W$554,$K223)))</f>
        <v/>
      </c>
      <c r="B223" s="6" t="str">
        <f aca="false">IF($K223="","",IF(INDEX('Prospect Tracker'!$A$5:$A$554,$K223)="","",INDEX('Prospect Tracker'!$A$5:$A$554,$K223)))</f>
        <v/>
      </c>
      <c r="C223" s="6" t="str">
        <f aca="false">IF($K223="","",IF(INDEX('Prospect Tracker'!$B$5:$B$554,$K223)="","",INDEX('Prospect Tracker'!$B$5:$B$554,$K223)))</f>
        <v/>
      </c>
      <c r="D223" s="6" t="str">
        <f aca="false">IF($K223="","",IF(INDEX('Prospect Tracker'!$M$5:$M$554,$K223)="","",INDEX('Prospect Tracker'!$M$5:$M$554,$K223)))</f>
        <v/>
      </c>
      <c r="E223" s="6" t="str">
        <f aca="false">IF($K223="","",IF(INDEX('Prospect Tracker'!$R$5:$R$554,$K223)="","",INDEX('Prospect Tracker'!$R$5:$R$554,$K223)))</f>
        <v/>
      </c>
      <c r="F223" s="6" t="str">
        <f aca="false">IF($K223="","",IF(INDEX('Prospect Tracker'!$J$5:$J$554,$K223)="","",INDEX('Prospect Tracker'!$J$5:$J$554,$K223)))</f>
        <v/>
      </c>
      <c r="G223" s="6" t="str">
        <f aca="false">IF($K223="","",IF(INDEX('Prospect Tracker'!$H$5:$H$554,$K223)="","",INDEX('Prospect Tracker'!$H$5:$H$554,$K223)))</f>
        <v/>
      </c>
      <c r="H223" s="7" t="str">
        <f aca="false">IF($K223="","",IF(INDEX('Prospect Tracker'!$K$5:$K$554,$K223)="","",INDEX('Prospect Tracker'!$K$5:$K$554,$K223)))</f>
        <v/>
      </c>
      <c r="I223" s="6" t="str">
        <f aca="false">IF($K223="","",IF(INDEX('Prospect Tracker'!$T$5:$T$554,$K223)="","",INDEX('Prospect Tracker'!$T$5:$T$554,$K223)))</f>
        <v/>
      </c>
      <c r="J223" s="6" t="str">
        <f aca="false">IF($K223="","",IF(INDEX('Prospect Tracker'!$L$5:$L$554,$K223)="","",INDEX('Prospect Tracker'!$L$5:$L$554,$K223)))</f>
        <v/>
      </c>
      <c r="K223" s="1" t="n">
        <f aca="false">IFERROR(MATCH(SMALL('Prospect Tracker'!$X$5:$X$554,ROW()-4),'Prospect Tracker'!$X$5:$X$554,0),"")</f>
        <v>219</v>
      </c>
    </row>
    <row r="224" customFormat="false" ht="15" hidden="false" customHeight="true" outlineLevel="0" collapsed="false">
      <c r="A224" s="11" t="str">
        <f aca="false">IF($K224="","",IF(INDEX('Prospect Tracker'!$W$5:$W$554,$K224)="","",INDEX('Prospect Tracker'!$W$5:$W$554,$K224)))</f>
        <v/>
      </c>
      <c r="B224" s="11" t="str">
        <f aca="false">IF($K224="","",IF(INDEX('Prospect Tracker'!$A$5:$A$554,$K224)="","",INDEX('Prospect Tracker'!$A$5:$A$554,$K224)))</f>
        <v/>
      </c>
      <c r="C224" s="11" t="str">
        <f aca="false">IF($K224="","",IF(INDEX('Prospect Tracker'!$B$5:$B$554,$K224)="","",INDEX('Prospect Tracker'!$B$5:$B$554,$K224)))</f>
        <v/>
      </c>
      <c r="D224" s="11" t="str">
        <f aca="false">IF($K224="","",IF(INDEX('Prospect Tracker'!$M$5:$M$554,$K224)="","",INDEX('Prospect Tracker'!$M$5:$M$554,$K224)))</f>
        <v/>
      </c>
      <c r="E224" s="11" t="str">
        <f aca="false">IF($K224="","",IF(INDEX('Prospect Tracker'!$R$5:$R$554,$K224)="","",INDEX('Prospect Tracker'!$R$5:$R$554,$K224)))</f>
        <v/>
      </c>
      <c r="F224" s="11" t="str">
        <f aca="false">IF($K224="","",IF(INDEX('Prospect Tracker'!$J$5:$J$554,$K224)="","",INDEX('Prospect Tracker'!$J$5:$J$554,$K224)))</f>
        <v/>
      </c>
      <c r="G224" s="11" t="str">
        <f aca="false">IF($K224="","",IF(INDEX('Prospect Tracker'!$H$5:$H$554,$K224)="","",INDEX('Prospect Tracker'!$H$5:$H$554,$K224)))</f>
        <v/>
      </c>
      <c r="H224" s="12" t="str">
        <f aca="false">IF($K224="","",IF(INDEX('Prospect Tracker'!$K$5:$K$554,$K224)="","",INDEX('Prospect Tracker'!$K$5:$K$554,$K224)))</f>
        <v/>
      </c>
      <c r="I224" s="11" t="str">
        <f aca="false">IF($K224="","",IF(INDEX('Prospect Tracker'!$T$5:$T$554,$K224)="","",INDEX('Prospect Tracker'!$T$5:$T$554,$K224)))</f>
        <v/>
      </c>
      <c r="J224" s="11" t="str">
        <f aca="false">IF($K224="","",IF(INDEX('Prospect Tracker'!$L$5:$L$554,$K224)="","",INDEX('Prospect Tracker'!$L$5:$L$554,$K224)))</f>
        <v/>
      </c>
      <c r="K224" s="1" t="n">
        <f aca="false">IFERROR(MATCH(SMALL('Prospect Tracker'!$X$5:$X$554,ROW()-4),'Prospect Tracker'!$X$5:$X$554,0),"")</f>
        <v>220</v>
      </c>
    </row>
    <row r="225" customFormat="false" ht="15" hidden="false" customHeight="true" outlineLevel="0" collapsed="false">
      <c r="A225" s="6" t="str">
        <f aca="false">IF($K225="","",IF(INDEX('Prospect Tracker'!$W$5:$W$554,$K225)="","",INDEX('Prospect Tracker'!$W$5:$W$554,$K225)))</f>
        <v/>
      </c>
      <c r="B225" s="6" t="str">
        <f aca="false">IF($K225="","",IF(INDEX('Prospect Tracker'!$A$5:$A$554,$K225)="","",INDEX('Prospect Tracker'!$A$5:$A$554,$K225)))</f>
        <v/>
      </c>
      <c r="C225" s="6" t="str">
        <f aca="false">IF($K225="","",IF(INDEX('Prospect Tracker'!$B$5:$B$554,$K225)="","",INDEX('Prospect Tracker'!$B$5:$B$554,$K225)))</f>
        <v/>
      </c>
      <c r="D225" s="6" t="str">
        <f aca="false">IF($K225="","",IF(INDEX('Prospect Tracker'!$M$5:$M$554,$K225)="","",INDEX('Prospect Tracker'!$M$5:$M$554,$K225)))</f>
        <v/>
      </c>
      <c r="E225" s="6" t="str">
        <f aca="false">IF($K225="","",IF(INDEX('Prospect Tracker'!$R$5:$R$554,$K225)="","",INDEX('Prospect Tracker'!$R$5:$R$554,$K225)))</f>
        <v/>
      </c>
      <c r="F225" s="6" t="str">
        <f aca="false">IF($K225="","",IF(INDEX('Prospect Tracker'!$J$5:$J$554,$K225)="","",INDEX('Prospect Tracker'!$J$5:$J$554,$K225)))</f>
        <v/>
      </c>
      <c r="G225" s="6" t="str">
        <f aca="false">IF($K225="","",IF(INDEX('Prospect Tracker'!$H$5:$H$554,$K225)="","",INDEX('Prospect Tracker'!$H$5:$H$554,$K225)))</f>
        <v/>
      </c>
      <c r="H225" s="7" t="str">
        <f aca="false">IF($K225="","",IF(INDEX('Prospect Tracker'!$K$5:$K$554,$K225)="","",INDEX('Prospect Tracker'!$K$5:$K$554,$K225)))</f>
        <v/>
      </c>
      <c r="I225" s="6" t="str">
        <f aca="false">IF($K225="","",IF(INDEX('Prospect Tracker'!$T$5:$T$554,$K225)="","",INDEX('Prospect Tracker'!$T$5:$T$554,$K225)))</f>
        <v/>
      </c>
      <c r="J225" s="6" t="str">
        <f aca="false">IF($K225="","",IF(INDEX('Prospect Tracker'!$L$5:$L$554,$K225)="","",INDEX('Prospect Tracker'!$L$5:$L$554,$K225)))</f>
        <v/>
      </c>
      <c r="K225" s="1" t="n">
        <f aca="false">IFERROR(MATCH(SMALL('Prospect Tracker'!$X$5:$X$554,ROW()-4),'Prospect Tracker'!$X$5:$X$554,0),"")</f>
        <v>221</v>
      </c>
    </row>
    <row r="226" customFormat="false" ht="15" hidden="false" customHeight="true" outlineLevel="0" collapsed="false">
      <c r="A226" s="11" t="str">
        <f aca="false">IF($K226="","",IF(INDEX('Prospect Tracker'!$W$5:$W$554,$K226)="","",INDEX('Prospect Tracker'!$W$5:$W$554,$K226)))</f>
        <v/>
      </c>
      <c r="B226" s="11" t="str">
        <f aca="false">IF($K226="","",IF(INDEX('Prospect Tracker'!$A$5:$A$554,$K226)="","",INDEX('Prospect Tracker'!$A$5:$A$554,$K226)))</f>
        <v/>
      </c>
      <c r="C226" s="11" t="str">
        <f aca="false">IF($K226="","",IF(INDEX('Prospect Tracker'!$B$5:$B$554,$K226)="","",INDEX('Prospect Tracker'!$B$5:$B$554,$K226)))</f>
        <v/>
      </c>
      <c r="D226" s="11" t="str">
        <f aca="false">IF($K226="","",IF(INDEX('Prospect Tracker'!$M$5:$M$554,$K226)="","",INDEX('Prospect Tracker'!$M$5:$M$554,$K226)))</f>
        <v/>
      </c>
      <c r="E226" s="11" t="str">
        <f aca="false">IF($K226="","",IF(INDEX('Prospect Tracker'!$R$5:$R$554,$K226)="","",INDEX('Prospect Tracker'!$R$5:$R$554,$K226)))</f>
        <v/>
      </c>
      <c r="F226" s="11" t="str">
        <f aca="false">IF($K226="","",IF(INDEX('Prospect Tracker'!$J$5:$J$554,$K226)="","",INDEX('Prospect Tracker'!$J$5:$J$554,$K226)))</f>
        <v/>
      </c>
      <c r="G226" s="11" t="str">
        <f aca="false">IF($K226="","",IF(INDEX('Prospect Tracker'!$H$5:$H$554,$K226)="","",INDEX('Prospect Tracker'!$H$5:$H$554,$K226)))</f>
        <v/>
      </c>
      <c r="H226" s="12" t="str">
        <f aca="false">IF($K226="","",IF(INDEX('Prospect Tracker'!$K$5:$K$554,$K226)="","",INDEX('Prospect Tracker'!$K$5:$K$554,$K226)))</f>
        <v/>
      </c>
      <c r="I226" s="11" t="str">
        <f aca="false">IF($K226="","",IF(INDEX('Prospect Tracker'!$T$5:$T$554,$K226)="","",INDEX('Prospect Tracker'!$T$5:$T$554,$K226)))</f>
        <v/>
      </c>
      <c r="J226" s="11" t="str">
        <f aca="false">IF($K226="","",IF(INDEX('Prospect Tracker'!$L$5:$L$554,$K226)="","",INDEX('Prospect Tracker'!$L$5:$L$554,$K226)))</f>
        <v/>
      </c>
      <c r="K226" s="1" t="n">
        <f aca="false">IFERROR(MATCH(SMALL('Prospect Tracker'!$X$5:$X$554,ROW()-4),'Prospect Tracker'!$X$5:$X$554,0),"")</f>
        <v>222</v>
      </c>
    </row>
    <row r="227" customFormat="false" ht="15" hidden="false" customHeight="true" outlineLevel="0" collapsed="false">
      <c r="A227" s="6" t="str">
        <f aca="false">IF($K227="","",IF(INDEX('Prospect Tracker'!$W$5:$W$554,$K227)="","",INDEX('Prospect Tracker'!$W$5:$W$554,$K227)))</f>
        <v/>
      </c>
      <c r="B227" s="6" t="str">
        <f aca="false">IF($K227="","",IF(INDEX('Prospect Tracker'!$A$5:$A$554,$K227)="","",INDEX('Prospect Tracker'!$A$5:$A$554,$K227)))</f>
        <v/>
      </c>
      <c r="C227" s="6" t="str">
        <f aca="false">IF($K227="","",IF(INDEX('Prospect Tracker'!$B$5:$B$554,$K227)="","",INDEX('Prospect Tracker'!$B$5:$B$554,$K227)))</f>
        <v/>
      </c>
      <c r="D227" s="6" t="str">
        <f aca="false">IF($K227="","",IF(INDEX('Prospect Tracker'!$M$5:$M$554,$K227)="","",INDEX('Prospect Tracker'!$M$5:$M$554,$K227)))</f>
        <v/>
      </c>
      <c r="E227" s="6" t="str">
        <f aca="false">IF($K227="","",IF(INDEX('Prospect Tracker'!$R$5:$R$554,$K227)="","",INDEX('Prospect Tracker'!$R$5:$R$554,$K227)))</f>
        <v/>
      </c>
      <c r="F227" s="6" t="str">
        <f aca="false">IF($K227="","",IF(INDEX('Prospect Tracker'!$J$5:$J$554,$K227)="","",INDEX('Prospect Tracker'!$J$5:$J$554,$K227)))</f>
        <v/>
      </c>
      <c r="G227" s="6" t="str">
        <f aca="false">IF($K227="","",IF(INDEX('Prospect Tracker'!$H$5:$H$554,$K227)="","",INDEX('Prospect Tracker'!$H$5:$H$554,$K227)))</f>
        <v/>
      </c>
      <c r="H227" s="7" t="str">
        <f aca="false">IF($K227="","",IF(INDEX('Prospect Tracker'!$K$5:$K$554,$K227)="","",INDEX('Prospect Tracker'!$K$5:$K$554,$K227)))</f>
        <v/>
      </c>
      <c r="I227" s="6" t="str">
        <f aca="false">IF($K227="","",IF(INDEX('Prospect Tracker'!$T$5:$T$554,$K227)="","",INDEX('Prospect Tracker'!$T$5:$T$554,$K227)))</f>
        <v/>
      </c>
      <c r="J227" s="6" t="str">
        <f aca="false">IF($K227="","",IF(INDEX('Prospect Tracker'!$L$5:$L$554,$K227)="","",INDEX('Prospect Tracker'!$L$5:$L$554,$K227)))</f>
        <v/>
      </c>
      <c r="K227" s="1" t="n">
        <f aca="false">IFERROR(MATCH(SMALL('Prospect Tracker'!$X$5:$X$554,ROW()-4),'Prospect Tracker'!$X$5:$X$554,0),"")</f>
        <v>223</v>
      </c>
    </row>
    <row r="228" customFormat="false" ht="15" hidden="false" customHeight="true" outlineLevel="0" collapsed="false">
      <c r="A228" s="11" t="str">
        <f aca="false">IF($K228="","",IF(INDEX('Prospect Tracker'!$W$5:$W$554,$K228)="","",INDEX('Prospect Tracker'!$W$5:$W$554,$K228)))</f>
        <v/>
      </c>
      <c r="B228" s="11" t="str">
        <f aca="false">IF($K228="","",IF(INDEX('Prospect Tracker'!$A$5:$A$554,$K228)="","",INDEX('Prospect Tracker'!$A$5:$A$554,$K228)))</f>
        <v/>
      </c>
      <c r="C228" s="11" t="str">
        <f aca="false">IF($K228="","",IF(INDEX('Prospect Tracker'!$B$5:$B$554,$K228)="","",INDEX('Prospect Tracker'!$B$5:$B$554,$K228)))</f>
        <v/>
      </c>
      <c r="D228" s="11" t="str">
        <f aca="false">IF($K228="","",IF(INDEX('Prospect Tracker'!$M$5:$M$554,$K228)="","",INDEX('Prospect Tracker'!$M$5:$M$554,$K228)))</f>
        <v/>
      </c>
      <c r="E228" s="11" t="str">
        <f aca="false">IF($K228="","",IF(INDEX('Prospect Tracker'!$R$5:$R$554,$K228)="","",INDEX('Prospect Tracker'!$R$5:$R$554,$K228)))</f>
        <v/>
      </c>
      <c r="F228" s="11" t="str">
        <f aca="false">IF($K228="","",IF(INDEX('Prospect Tracker'!$J$5:$J$554,$K228)="","",INDEX('Prospect Tracker'!$J$5:$J$554,$K228)))</f>
        <v/>
      </c>
      <c r="G228" s="11" t="str">
        <f aca="false">IF($K228="","",IF(INDEX('Prospect Tracker'!$H$5:$H$554,$K228)="","",INDEX('Prospect Tracker'!$H$5:$H$554,$K228)))</f>
        <v/>
      </c>
      <c r="H228" s="12" t="str">
        <f aca="false">IF($K228="","",IF(INDEX('Prospect Tracker'!$K$5:$K$554,$K228)="","",INDEX('Prospect Tracker'!$K$5:$K$554,$K228)))</f>
        <v/>
      </c>
      <c r="I228" s="11" t="str">
        <f aca="false">IF($K228="","",IF(INDEX('Prospect Tracker'!$T$5:$T$554,$K228)="","",INDEX('Prospect Tracker'!$T$5:$T$554,$K228)))</f>
        <v/>
      </c>
      <c r="J228" s="11" t="str">
        <f aca="false">IF($K228="","",IF(INDEX('Prospect Tracker'!$L$5:$L$554,$K228)="","",INDEX('Prospect Tracker'!$L$5:$L$554,$K228)))</f>
        <v/>
      </c>
      <c r="K228" s="1" t="n">
        <f aca="false">IFERROR(MATCH(SMALL('Prospect Tracker'!$X$5:$X$554,ROW()-4),'Prospect Tracker'!$X$5:$X$554,0),"")</f>
        <v>224</v>
      </c>
    </row>
    <row r="229" customFormat="false" ht="15" hidden="false" customHeight="true" outlineLevel="0" collapsed="false">
      <c r="A229" s="6" t="str">
        <f aca="false">IF($K229="","",IF(INDEX('Prospect Tracker'!$W$5:$W$554,$K229)="","",INDEX('Prospect Tracker'!$W$5:$W$554,$K229)))</f>
        <v/>
      </c>
      <c r="B229" s="6" t="str">
        <f aca="false">IF($K229="","",IF(INDEX('Prospect Tracker'!$A$5:$A$554,$K229)="","",INDEX('Prospect Tracker'!$A$5:$A$554,$K229)))</f>
        <v/>
      </c>
      <c r="C229" s="6" t="str">
        <f aca="false">IF($K229="","",IF(INDEX('Prospect Tracker'!$B$5:$B$554,$K229)="","",INDEX('Prospect Tracker'!$B$5:$B$554,$K229)))</f>
        <v/>
      </c>
      <c r="D229" s="6" t="str">
        <f aca="false">IF($K229="","",IF(INDEX('Prospect Tracker'!$M$5:$M$554,$K229)="","",INDEX('Prospect Tracker'!$M$5:$M$554,$K229)))</f>
        <v/>
      </c>
      <c r="E229" s="6" t="str">
        <f aca="false">IF($K229="","",IF(INDEX('Prospect Tracker'!$R$5:$R$554,$K229)="","",INDEX('Prospect Tracker'!$R$5:$R$554,$K229)))</f>
        <v/>
      </c>
      <c r="F229" s="6" t="str">
        <f aca="false">IF($K229="","",IF(INDEX('Prospect Tracker'!$J$5:$J$554,$K229)="","",INDEX('Prospect Tracker'!$J$5:$J$554,$K229)))</f>
        <v/>
      </c>
      <c r="G229" s="6" t="str">
        <f aca="false">IF($K229="","",IF(INDEX('Prospect Tracker'!$H$5:$H$554,$K229)="","",INDEX('Prospect Tracker'!$H$5:$H$554,$K229)))</f>
        <v/>
      </c>
      <c r="H229" s="7" t="str">
        <f aca="false">IF($K229="","",IF(INDEX('Prospect Tracker'!$K$5:$K$554,$K229)="","",INDEX('Prospect Tracker'!$K$5:$K$554,$K229)))</f>
        <v/>
      </c>
      <c r="I229" s="6" t="str">
        <f aca="false">IF($K229="","",IF(INDEX('Prospect Tracker'!$T$5:$T$554,$K229)="","",INDEX('Prospect Tracker'!$T$5:$T$554,$K229)))</f>
        <v/>
      </c>
      <c r="J229" s="6" t="str">
        <f aca="false">IF($K229="","",IF(INDEX('Prospect Tracker'!$L$5:$L$554,$K229)="","",INDEX('Prospect Tracker'!$L$5:$L$554,$K229)))</f>
        <v/>
      </c>
      <c r="K229" s="1" t="n">
        <f aca="false">IFERROR(MATCH(SMALL('Prospect Tracker'!$X$5:$X$554,ROW()-4),'Prospect Tracker'!$X$5:$X$554,0),"")</f>
        <v>225</v>
      </c>
    </row>
    <row r="230" customFormat="false" ht="15" hidden="false" customHeight="true" outlineLevel="0" collapsed="false">
      <c r="A230" s="11" t="str">
        <f aca="false">IF($K230="","",IF(INDEX('Prospect Tracker'!$W$5:$W$554,$K230)="","",INDEX('Prospect Tracker'!$W$5:$W$554,$K230)))</f>
        <v/>
      </c>
      <c r="B230" s="11" t="str">
        <f aca="false">IF($K230="","",IF(INDEX('Prospect Tracker'!$A$5:$A$554,$K230)="","",INDEX('Prospect Tracker'!$A$5:$A$554,$K230)))</f>
        <v/>
      </c>
      <c r="C230" s="11" t="str">
        <f aca="false">IF($K230="","",IF(INDEX('Prospect Tracker'!$B$5:$B$554,$K230)="","",INDEX('Prospect Tracker'!$B$5:$B$554,$K230)))</f>
        <v/>
      </c>
      <c r="D230" s="11" t="str">
        <f aca="false">IF($K230="","",IF(INDEX('Prospect Tracker'!$M$5:$M$554,$K230)="","",INDEX('Prospect Tracker'!$M$5:$M$554,$K230)))</f>
        <v/>
      </c>
      <c r="E230" s="11" t="str">
        <f aca="false">IF($K230="","",IF(INDEX('Prospect Tracker'!$R$5:$R$554,$K230)="","",INDEX('Prospect Tracker'!$R$5:$R$554,$K230)))</f>
        <v/>
      </c>
      <c r="F230" s="11" t="str">
        <f aca="false">IF($K230="","",IF(INDEX('Prospect Tracker'!$J$5:$J$554,$K230)="","",INDEX('Prospect Tracker'!$J$5:$J$554,$K230)))</f>
        <v/>
      </c>
      <c r="G230" s="11" t="str">
        <f aca="false">IF($K230="","",IF(INDEX('Prospect Tracker'!$H$5:$H$554,$K230)="","",INDEX('Prospect Tracker'!$H$5:$H$554,$K230)))</f>
        <v/>
      </c>
      <c r="H230" s="12" t="str">
        <f aca="false">IF($K230="","",IF(INDEX('Prospect Tracker'!$K$5:$K$554,$K230)="","",INDEX('Prospect Tracker'!$K$5:$K$554,$K230)))</f>
        <v/>
      </c>
      <c r="I230" s="11" t="str">
        <f aca="false">IF($K230="","",IF(INDEX('Prospect Tracker'!$T$5:$T$554,$K230)="","",INDEX('Prospect Tracker'!$T$5:$T$554,$K230)))</f>
        <v/>
      </c>
      <c r="J230" s="11" t="str">
        <f aca="false">IF($K230="","",IF(INDEX('Prospect Tracker'!$L$5:$L$554,$K230)="","",INDEX('Prospect Tracker'!$L$5:$L$554,$K230)))</f>
        <v/>
      </c>
      <c r="K230" s="1" t="n">
        <f aca="false">IFERROR(MATCH(SMALL('Prospect Tracker'!$X$5:$X$554,ROW()-4),'Prospect Tracker'!$X$5:$X$554,0),"")</f>
        <v>226</v>
      </c>
    </row>
    <row r="231" customFormat="false" ht="15" hidden="false" customHeight="true" outlineLevel="0" collapsed="false">
      <c r="A231" s="6" t="str">
        <f aca="false">IF($K231="","",IF(INDEX('Prospect Tracker'!$W$5:$W$554,$K231)="","",INDEX('Prospect Tracker'!$W$5:$W$554,$K231)))</f>
        <v/>
      </c>
      <c r="B231" s="6" t="str">
        <f aca="false">IF($K231="","",IF(INDEX('Prospect Tracker'!$A$5:$A$554,$K231)="","",INDEX('Prospect Tracker'!$A$5:$A$554,$K231)))</f>
        <v/>
      </c>
      <c r="C231" s="6" t="str">
        <f aca="false">IF($K231="","",IF(INDEX('Prospect Tracker'!$B$5:$B$554,$K231)="","",INDEX('Prospect Tracker'!$B$5:$B$554,$K231)))</f>
        <v/>
      </c>
      <c r="D231" s="6" t="str">
        <f aca="false">IF($K231="","",IF(INDEX('Prospect Tracker'!$M$5:$M$554,$K231)="","",INDEX('Prospect Tracker'!$M$5:$M$554,$K231)))</f>
        <v/>
      </c>
      <c r="E231" s="6" t="str">
        <f aca="false">IF($K231="","",IF(INDEX('Prospect Tracker'!$R$5:$R$554,$K231)="","",INDEX('Prospect Tracker'!$R$5:$R$554,$K231)))</f>
        <v/>
      </c>
      <c r="F231" s="6" t="str">
        <f aca="false">IF($K231="","",IF(INDEX('Prospect Tracker'!$J$5:$J$554,$K231)="","",INDEX('Prospect Tracker'!$J$5:$J$554,$K231)))</f>
        <v/>
      </c>
      <c r="G231" s="6" t="str">
        <f aca="false">IF($K231="","",IF(INDEX('Prospect Tracker'!$H$5:$H$554,$K231)="","",INDEX('Prospect Tracker'!$H$5:$H$554,$K231)))</f>
        <v/>
      </c>
      <c r="H231" s="7" t="str">
        <f aca="false">IF($K231="","",IF(INDEX('Prospect Tracker'!$K$5:$K$554,$K231)="","",INDEX('Prospect Tracker'!$K$5:$K$554,$K231)))</f>
        <v/>
      </c>
      <c r="I231" s="6" t="str">
        <f aca="false">IF($K231="","",IF(INDEX('Prospect Tracker'!$T$5:$T$554,$K231)="","",INDEX('Prospect Tracker'!$T$5:$T$554,$K231)))</f>
        <v/>
      </c>
      <c r="J231" s="6" t="str">
        <f aca="false">IF($K231="","",IF(INDEX('Prospect Tracker'!$L$5:$L$554,$K231)="","",INDEX('Prospect Tracker'!$L$5:$L$554,$K231)))</f>
        <v/>
      </c>
      <c r="K231" s="1" t="n">
        <f aca="false">IFERROR(MATCH(SMALL('Prospect Tracker'!$X$5:$X$554,ROW()-4),'Prospect Tracker'!$X$5:$X$554,0),"")</f>
        <v>227</v>
      </c>
    </row>
    <row r="232" customFormat="false" ht="15" hidden="false" customHeight="true" outlineLevel="0" collapsed="false">
      <c r="A232" s="11" t="str">
        <f aca="false">IF($K232="","",IF(INDEX('Prospect Tracker'!$W$5:$W$554,$K232)="","",INDEX('Prospect Tracker'!$W$5:$W$554,$K232)))</f>
        <v/>
      </c>
      <c r="B232" s="11" t="str">
        <f aca="false">IF($K232="","",IF(INDEX('Prospect Tracker'!$A$5:$A$554,$K232)="","",INDEX('Prospect Tracker'!$A$5:$A$554,$K232)))</f>
        <v/>
      </c>
      <c r="C232" s="11" t="str">
        <f aca="false">IF($K232="","",IF(INDEX('Prospect Tracker'!$B$5:$B$554,$K232)="","",INDEX('Prospect Tracker'!$B$5:$B$554,$K232)))</f>
        <v/>
      </c>
      <c r="D232" s="11" t="str">
        <f aca="false">IF($K232="","",IF(INDEX('Prospect Tracker'!$M$5:$M$554,$K232)="","",INDEX('Prospect Tracker'!$M$5:$M$554,$K232)))</f>
        <v/>
      </c>
      <c r="E232" s="11" t="str">
        <f aca="false">IF($K232="","",IF(INDEX('Prospect Tracker'!$R$5:$R$554,$K232)="","",INDEX('Prospect Tracker'!$R$5:$R$554,$K232)))</f>
        <v/>
      </c>
      <c r="F232" s="11" t="str">
        <f aca="false">IF($K232="","",IF(INDEX('Prospect Tracker'!$J$5:$J$554,$K232)="","",INDEX('Prospect Tracker'!$J$5:$J$554,$K232)))</f>
        <v/>
      </c>
      <c r="G232" s="11" t="str">
        <f aca="false">IF($K232="","",IF(INDEX('Prospect Tracker'!$H$5:$H$554,$K232)="","",INDEX('Prospect Tracker'!$H$5:$H$554,$K232)))</f>
        <v/>
      </c>
      <c r="H232" s="12" t="str">
        <f aca="false">IF($K232="","",IF(INDEX('Prospect Tracker'!$K$5:$K$554,$K232)="","",INDEX('Prospect Tracker'!$K$5:$K$554,$K232)))</f>
        <v/>
      </c>
      <c r="I232" s="11" t="str">
        <f aca="false">IF($K232="","",IF(INDEX('Prospect Tracker'!$T$5:$T$554,$K232)="","",INDEX('Prospect Tracker'!$T$5:$T$554,$K232)))</f>
        <v/>
      </c>
      <c r="J232" s="11" t="str">
        <f aca="false">IF($K232="","",IF(INDEX('Prospect Tracker'!$L$5:$L$554,$K232)="","",INDEX('Prospect Tracker'!$L$5:$L$554,$K232)))</f>
        <v/>
      </c>
      <c r="K232" s="1" t="n">
        <f aca="false">IFERROR(MATCH(SMALL('Prospect Tracker'!$X$5:$X$554,ROW()-4),'Prospect Tracker'!$X$5:$X$554,0),"")</f>
        <v>228</v>
      </c>
    </row>
    <row r="233" customFormat="false" ht="15" hidden="false" customHeight="true" outlineLevel="0" collapsed="false">
      <c r="A233" s="6" t="str">
        <f aca="false">IF($K233="","",IF(INDEX('Prospect Tracker'!$W$5:$W$554,$K233)="","",INDEX('Prospect Tracker'!$W$5:$W$554,$K233)))</f>
        <v/>
      </c>
      <c r="B233" s="6" t="str">
        <f aca="false">IF($K233="","",IF(INDEX('Prospect Tracker'!$A$5:$A$554,$K233)="","",INDEX('Prospect Tracker'!$A$5:$A$554,$K233)))</f>
        <v/>
      </c>
      <c r="C233" s="6" t="str">
        <f aca="false">IF($K233="","",IF(INDEX('Prospect Tracker'!$B$5:$B$554,$K233)="","",INDEX('Prospect Tracker'!$B$5:$B$554,$K233)))</f>
        <v/>
      </c>
      <c r="D233" s="6" t="str">
        <f aca="false">IF($K233="","",IF(INDEX('Prospect Tracker'!$M$5:$M$554,$K233)="","",INDEX('Prospect Tracker'!$M$5:$M$554,$K233)))</f>
        <v/>
      </c>
      <c r="E233" s="6" t="str">
        <f aca="false">IF($K233="","",IF(INDEX('Prospect Tracker'!$R$5:$R$554,$K233)="","",INDEX('Prospect Tracker'!$R$5:$R$554,$K233)))</f>
        <v/>
      </c>
      <c r="F233" s="6" t="str">
        <f aca="false">IF($K233="","",IF(INDEX('Prospect Tracker'!$J$5:$J$554,$K233)="","",INDEX('Prospect Tracker'!$J$5:$J$554,$K233)))</f>
        <v/>
      </c>
      <c r="G233" s="6" t="str">
        <f aca="false">IF($K233="","",IF(INDEX('Prospect Tracker'!$H$5:$H$554,$K233)="","",INDEX('Prospect Tracker'!$H$5:$H$554,$K233)))</f>
        <v/>
      </c>
      <c r="H233" s="7" t="str">
        <f aca="false">IF($K233="","",IF(INDEX('Prospect Tracker'!$K$5:$K$554,$K233)="","",INDEX('Prospect Tracker'!$K$5:$K$554,$K233)))</f>
        <v/>
      </c>
      <c r="I233" s="6" t="str">
        <f aca="false">IF($K233="","",IF(INDEX('Prospect Tracker'!$T$5:$T$554,$K233)="","",INDEX('Prospect Tracker'!$T$5:$T$554,$K233)))</f>
        <v/>
      </c>
      <c r="J233" s="6" t="str">
        <f aca="false">IF($K233="","",IF(INDEX('Prospect Tracker'!$L$5:$L$554,$K233)="","",INDEX('Prospect Tracker'!$L$5:$L$554,$K233)))</f>
        <v/>
      </c>
      <c r="K233" s="1" t="n">
        <f aca="false">IFERROR(MATCH(SMALL('Prospect Tracker'!$X$5:$X$554,ROW()-4),'Prospect Tracker'!$X$5:$X$554,0),"")</f>
        <v>229</v>
      </c>
    </row>
    <row r="234" customFormat="false" ht="15" hidden="false" customHeight="true" outlineLevel="0" collapsed="false">
      <c r="A234" s="11" t="str">
        <f aca="false">IF($K234="","",IF(INDEX('Prospect Tracker'!$W$5:$W$554,$K234)="","",INDEX('Prospect Tracker'!$W$5:$W$554,$K234)))</f>
        <v/>
      </c>
      <c r="B234" s="11" t="str">
        <f aca="false">IF($K234="","",IF(INDEX('Prospect Tracker'!$A$5:$A$554,$K234)="","",INDEX('Prospect Tracker'!$A$5:$A$554,$K234)))</f>
        <v/>
      </c>
      <c r="C234" s="11" t="str">
        <f aca="false">IF($K234="","",IF(INDEX('Prospect Tracker'!$B$5:$B$554,$K234)="","",INDEX('Prospect Tracker'!$B$5:$B$554,$K234)))</f>
        <v/>
      </c>
      <c r="D234" s="11" t="str">
        <f aca="false">IF($K234="","",IF(INDEX('Prospect Tracker'!$M$5:$M$554,$K234)="","",INDEX('Prospect Tracker'!$M$5:$M$554,$K234)))</f>
        <v/>
      </c>
      <c r="E234" s="11" t="str">
        <f aca="false">IF($K234="","",IF(INDEX('Prospect Tracker'!$R$5:$R$554,$K234)="","",INDEX('Prospect Tracker'!$R$5:$R$554,$K234)))</f>
        <v/>
      </c>
      <c r="F234" s="11" t="str">
        <f aca="false">IF($K234="","",IF(INDEX('Prospect Tracker'!$J$5:$J$554,$K234)="","",INDEX('Prospect Tracker'!$J$5:$J$554,$K234)))</f>
        <v/>
      </c>
      <c r="G234" s="11" t="str">
        <f aca="false">IF($K234="","",IF(INDEX('Prospect Tracker'!$H$5:$H$554,$K234)="","",INDEX('Prospect Tracker'!$H$5:$H$554,$K234)))</f>
        <v/>
      </c>
      <c r="H234" s="12" t="str">
        <f aca="false">IF($K234="","",IF(INDEX('Prospect Tracker'!$K$5:$K$554,$K234)="","",INDEX('Prospect Tracker'!$K$5:$K$554,$K234)))</f>
        <v/>
      </c>
      <c r="I234" s="11" t="str">
        <f aca="false">IF($K234="","",IF(INDEX('Prospect Tracker'!$T$5:$T$554,$K234)="","",INDEX('Prospect Tracker'!$T$5:$T$554,$K234)))</f>
        <v/>
      </c>
      <c r="J234" s="11" t="str">
        <f aca="false">IF($K234="","",IF(INDEX('Prospect Tracker'!$L$5:$L$554,$K234)="","",INDEX('Prospect Tracker'!$L$5:$L$554,$K234)))</f>
        <v/>
      </c>
      <c r="K234" s="1" t="n">
        <f aca="false">IFERROR(MATCH(SMALL('Prospect Tracker'!$X$5:$X$554,ROW()-4),'Prospect Tracker'!$X$5:$X$554,0),"")</f>
        <v>230</v>
      </c>
    </row>
    <row r="235" customFormat="false" ht="15" hidden="false" customHeight="true" outlineLevel="0" collapsed="false">
      <c r="A235" s="6" t="str">
        <f aca="false">IF($K235="","",IF(INDEX('Prospect Tracker'!$W$5:$W$554,$K235)="","",INDEX('Prospect Tracker'!$W$5:$W$554,$K235)))</f>
        <v/>
      </c>
      <c r="B235" s="6" t="str">
        <f aca="false">IF($K235="","",IF(INDEX('Prospect Tracker'!$A$5:$A$554,$K235)="","",INDEX('Prospect Tracker'!$A$5:$A$554,$K235)))</f>
        <v/>
      </c>
      <c r="C235" s="6" t="str">
        <f aca="false">IF($K235="","",IF(INDEX('Prospect Tracker'!$B$5:$B$554,$K235)="","",INDEX('Prospect Tracker'!$B$5:$B$554,$K235)))</f>
        <v/>
      </c>
      <c r="D235" s="6" t="str">
        <f aca="false">IF($K235="","",IF(INDEX('Prospect Tracker'!$M$5:$M$554,$K235)="","",INDEX('Prospect Tracker'!$M$5:$M$554,$K235)))</f>
        <v/>
      </c>
      <c r="E235" s="6" t="str">
        <f aca="false">IF($K235="","",IF(INDEX('Prospect Tracker'!$R$5:$R$554,$K235)="","",INDEX('Prospect Tracker'!$R$5:$R$554,$K235)))</f>
        <v/>
      </c>
      <c r="F235" s="6" t="str">
        <f aca="false">IF($K235="","",IF(INDEX('Prospect Tracker'!$J$5:$J$554,$K235)="","",INDEX('Prospect Tracker'!$J$5:$J$554,$K235)))</f>
        <v/>
      </c>
      <c r="G235" s="6" t="str">
        <f aca="false">IF($K235="","",IF(INDEX('Prospect Tracker'!$H$5:$H$554,$K235)="","",INDEX('Prospect Tracker'!$H$5:$H$554,$K235)))</f>
        <v/>
      </c>
      <c r="H235" s="7" t="str">
        <f aca="false">IF($K235="","",IF(INDEX('Prospect Tracker'!$K$5:$K$554,$K235)="","",INDEX('Prospect Tracker'!$K$5:$K$554,$K235)))</f>
        <v/>
      </c>
      <c r="I235" s="6" t="str">
        <f aca="false">IF($K235="","",IF(INDEX('Prospect Tracker'!$T$5:$T$554,$K235)="","",INDEX('Prospect Tracker'!$T$5:$T$554,$K235)))</f>
        <v/>
      </c>
      <c r="J235" s="6" t="str">
        <f aca="false">IF($K235="","",IF(INDEX('Prospect Tracker'!$L$5:$L$554,$K235)="","",INDEX('Prospect Tracker'!$L$5:$L$554,$K235)))</f>
        <v/>
      </c>
      <c r="K235" s="1" t="n">
        <f aca="false">IFERROR(MATCH(SMALL('Prospect Tracker'!$X$5:$X$554,ROW()-4),'Prospect Tracker'!$X$5:$X$554,0),"")</f>
        <v>231</v>
      </c>
    </row>
    <row r="236" customFormat="false" ht="15" hidden="false" customHeight="true" outlineLevel="0" collapsed="false">
      <c r="A236" s="11" t="str">
        <f aca="false">IF($K236="","",IF(INDEX('Prospect Tracker'!$W$5:$W$554,$K236)="","",INDEX('Prospect Tracker'!$W$5:$W$554,$K236)))</f>
        <v/>
      </c>
      <c r="B236" s="11" t="str">
        <f aca="false">IF($K236="","",IF(INDEX('Prospect Tracker'!$A$5:$A$554,$K236)="","",INDEX('Prospect Tracker'!$A$5:$A$554,$K236)))</f>
        <v/>
      </c>
      <c r="C236" s="11" t="str">
        <f aca="false">IF($K236="","",IF(INDEX('Prospect Tracker'!$B$5:$B$554,$K236)="","",INDEX('Prospect Tracker'!$B$5:$B$554,$K236)))</f>
        <v/>
      </c>
      <c r="D236" s="11" t="str">
        <f aca="false">IF($K236="","",IF(INDEX('Prospect Tracker'!$M$5:$M$554,$K236)="","",INDEX('Prospect Tracker'!$M$5:$M$554,$K236)))</f>
        <v/>
      </c>
      <c r="E236" s="11" t="str">
        <f aca="false">IF($K236="","",IF(INDEX('Prospect Tracker'!$R$5:$R$554,$K236)="","",INDEX('Prospect Tracker'!$R$5:$R$554,$K236)))</f>
        <v/>
      </c>
      <c r="F236" s="11" t="str">
        <f aca="false">IF($K236="","",IF(INDEX('Prospect Tracker'!$J$5:$J$554,$K236)="","",INDEX('Prospect Tracker'!$J$5:$J$554,$K236)))</f>
        <v/>
      </c>
      <c r="G236" s="11" t="str">
        <f aca="false">IF($K236="","",IF(INDEX('Prospect Tracker'!$H$5:$H$554,$K236)="","",INDEX('Prospect Tracker'!$H$5:$H$554,$K236)))</f>
        <v/>
      </c>
      <c r="H236" s="12" t="str">
        <f aca="false">IF($K236="","",IF(INDEX('Prospect Tracker'!$K$5:$K$554,$K236)="","",INDEX('Prospect Tracker'!$K$5:$K$554,$K236)))</f>
        <v/>
      </c>
      <c r="I236" s="11" t="str">
        <f aca="false">IF($K236="","",IF(INDEX('Prospect Tracker'!$T$5:$T$554,$K236)="","",INDEX('Prospect Tracker'!$T$5:$T$554,$K236)))</f>
        <v/>
      </c>
      <c r="J236" s="11" t="str">
        <f aca="false">IF($K236="","",IF(INDEX('Prospect Tracker'!$L$5:$L$554,$K236)="","",INDEX('Prospect Tracker'!$L$5:$L$554,$K236)))</f>
        <v/>
      </c>
      <c r="K236" s="1" t="n">
        <f aca="false">IFERROR(MATCH(SMALL('Prospect Tracker'!$X$5:$X$554,ROW()-4),'Prospect Tracker'!$X$5:$X$554,0),"")</f>
        <v>232</v>
      </c>
    </row>
    <row r="237" customFormat="false" ht="15" hidden="false" customHeight="true" outlineLevel="0" collapsed="false">
      <c r="A237" s="6" t="str">
        <f aca="false">IF($K237="","",IF(INDEX('Prospect Tracker'!$W$5:$W$554,$K237)="","",INDEX('Prospect Tracker'!$W$5:$W$554,$K237)))</f>
        <v/>
      </c>
      <c r="B237" s="6" t="str">
        <f aca="false">IF($K237="","",IF(INDEX('Prospect Tracker'!$A$5:$A$554,$K237)="","",INDEX('Prospect Tracker'!$A$5:$A$554,$K237)))</f>
        <v/>
      </c>
      <c r="C237" s="6" t="str">
        <f aca="false">IF($K237="","",IF(INDEX('Prospect Tracker'!$B$5:$B$554,$K237)="","",INDEX('Prospect Tracker'!$B$5:$B$554,$K237)))</f>
        <v/>
      </c>
      <c r="D237" s="6" t="str">
        <f aca="false">IF($K237="","",IF(INDEX('Prospect Tracker'!$M$5:$M$554,$K237)="","",INDEX('Prospect Tracker'!$M$5:$M$554,$K237)))</f>
        <v/>
      </c>
      <c r="E237" s="6" t="str">
        <f aca="false">IF($K237="","",IF(INDEX('Prospect Tracker'!$R$5:$R$554,$K237)="","",INDEX('Prospect Tracker'!$R$5:$R$554,$K237)))</f>
        <v/>
      </c>
      <c r="F237" s="6" t="str">
        <f aca="false">IF($K237="","",IF(INDEX('Prospect Tracker'!$J$5:$J$554,$K237)="","",INDEX('Prospect Tracker'!$J$5:$J$554,$K237)))</f>
        <v/>
      </c>
      <c r="G237" s="6" t="str">
        <f aca="false">IF($K237="","",IF(INDEX('Prospect Tracker'!$H$5:$H$554,$K237)="","",INDEX('Prospect Tracker'!$H$5:$H$554,$K237)))</f>
        <v/>
      </c>
      <c r="H237" s="7" t="str">
        <f aca="false">IF($K237="","",IF(INDEX('Prospect Tracker'!$K$5:$K$554,$K237)="","",INDEX('Prospect Tracker'!$K$5:$K$554,$K237)))</f>
        <v/>
      </c>
      <c r="I237" s="6" t="str">
        <f aca="false">IF($K237="","",IF(INDEX('Prospect Tracker'!$T$5:$T$554,$K237)="","",INDEX('Prospect Tracker'!$T$5:$T$554,$K237)))</f>
        <v/>
      </c>
      <c r="J237" s="6" t="str">
        <f aca="false">IF($K237="","",IF(INDEX('Prospect Tracker'!$L$5:$L$554,$K237)="","",INDEX('Prospect Tracker'!$L$5:$L$554,$K237)))</f>
        <v/>
      </c>
      <c r="K237" s="1" t="n">
        <f aca="false">IFERROR(MATCH(SMALL('Prospect Tracker'!$X$5:$X$554,ROW()-4),'Prospect Tracker'!$X$5:$X$554,0),"")</f>
        <v>233</v>
      </c>
    </row>
    <row r="238" customFormat="false" ht="15" hidden="false" customHeight="true" outlineLevel="0" collapsed="false">
      <c r="A238" s="11" t="str">
        <f aca="false">IF($K238="","",IF(INDEX('Prospect Tracker'!$W$5:$W$554,$K238)="","",INDEX('Prospect Tracker'!$W$5:$W$554,$K238)))</f>
        <v/>
      </c>
      <c r="B238" s="11" t="str">
        <f aca="false">IF($K238="","",IF(INDEX('Prospect Tracker'!$A$5:$A$554,$K238)="","",INDEX('Prospect Tracker'!$A$5:$A$554,$K238)))</f>
        <v/>
      </c>
      <c r="C238" s="11" t="str">
        <f aca="false">IF($K238="","",IF(INDEX('Prospect Tracker'!$B$5:$B$554,$K238)="","",INDEX('Prospect Tracker'!$B$5:$B$554,$K238)))</f>
        <v/>
      </c>
      <c r="D238" s="11" t="str">
        <f aca="false">IF($K238="","",IF(INDEX('Prospect Tracker'!$M$5:$M$554,$K238)="","",INDEX('Prospect Tracker'!$M$5:$M$554,$K238)))</f>
        <v/>
      </c>
      <c r="E238" s="11" t="str">
        <f aca="false">IF($K238="","",IF(INDEX('Prospect Tracker'!$R$5:$R$554,$K238)="","",INDEX('Prospect Tracker'!$R$5:$R$554,$K238)))</f>
        <v/>
      </c>
      <c r="F238" s="11" t="str">
        <f aca="false">IF($K238="","",IF(INDEX('Prospect Tracker'!$J$5:$J$554,$K238)="","",INDEX('Prospect Tracker'!$J$5:$J$554,$K238)))</f>
        <v/>
      </c>
      <c r="G238" s="11" t="str">
        <f aca="false">IF($K238="","",IF(INDEX('Prospect Tracker'!$H$5:$H$554,$K238)="","",INDEX('Prospect Tracker'!$H$5:$H$554,$K238)))</f>
        <v/>
      </c>
      <c r="H238" s="12" t="str">
        <f aca="false">IF($K238="","",IF(INDEX('Prospect Tracker'!$K$5:$K$554,$K238)="","",INDEX('Prospect Tracker'!$K$5:$K$554,$K238)))</f>
        <v/>
      </c>
      <c r="I238" s="11" t="str">
        <f aca="false">IF($K238="","",IF(INDEX('Prospect Tracker'!$T$5:$T$554,$K238)="","",INDEX('Prospect Tracker'!$T$5:$T$554,$K238)))</f>
        <v/>
      </c>
      <c r="J238" s="11" t="str">
        <f aca="false">IF($K238="","",IF(INDEX('Prospect Tracker'!$L$5:$L$554,$K238)="","",INDEX('Prospect Tracker'!$L$5:$L$554,$K238)))</f>
        <v/>
      </c>
      <c r="K238" s="1" t="n">
        <f aca="false">IFERROR(MATCH(SMALL('Prospect Tracker'!$X$5:$X$554,ROW()-4),'Prospect Tracker'!$X$5:$X$554,0),"")</f>
        <v>234</v>
      </c>
    </row>
    <row r="239" customFormat="false" ht="15" hidden="false" customHeight="true" outlineLevel="0" collapsed="false">
      <c r="A239" s="6" t="str">
        <f aca="false">IF($K239="","",IF(INDEX('Prospect Tracker'!$W$5:$W$554,$K239)="","",INDEX('Prospect Tracker'!$W$5:$W$554,$K239)))</f>
        <v/>
      </c>
      <c r="B239" s="6" t="str">
        <f aca="false">IF($K239="","",IF(INDEX('Prospect Tracker'!$A$5:$A$554,$K239)="","",INDEX('Prospect Tracker'!$A$5:$A$554,$K239)))</f>
        <v/>
      </c>
      <c r="C239" s="6" t="str">
        <f aca="false">IF($K239="","",IF(INDEX('Prospect Tracker'!$B$5:$B$554,$K239)="","",INDEX('Prospect Tracker'!$B$5:$B$554,$K239)))</f>
        <v/>
      </c>
      <c r="D239" s="6" t="str">
        <f aca="false">IF($K239="","",IF(INDEX('Prospect Tracker'!$M$5:$M$554,$K239)="","",INDEX('Prospect Tracker'!$M$5:$M$554,$K239)))</f>
        <v/>
      </c>
      <c r="E239" s="6" t="str">
        <f aca="false">IF($K239="","",IF(INDEX('Prospect Tracker'!$R$5:$R$554,$K239)="","",INDEX('Prospect Tracker'!$R$5:$R$554,$K239)))</f>
        <v/>
      </c>
      <c r="F239" s="6" t="str">
        <f aca="false">IF($K239="","",IF(INDEX('Prospect Tracker'!$J$5:$J$554,$K239)="","",INDEX('Prospect Tracker'!$J$5:$J$554,$K239)))</f>
        <v/>
      </c>
      <c r="G239" s="6" t="str">
        <f aca="false">IF($K239="","",IF(INDEX('Prospect Tracker'!$H$5:$H$554,$K239)="","",INDEX('Prospect Tracker'!$H$5:$H$554,$K239)))</f>
        <v/>
      </c>
      <c r="H239" s="7" t="str">
        <f aca="false">IF($K239="","",IF(INDEX('Prospect Tracker'!$K$5:$K$554,$K239)="","",INDEX('Prospect Tracker'!$K$5:$K$554,$K239)))</f>
        <v/>
      </c>
      <c r="I239" s="6" t="str">
        <f aca="false">IF($K239="","",IF(INDEX('Prospect Tracker'!$T$5:$T$554,$K239)="","",INDEX('Prospect Tracker'!$T$5:$T$554,$K239)))</f>
        <v/>
      </c>
      <c r="J239" s="6" t="str">
        <f aca="false">IF($K239="","",IF(INDEX('Prospect Tracker'!$L$5:$L$554,$K239)="","",INDEX('Prospect Tracker'!$L$5:$L$554,$K239)))</f>
        <v/>
      </c>
      <c r="K239" s="1" t="n">
        <f aca="false">IFERROR(MATCH(SMALL('Prospect Tracker'!$X$5:$X$554,ROW()-4),'Prospect Tracker'!$X$5:$X$554,0),"")</f>
        <v>235</v>
      </c>
    </row>
    <row r="240" customFormat="false" ht="15" hidden="false" customHeight="true" outlineLevel="0" collapsed="false">
      <c r="A240" s="11" t="str">
        <f aca="false">IF($K240="","",IF(INDEX('Prospect Tracker'!$W$5:$W$554,$K240)="","",INDEX('Prospect Tracker'!$W$5:$W$554,$K240)))</f>
        <v/>
      </c>
      <c r="B240" s="11" t="str">
        <f aca="false">IF($K240="","",IF(INDEX('Prospect Tracker'!$A$5:$A$554,$K240)="","",INDEX('Prospect Tracker'!$A$5:$A$554,$K240)))</f>
        <v/>
      </c>
      <c r="C240" s="11" t="str">
        <f aca="false">IF($K240="","",IF(INDEX('Prospect Tracker'!$B$5:$B$554,$K240)="","",INDEX('Prospect Tracker'!$B$5:$B$554,$K240)))</f>
        <v/>
      </c>
      <c r="D240" s="11" t="str">
        <f aca="false">IF($K240="","",IF(INDEX('Prospect Tracker'!$M$5:$M$554,$K240)="","",INDEX('Prospect Tracker'!$M$5:$M$554,$K240)))</f>
        <v/>
      </c>
      <c r="E240" s="11" t="str">
        <f aca="false">IF($K240="","",IF(INDEX('Prospect Tracker'!$R$5:$R$554,$K240)="","",INDEX('Prospect Tracker'!$R$5:$R$554,$K240)))</f>
        <v/>
      </c>
      <c r="F240" s="11" t="str">
        <f aca="false">IF($K240="","",IF(INDEX('Prospect Tracker'!$J$5:$J$554,$K240)="","",INDEX('Prospect Tracker'!$J$5:$J$554,$K240)))</f>
        <v/>
      </c>
      <c r="G240" s="11" t="str">
        <f aca="false">IF($K240="","",IF(INDEX('Prospect Tracker'!$H$5:$H$554,$K240)="","",INDEX('Prospect Tracker'!$H$5:$H$554,$K240)))</f>
        <v/>
      </c>
      <c r="H240" s="12" t="str">
        <f aca="false">IF($K240="","",IF(INDEX('Prospect Tracker'!$K$5:$K$554,$K240)="","",INDEX('Prospect Tracker'!$K$5:$K$554,$K240)))</f>
        <v/>
      </c>
      <c r="I240" s="11" t="str">
        <f aca="false">IF($K240="","",IF(INDEX('Prospect Tracker'!$T$5:$T$554,$K240)="","",INDEX('Prospect Tracker'!$T$5:$T$554,$K240)))</f>
        <v/>
      </c>
      <c r="J240" s="11" t="str">
        <f aca="false">IF($K240="","",IF(INDEX('Prospect Tracker'!$L$5:$L$554,$K240)="","",INDEX('Prospect Tracker'!$L$5:$L$554,$K240)))</f>
        <v/>
      </c>
      <c r="K240" s="1" t="n">
        <f aca="false">IFERROR(MATCH(SMALL('Prospect Tracker'!$X$5:$X$554,ROW()-4),'Prospect Tracker'!$X$5:$X$554,0),"")</f>
        <v>236</v>
      </c>
    </row>
    <row r="241" customFormat="false" ht="15" hidden="false" customHeight="true" outlineLevel="0" collapsed="false">
      <c r="A241" s="6" t="str">
        <f aca="false">IF($K241="","",IF(INDEX('Prospect Tracker'!$W$5:$W$554,$K241)="","",INDEX('Prospect Tracker'!$W$5:$W$554,$K241)))</f>
        <v/>
      </c>
      <c r="B241" s="6" t="str">
        <f aca="false">IF($K241="","",IF(INDEX('Prospect Tracker'!$A$5:$A$554,$K241)="","",INDEX('Prospect Tracker'!$A$5:$A$554,$K241)))</f>
        <v/>
      </c>
      <c r="C241" s="6" t="str">
        <f aca="false">IF($K241="","",IF(INDEX('Prospect Tracker'!$B$5:$B$554,$K241)="","",INDEX('Prospect Tracker'!$B$5:$B$554,$K241)))</f>
        <v/>
      </c>
      <c r="D241" s="6" t="str">
        <f aca="false">IF($K241="","",IF(INDEX('Prospect Tracker'!$M$5:$M$554,$K241)="","",INDEX('Prospect Tracker'!$M$5:$M$554,$K241)))</f>
        <v/>
      </c>
      <c r="E241" s="6" t="str">
        <f aca="false">IF($K241="","",IF(INDEX('Prospect Tracker'!$R$5:$R$554,$K241)="","",INDEX('Prospect Tracker'!$R$5:$R$554,$K241)))</f>
        <v/>
      </c>
      <c r="F241" s="6" t="str">
        <f aca="false">IF($K241="","",IF(INDEX('Prospect Tracker'!$J$5:$J$554,$K241)="","",INDEX('Prospect Tracker'!$J$5:$J$554,$K241)))</f>
        <v/>
      </c>
      <c r="G241" s="6" t="str">
        <f aca="false">IF($K241="","",IF(INDEX('Prospect Tracker'!$H$5:$H$554,$K241)="","",INDEX('Prospect Tracker'!$H$5:$H$554,$K241)))</f>
        <v/>
      </c>
      <c r="H241" s="7" t="str">
        <f aca="false">IF($K241="","",IF(INDEX('Prospect Tracker'!$K$5:$K$554,$K241)="","",INDEX('Prospect Tracker'!$K$5:$K$554,$K241)))</f>
        <v/>
      </c>
      <c r="I241" s="6" t="str">
        <f aca="false">IF($K241="","",IF(INDEX('Prospect Tracker'!$T$5:$T$554,$K241)="","",INDEX('Prospect Tracker'!$T$5:$T$554,$K241)))</f>
        <v/>
      </c>
      <c r="J241" s="6" t="str">
        <f aca="false">IF($K241="","",IF(INDEX('Prospect Tracker'!$L$5:$L$554,$K241)="","",INDEX('Prospect Tracker'!$L$5:$L$554,$K241)))</f>
        <v/>
      </c>
      <c r="K241" s="1" t="n">
        <f aca="false">IFERROR(MATCH(SMALL('Prospect Tracker'!$X$5:$X$554,ROW()-4),'Prospect Tracker'!$X$5:$X$554,0),"")</f>
        <v>237</v>
      </c>
    </row>
    <row r="242" customFormat="false" ht="15" hidden="false" customHeight="true" outlineLevel="0" collapsed="false">
      <c r="A242" s="11" t="str">
        <f aca="false">IF($K242="","",IF(INDEX('Prospect Tracker'!$W$5:$W$554,$K242)="","",INDEX('Prospect Tracker'!$W$5:$W$554,$K242)))</f>
        <v/>
      </c>
      <c r="B242" s="11" t="str">
        <f aca="false">IF($K242="","",IF(INDEX('Prospect Tracker'!$A$5:$A$554,$K242)="","",INDEX('Prospect Tracker'!$A$5:$A$554,$K242)))</f>
        <v/>
      </c>
      <c r="C242" s="11" t="str">
        <f aca="false">IF($K242="","",IF(INDEX('Prospect Tracker'!$B$5:$B$554,$K242)="","",INDEX('Prospect Tracker'!$B$5:$B$554,$K242)))</f>
        <v/>
      </c>
      <c r="D242" s="11" t="str">
        <f aca="false">IF($K242="","",IF(INDEX('Prospect Tracker'!$M$5:$M$554,$K242)="","",INDEX('Prospect Tracker'!$M$5:$M$554,$K242)))</f>
        <v/>
      </c>
      <c r="E242" s="11" t="str">
        <f aca="false">IF($K242="","",IF(INDEX('Prospect Tracker'!$R$5:$R$554,$K242)="","",INDEX('Prospect Tracker'!$R$5:$R$554,$K242)))</f>
        <v/>
      </c>
      <c r="F242" s="11" t="str">
        <f aca="false">IF($K242="","",IF(INDEX('Prospect Tracker'!$J$5:$J$554,$K242)="","",INDEX('Prospect Tracker'!$J$5:$J$554,$K242)))</f>
        <v/>
      </c>
      <c r="G242" s="11" t="str">
        <f aca="false">IF($K242="","",IF(INDEX('Prospect Tracker'!$H$5:$H$554,$K242)="","",INDEX('Prospect Tracker'!$H$5:$H$554,$K242)))</f>
        <v/>
      </c>
      <c r="H242" s="12" t="str">
        <f aca="false">IF($K242="","",IF(INDEX('Prospect Tracker'!$K$5:$K$554,$K242)="","",INDEX('Prospect Tracker'!$K$5:$K$554,$K242)))</f>
        <v/>
      </c>
      <c r="I242" s="11" t="str">
        <f aca="false">IF($K242="","",IF(INDEX('Prospect Tracker'!$T$5:$T$554,$K242)="","",INDEX('Prospect Tracker'!$T$5:$T$554,$K242)))</f>
        <v/>
      </c>
      <c r="J242" s="11" t="str">
        <f aca="false">IF($K242="","",IF(INDEX('Prospect Tracker'!$L$5:$L$554,$K242)="","",INDEX('Prospect Tracker'!$L$5:$L$554,$K242)))</f>
        <v/>
      </c>
      <c r="K242" s="1" t="n">
        <f aca="false">IFERROR(MATCH(SMALL('Prospect Tracker'!$X$5:$X$554,ROW()-4),'Prospect Tracker'!$X$5:$X$554,0),"")</f>
        <v>238</v>
      </c>
    </row>
    <row r="243" customFormat="false" ht="15" hidden="false" customHeight="true" outlineLevel="0" collapsed="false">
      <c r="A243" s="6" t="str">
        <f aca="false">IF($K243="","",IF(INDEX('Prospect Tracker'!$W$5:$W$554,$K243)="","",INDEX('Prospect Tracker'!$W$5:$W$554,$K243)))</f>
        <v/>
      </c>
      <c r="B243" s="6" t="str">
        <f aca="false">IF($K243="","",IF(INDEX('Prospect Tracker'!$A$5:$A$554,$K243)="","",INDEX('Prospect Tracker'!$A$5:$A$554,$K243)))</f>
        <v/>
      </c>
      <c r="C243" s="6" t="str">
        <f aca="false">IF($K243="","",IF(INDEX('Prospect Tracker'!$B$5:$B$554,$K243)="","",INDEX('Prospect Tracker'!$B$5:$B$554,$K243)))</f>
        <v/>
      </c>
      <c r="D243" s="6" t="str">
        <f aca="false">IF($K243="","",IF(INDEX('Prospect Tracker'!$M$5:$M$554,$K243)="","",INDEX('Prospect Tracker'!$M$5:$M$554,$K243)))</f>
        <v/>
      </c>
      <c r="E243" s="6" t="str">
        <f aca="false">IF($K243="","",IF(INDEX('Prospect Tracker'!$R$5:$R$554,$K243)="","",INDEX('Prospect Tracker'!$R$5:$R$554,$K243)))</f>
        <v/>
      </c>
      <c r="F243" s="6" t="str">
        <f aca="false">IF($K243="","",IF(INDEX('Prospect Tracker'!$J$5:$J$554,$K243)="","",INDEX('Prospect Tracker'!$J$5:$J$554,$K243)))</f>
        <v/>
      </c>
      <c r="G243" s="6" t="str">
        <f aca="false">IF($K243="","",IF(INDEX('Prospect Tracker'!$H$5:$H$554,$K243)="","",INDEX('Prospect Tracker'!$H$5:$H$554,$K243)))</f>
        <v/>
      </c>
      <c r="H243" s="7" t="str">
        <f aca="false">IF($K243="","",IF(INDEX('Prospect Tracker'!$K$5:$K$554,$K243)="","",INDEX('Prospect Tracker'!$K$5:$K$554,$K243)))</f>
        <v/>
      </c>
      <c r="I243" s="6" t="str">
        <f aca="false">IF($K243="","",IF(INDEX('Prospect Tracker'!$T$5:$T$554,$K243)="","",INDEX('Prospect Tracker'!$T$5:$T$554,$K243)))</f>
        <v/>
      </c>
      <c r="J243" s="6" t="str">
        <f aca="false">IF($K243="","",IF(INDEX('Prospect Tracker'!$L$5:$L$554,$K243)="","",INDEX('Prospect Tracker'!$L$5:$L$554,$K243)))</f>
        <v/>
      </c>
      <c r="K243" s="1" t="n">
        <f aca="false">IFERROR(MATCH(SMALL('Prospect Tracker'!$X$5:$X$554,ROW()-4),'Prospect Tracker'!$X$5:$X$554,0),"")</f>
        <v>239</v>
      </c>
    </row>
    <row r="244" customFormat="false" ht="15" hidden="false" customHeight="true" outlineLevel="0" collapsed="false">
      <c r="A244" s="11" t="str">
        <f aca="false">IF($K244="","",IF(INDEX('Prospect Tracker'!$W$5:$W$554,$K244)="","",INDEX('Prospect Tracker'!$W$5:$W$554,$K244)))</f>
        <v/>
      </c>
      <c r="B244" s="11" t="str">
        <f aca="false">IF($K244="","",IF(INDEX('Prospect Tracker'!$A$5:$A$554,$K244)="","",INDEX('Prospect Tracker'!$A$5:$A$554,$K244)))</f>
        <v/>
      </c>
      <c r="C244" s="11" t="str">
        <f aca="false">IF($K244="","",IF(INDEX('Prospect Tracker'!$B$5:$B$554,$K244)="","",INDEX('Prospect Tracker'!$B$5:$B$554,$K244)))</f>
        <v/>
      </c>
      <c r="D244" s="11" t="str">
        <f aca="false">IF($K244="","",IF(INDEX('Prospect Tracker'!$M$5:$M$554,$K244)="","",INDEX('Prospect Tracker'!$M$5:$M$554,$K244)))</f>
        <v/>
      </c>
      <c r="E244" s="11" t="str">
        <f aca="false">IF($K244="","",IF(INDEX('Prospect Tracker'!$R$5:$R$554,$K244)="","",INDEX('Prospect Tracker'!$R$5:$R$554,$K244)))</f>
        <v/>
      </c>
      <c r="F244" s="11" t="str">
        <f aca="false">IF($K244="","",IF(INDEX('Prospect Tracker'!$J$5:$J$554,$K244)="","",INDEX('Prospect Tracker'!$J$5:$J$554,$K244)))</f>
        <v/>
      </c>
      <c r="G244" s="11" t="str">
        <f aca="false">IF($K244="","",IF(INDEX('Prospect Tracker'!$H$5:$H$554,$K244)="","",INDEX('Prospect Tracker'!$H$5:$H$554,$K244)))</f>
        <v/>
      </c>
      <c r="H244" s="12" t="str">
        <f aca="false">IF($K244="","",IF(INDEX('Prospect Tracker'!$K$5:$K$554,$K244)="","",INDEX('Prospect Tracker'!$K$5:$K$554,$K244)))</f>
        <v/>
      </c>
      <c r="I244" s="11" t="str">
        <f aca="false">IF($K244="","",IF(INDEX('Prospect Tracker'!$T$5:$T$554,$K244)="","",INDEX('Prospect Tracker'!$T$5:$T$554,$K244)))</f>
        <v/>
      </c>
      <c r="J244" s="11" t="str">
        <f aca="false">IF($K244="","",IF(INDEX('Prospect Tracker'!$L$5:$L$554,$K244)="","",INDEX('Prospect Tracker'!$L$5:$L$554,$K244)))</f>
        <v/>
      </c>
      <c r="K244" s="1" t="n">
        <f aca="false">IFERROR(MATCH(SMALL('Prospect Tracker'!$X$5:$X$554,ROW()-4),'Prospect Tracker'!$X$5:$X$554,0),"")</f>
        <v>240</v>
      </c>
    </row>
    <row r="245" customFormat="false" ht="15" hidden="false" customHeight="true" outlineLevel="0" collapsed="false">
      <c r="A245" s="6" t="str">
        <f aca="false">IF($K245="","",IF(INDEX('Prospect Tracker'!$W$5:$W$554,$K245)="","",INDEX('Prospect Tracker'!$W$5:$W$554,$K245)))</f>
        <v/>
      </c>
      <c r="B245" s="6" t="str">
        <f aca="false">IF($K245="","",IF(INDEX('Prospect Tracker'!$A$5:$A$554,$K245)="","",INDEX('Prospect Tracker'!$A$5:$A$554,$K245)))</f>
        <v/>
      </c>
      <c r="C245" s="6" t="str">
        <f aca="false">IF($K245="","",IF(INDEX('Prospect Tracker'!$B$5:$B$554,$K245)="","",INDEX('Prospect Tracker'!$B$5:$B$554,$K245)))</f>
        <v/>
      </c>
      <c r="D245" s="6" t="str">
        <f aca="false">IF($K245="","",IF(INDEX('Prospect Tracker'!$M$5:$M$554,$K245)="","",INDEX('Prospect Tracker'!$M$5:$M$554,$K245)))</f>
        <v/>
      </c>
      <c r="E245" s="6" t="str">
        <f aca="false">IF($K245="","",IF(INDEX('Prospect Tracker'!$R$5:$R$554,$K245)="","",INDEX('Prospect Tracker'!$R$5:$R$554,$K245)))</f>
        <v/>
      </c>
      <c r="F245" s="6" t="str">
        <f aca="false">IF($K245="","",IF(INDEX('Prospect Tracker'!$J$5:$J$554,$K245)="","",INDEX('Prospect Tracker'!$J$5:$J$554,$K245)))</f>
        <v/>
      </c>
      <c r="G245" s="6" t="str">
        <f aca="false">IF($K245="","",IF(INDEX('Prospect Tracker'!$H$5:$H$554,$K245)="","",INDEX('Prospect Tracker'!$H$5:$H$554,$K245)))</f>
        <v/>
      </c>
      <c r="H245" s="7" t="str">
        <f aca="false">IF($K245="","",IF(INDEX('Prospect Tracker'!$K$5:$K$554,$K245)="","",INDEX('Prospect Tracker'!$K$5:$K$554,$K245)))</f>
        <v/>
      </c>
      <c r="I245" s="6" t="str">
        <f aca="false">IF($K245="","",IF(INDEX('Prospect Tracker'!$T$5:$T$554,$K245)="","",INDEX('Prospect Tracker'!$T$5:$T$554,$K245)))</f>
        <v/>
      </c>
      <c r="J245" s="6" t="str">
        <f aca="false">IF($K245="","",IF(INDEX('Prospect Tracker'!$L$5:$L$554,$K245)="","",INDEX('Prospect Tracker'!$L$5:$L$554,$K245)))</f>
        <v/>
      </c>
      <c r="K245" s="1" t="n">
        <f aca="false">IFERROR(MATCH(SMALL('Prospect Tracker'!$X$5:$X$554,ROW()-4),'Prospect Tracker'!$X$5:$X$554,0),"")</f>
        <v>241</v>
      </c>
    </row>
    <row r="246" customFormat="false" ht="15" hidden="false" customHeight="true" outlineLevel="0" collapsed="false">
      <c r="A246" s="11" t="str">
        <f aca="false">IF($K246="","",IF(INDEX('Prospect Tracker'!$W$5:$W$554,$K246)="","",INDEX('Prospect Tracker'!$W$5:$W$554,$K246)))</f>
        <v/>
      </c>
      <c r="B246" s="11" t="str">
        <f aca="false">IF($K246="","",IF(INDEX('Prospect Tracker'!$A$5:$A$554,$K246)="","",INDEX('Prospect Tracker'!$A$5:$A$554,$K246)))</f>
        <v/>
      </c>
      <c r="C246" s="11" t="str">
        <f aca="false">IF($K246="","",IF(INDEX('Prospect Tracker'!$B$5:$B$554,$K246)="","",INDEX('Prospect Tracker'!$B$5:$B$554,$K246)))</f>
        <v/>
      </c>
      <c r="D246" s="11" t="str">
        <f aca="false">IF($K246="","",IF(INDEX('Prospect Tracker'!$M$5:$M$554,$K246)="","",INDEX('Prospect Tracker'!$M$5:$M$554,$K246)))</f>
        <v/>
      </c>
      <c r="E246" s="11" t="str">
        <f aca="false">IF($K246="","",IF(INDEX('Prospect Tracker'!$R$5:$R$554,$K246)="","",INDEX('Prospect Tracker'!$R$5:$R$554,$K246)))</f>
        <v/>
      </c>
      <c r="F246" s="11" t="str">
        <f aca="false">IF($K246="","",IF(INDEX('Prospect Tracker'!$J$5:$J$554,$K246)="","",INDEX('Prospect Tracker'!$J$5:$J$554,$K246)))</f>
        <v/>
      </c>
      <c r="G246" s="11" t="str">
        <f aca="false">IF($K246="","",IF(INDEX('Prospect Tracker'!$H$5:$H$554,$K246)="","",INDEX('Prospect Tracker'!$H$5:$H$554,$K246)))</f>
        <v/>
      </c>
      <c r="H246" s="12" t="str">
        <f aca="false">IF($K246="","",IF(INDEX('Prospect Tracker'!$K$5:$K$554,$K246)="","",INDEX('Prospect Tracker'!$K$5:$K$554,$K246)))</f>
        <v/>
      </c>
      <c r="I246" s="11" t="str">
        <f aca="false">IF($K246="","",IF(INDEX('Prospect Tracker'!$T$5:$T$554,$K246)="","",INDEX('Prospect Tracker'!$T$5:$T$554,$K246)))</f>
        <v/>
      </c>
      <c r="J246" s="11" t="str">
        <f aca="false">IF($K246="","",IF(INDEX('Prospect Tracker'!$L$5:$L$554,$K246)="","",INDEX('Prospect Tracker'!$L$5:$L$554,$K246)))</f>
        <v/>
      </c>
      <c r="K246" s="1" t="n">
        <f aca="false">IFERROR(MATCH(SMALL('Prospect Tracker'!$X$5:$X$554,ROW()-4),'Prospect Tracker'!$X$5:$X$554,0),"")</f>
        <v>242</v>
      </c>
    </row>
    <row r="247" customFormat="false" ht="15" hidden="false" customHeight="true" outlineLevel="0" collapsed="false">
      <c r="A247" s="6" t="str">
        <f aca="false">IF($K247="","",IF(INDEX('Prospect Tracker'!$W$5:$W$554,$K247)="","",INDEX('Prospect Tracker'!$W$5:$W$554,$K247)))</f>
        <v/>
      </c>
      <c r="B247" s="6" t="str">
        <f aca="false">IF($K247="","",IF(INDEX('Prospect Tracker'!$A$5:$A$554,$K247)="","",INDEX('Prospect Tracker'!$A$5:$A$554,$K247)))</f>
        <v/>
      </c>
      <c r="C247" s="6" t="str">
        <f aca="false">IF($K247="","",IF(INDEX('Prospect Tracker'!$B$5:$B$554,$K247)="","",INDEX('Prospect Tracker'!$B$5:$B$554,$K247)))</f>
        <v/>
      </c>
      <c r="D247" s="6" t="str">
        <f aca="false">IF($K247="","",IF(INDEX('Prospect Tracker'!$M$5:$M$554,$K247)="","",INDEX('Prospect Tracker'!$M$5:$M$554,$K247)))</f>
        <v/>
      </c>
      <c r="E247" s="6" t="str">
        <f aca="false">IF($K247="","",IF(INDEX('Prospect Tracker'!$R$5:$R$554,$K247)="","",INDEX('Prospect Tracker'!$R$5:$R$554,$K247)))</f>
        <v/>
      </c>
      <c r="F247" s="6" t="str">
        <f aca="false">IF($K247="","",IF(INDEX('Prospect Tracker'!$J$5:$J$554,$K247)="","",INDEX('Prospect Tracker'!$J$5:$J$554,$K247)))</f>
        <v/>
      </c>
      <c r="G247" s="6" t="str">
        <f aca="false">IF($K247="","",IF(INDEX('Prospect Tracker'!$H$5:$H$554,$K247)="","",INDEX('Prospect Tracker'!$H$5:$H$554,$K247)))</f>
        <v/>
      </c>
      <c r="H247" s="7" t="str">
        <f aca="false">IF($K247="","",IF(INDEX('Prospect Tracker'!$K$5:$K$554,$K247)="","",INDEX('Prospect Tracker'!$K$5:$K$554,$K247)))</f>
        <v/>
      </c>
      <c r="I247" s="6" t="str">
        <f aca="false">IF($K247="","",IF(INDEX('Prospect Tracker'!$T$5:$T$554,$K247)="","",INDEX('Prospect Tracker'!$T$5:$T$554,$K247)))</f>
        <v/>
      </c>
      <c r="J247" s="6" t="str">
        <f aca="false">IF($K247="","",IF(INDEX('Prospect Tracker'!$L$5:$L$554,$K247)="","",INDEX('Prospect Tracker'!$L$5:$L$554,$K247)))</f>
        <v/>
      </c>
      <c r="K247" s="1" t="n">
        <f aca="false">IFERROR(MATCH(SMALL('Prospect Tracker'!$X$5:$X$554,ROW()-4),'Prospect Tracker'!$X$5:$X$554,0),"")</f>
        <v>243</v>
      </c>
    </row>
    <row r="248" customFormat="false" ht="15" hidden="false" customHeight="true" outlineLevel="0" collapsed="false">
      <c r="A248" s="11" t="str">
        <f aca="false">IF($K248="","",IF(INDEX('Prospect Tracker'!$W$5:$W$554,$K248)="","",INDEX('Prospect Tracker'!$W$5:$W$554,$K248)))</f>
        <v/>
      </c>
      <c r="B248" s="11" t="str">
        <f aca="false">IF($K248="","",IF(INDEX('Prospect Tracker'!$A$5:$A$554,$K248)="","",INDEX('Prospect Tracker'!$A$5:$A$554,$K248)))</f>
        <v/>
      </c>
      <c r="C248" s="11" t="str">
        <f aca="false">IF($K248="","",IF(INDEX('Prospect Tracker'!$B$5:$B$554,$K248)="","",INDEX('Prospect Tracker'!$B$5:$B$554,$K248)))</f>
        <v/>
      </c>
      <c r="D248" s="11" t="str">
        <f aca="false">IF($K248="","",IF(INDEX('Prospect Tracker'!$M$5:$M$554,$K248)="","",INDEX('Prospect Tracker'!$M$5:$M$554,$K248)))</f>
        <v/>
      </c>
      <c r="E248" s="11" t="str">
        <f aca="false">IF($K248="","",IF(INDEX('Prospect Tracker'!$R$5:$R$554,$K248)="","",INDEX('Prospect Tracker'!$R$5:$R$554,$K248)))</f>
        <v/>
      </c>
      <c r="F248" s="11" t="str">
        <f aca="false">IF($K248="","",IF(INDEX('Prospect Tracker'!$J$5:$J$554,$K248)="","",INDEX('Prospect Tracker'!$J$5:$J$554,$K248)))</f>
        <v/>
      </c>
      <c r="G248" s="11" t="str">
        <f aca="false">IF($K248="","",IF(INDEX('Prospect Tracker'!$H$5:$H$554,$K248)="","",INDEX('Prospect Tracker'!$H$5:$H$554,$K248)))</f>
        <v/>
      </c>
      <c r="H248" s="12" t="str">
        <f aca="false">IF($K248="","",IF(INDEX('Prospect Tracker'!$K$5:$K$554,$K248)="","",INDEX('Prospect Tracker'!$K$5:$K$554,$K248)))</f>
        <v/>
      </c>
      <c r="I248" s="11" t="str">
        <f aca="false">IF($K248="","",IF(INDEX('Prospect Tracker'!$T$5:$T$554,$K248)="","",INDEX('Prospect Tracker'!$T$5:$T$554,$K248)))</f>
        <v/>
      </c>
      <c r="J248" s="11" t="str">
        <f aca="false">IF($K248="","",IF(INDEX('Prospect Tracker'!$L$5:$L$554,$K248)="","",INDEX('Prospect Tracker'!$L$5:$L$554,$K248)))</f>
        <v/>
      </c>
      <c r="K248" s="1" t="n">
        <f aca="false">IFERROR(MATCH(SMALL('Prospect Tracker'!$X$5:$X$554,ROW()-4),'Prospect Tracker'!$X$5:$X$554,0),"")</f>
        <v>244</v>
      </c>
    </row>
    <row r="249" customFormat="false" ht="15" hidden="false" customHeight="true" outlineLevel="0" collapsed="false">
      <c r="A249" s="6" t="str">
        <f aca="false">IF($K249="","",IF(INDEX('Prospect Tracker'!$W$5:$W$554,$K249)="","",INDEX('Prospect Tracker'!$W$5:$W$554,$K249)))</f>
        <v/>
      </c>
      <c r="B249" s="6" t="str">
        <f aca="false">IF($K249="","",IF(INDEX('Prospect Tracker'!$A$5:$A$554,$K249)="","",INDEX('Prospect Tracker'!$A$5:$A$554,$K249)))</f>
        <v/>
      </c>
      <c r="C249" s="6" t="str">
        <f aca="false">IF($K249="","",IF(INDEX('Prospect Tracker'!$B$5:$B$554,$K249)="","",INDEX('Prospect Tracker'!$B$5:$B$554,$K249)))</f>
        <v/>
      </c>
      <c r="D249" s="6" t="str">
        <f aca="false">IF($K249="","",IF(INDEX('Prospect Tracker'!$M$5:$M$554,$K249)="","",INDEX('Prospect Tracker'!$M$5:$M$554,$K249)))</f>
        <v/>
      </c>
      <c r="E249" s="6" t="str">
        <f aca="false">IF($K249="","",IF(INDEX('Prospect Tracker'!$R$5:$R$554,$K249)="","",INDEX('Prospect Tracker'!$R$5:$R$554,$K249)))</f>
        <v/>
      </c>
      <c r="F249" s="6" t="str">
        <f aca="false">IF($K249="","",IF(INDEX('Prospect Tracker'!$J$5:$J$554,$K249)="","",INDEX('Prospect Tracker'!$J$5:$J$554,$K249)))</f>
        <v/>
      </c>
      <c r="G249" s="6" t="str">
        <f aca="false">IF($K249="","",IF(INDEX('Prospect Tracker'!$H$5:$H$554,$K249)="","",INDEX('Prospect Tracker'!$H$5:$H$554,$K249)))</f>
        <v/>
      </c>
      <c r="H249" s="7" t="str">
        <f aca="false">IF($K249="","",IF(INDEX('Prospect Tracker'!$K$5:$K$554,$K249)="","",INDEX('Prospect Tracker'!$K$5:$K$554,$K249)))</f>
        <v/>
      </c>
      <c r="I249" s="6" t="str">
        <f aca="false">IF($K249="","",IF(INDEX('Prospect Tracker'!$T$5:$T$554,$K249)="","",INDEX('Prospect Tracker'!$T$5:$T$554,$K249)))</f>
        <v/>
      </c>
      <c r="J249" s="6" t="str">
        <f aca="false">IF($K249="","",IF(INDEX('Prospect Tracker'!$L$5:$L$554,$K249)="","",INDEX('Prospect Tracker'!$L$5:$L$554,$K249)))</f>
        <v/>
      </c>
      <c r="K249" s="1" t="n">
        <f aca="false">IFERROR(MATCH(SMALL('Prospect Tracker'!$X$5:$X$554,ROW()-4),'Prospect Tracker'!$X$5:$X$554,0),"")</f>
        <v>245</v>
      </c>
    </row>
    <row r="250" customFormat="false" ht="15" hidden="false" customHeight="true" outlineLevel="0" collapsed="false">
      <c r="A250" s="11" t="str">
        <f aca="false">IF($K250="","",IF(INDEX('Prospect Tracker'!$W$5:$W$554,$K250)="","",INDEX('Prospect Tracker'!$W$5:$W$554,$K250)))</f>
        <v/>
      </c>
      <c r="B250" s="11" t="str">
        <f aca="false">IF($K250="","",IF(INDEX('Prospect Tracker'!$A$5:$A$554,$K250)="","",INDEX('Prospect Tracker'!$A$5:$A$554,$K250)))</f>
        <v/>
      </c>
      <c r="C250" s="11" t="str">
        <f aca="false">IF($K250="","",IF(INDEX('Prospect Tracker'!$B$5:$B$554,$K250)="","",INDEX('Prospect Tracker'!$B$5:$B$554,$K250)))</f>
        <v/>
      </c>
      <c r="D250" s="11" t="str">
        <f aca="false">IF($K250="","",IF(INDEX('Prospect Tracker'!$M$5:$M$554,$K250)="","",INDEX('Prospect Tracker'!$M$5:$M$554,$K250)))</f>
        <v/>
      </c>
      <c r="E250" s="11" t="str">
        <f aca="false">IF($K250="","",IF(INDEX('Prospect Tracker'!$R$5:$R$554,$K250)="","",INDEX('Prospect Tracker'!$R$5:$R$554,$K250)))</f>
        <v/>
      </c>
      <c r="F250" s="11" t="str">
        <f aca="false">IF($K250="","",IF(INDEX('Prospect Tracker'!$J$5:$J$554,$K250)="","",INDEX('Prospect Tracker'!$J$5:$J$554,$K250)))</f>
        <v/>
      </c>
      <c r="G250" s="11" t="str">
        <f aca="false">IF($K250="","",IF(INDEX('Prospect Tracker'!$H$5:$H$554,$K250)="","",INDEX('Prospect Tracker'!$H$5:$H$554,$K250)))</f>
        <v/>
      </c>
      <c r="H250" s="12" t="str">
        <f aca="false">IF($K250="","",IF(INDEX('Prospect Tracker'!$K$5:$K$554,$K250)="","",INDEX('Prospect Tracker'!$K$5:$K$554,$K250)))</f>
        <v/>
      </c>
      <c r="I250" s="11" t="str">
        <f aca="false">IF($K250="","",IF(INDEX('Prospect Tracker'!$T$5:$T$554,$K250)="","",INDEX('Prospect Tracker'!$T$5:$T$554,$K250)))</f>
        <v/>
      </c>
      <c r="J250" s="11" t="str">
        <f aca="false">IF($K250="","",IF(INDEX('Prospect Tracker'!$L$5:$L$554,$K250)="","",INDEX('Prospect Tracker'!$L$5:$L$554,$K250)))</f>
        <v/>
      </c>
      <c r="K250" s="1" t="n">
        <f aca="false">IFERROR(MATCH(SMALL('Prospect Tracker'!$X$5:$X$554,ROW()-4),'Prospect Tracker'!$X$5:$X$554,0),"")</f>
        <v>246</v>
      </c>
    </row>
    <row r="251" customFormat="false" ht="15" hidden="false" customHeight="true" outlineLevel="0" collapsed="false">
      <c r="A251" s="6" t="str">
        <f aca="false">IF($K251="","",IF(INDEX('Prospect Tracker'!$W$5:$W$554,$K251)="","",INDEX('Prospect Tracker'!$W$5:$W$554,$K251)))</f>
        <v/>
      </c>
      <c r="B251" s="6" t="str">
        <f aca="false">IF($K251="","",IF(INDEX('Prospect Tracker'!$A$5:$A$554,$K251)="","",INDEX('Prospect Tracker'!$A$5:$A$554,$K251)))</f>
        <v/>
      </c>
      <c r="C251" s="6" t="str">
        <f aca="false">IF($K251="","",IF(INDEX('Prospect Tracker'!$B$5:$B$554,$K251)="","",INDEX('Prospect Tracker'!$B$5:$B$554,$K251)))</f>
        <v/>
      </c>
      <c r="D251" s="6" t="str">
        <f aca="false">IF($K251="","",IF(INDEX('Prospect Tracker'!$M$5:$M$554,$K251)="","",INDEX('Prospect Tracker'!$M$5:$M$554,$K251)))</f>
        <v/>
      </c>
      <c r="E251" s="6" t="str">
        <f aca="false">IF($K251="","",IF(INDEX('Prospect Tracker'!$R$5:$R$554,$K251)="","",INDEX('Prospect Tracker'!$R$5:$R$554,$K251)))</f>
        <v/>
      </c>
      <c r="F251" s="6" t="str">
        <f aca="false">IF($K251="","",IF(INDEX('Prospect Tracker'!$J$5:$J$554,$K251)="","",INDEX('Prospect Tracker'!$J$5:$J$554,$K251)))</f>
        <v/>
      </c>
      <c r="G251" s="6" t="str">
        <f aca="false">IF($K251="","",IF(INDEX('Prospect Tracker'!$H$5:$H$554,$K251)="","",INDEX('Prospect Tracker'!$H$5:$H$554,$K251)))</f>
        <v/>
      </c>
      <c r="H251" s="7" t="str">
        <f aca="false">IF($K251="","",IF(INDEX('Prospect Tracker'!$K$5:$K$554,$K251)="","",INDEX('Prospect Tracker'!$K$5:$K$554,$K251)))</f>
        <v/>
      </c>
      <c r="I251" s="6" t="str">
        <f aca="false">IF($K251="","",IF(INDEX('Prospect Tracker'!$T$5:$T$554,$K251)="","",INDEX('Prospect Tracker'!$T$5:$T$554,$K251)))</f>
        <v/>
      </c>
      <c r="J251" s="6" t="str">
        <f aca="false">IF($K251="","",IF(INDEX('Prospect Tracker'!$L$5:$L$554,$K251)="","",INDEX('Prospect Tracker'!$L$5:$L$554,$K251)))</f>
        <v/>
      </c>
      <c r="K251" s="1" t="n">
        <f aca="false">IFERROR(MATCH(SMALL('Prospect Tracker'!$X$5:$X$554,ROW()-4),'Prospect Tracker'!$X$5:$X$554,0),"")</f>
        <v>247</v>
      </c>
    </row>
    <row r="252" customFormat="false" ht="15" hidden="false" customHeight="true" outlineLevel="0" collapsed="false">
      <c r="A252" s="11" t="str">
        <f aca="false">IF($K252="","",IF(INDEX('Prospect Tracker'!$W$5:$W$554,$K252)="","",INDEX('Prospect Tracker'!$W$5:$W$554,$K252)))</f>
        <v/>
      </c>
      <c r="B252" s="11" t="str">
        <f aca="false">IF($K252="","",IF(INDEX('Prospect Tracker'!$A$5:$A$554,$K252)="","",INDEX('Prospect Tracker'!$A$5:$A$554,$K252)))</f>
        <v/>
      </c>
      <c r="C252" s="11" t="str">
        <f aca="false">IF($K252="","",IF(INDEX('Prospect Tracker'!$B$5:$B$554,$K252)="","",INDEX('Prospect Tracker'!$B$5:$B$554,$K252)))</f>
        <v/>
      </c>
      <c r="D252" s="11" t="str">
        <f aca="false">IF($K252="","",IF(INDEX('Prospect Tracker'!$M$5:$M$554,$K252)="","",INDEX('Prospect Tracker'!$M$5:$M$554,$K252)))</f>
        <v/>
      </c>
      <c r="E252" s="11" t="str">
        <f aca="false">IF($K252="","",IF(INDEX('Prospect Tracker'!$R$5:$R$554,$K252)="","",INDEX('Prospect Tracker'!$R$5:$R$554,$K252)))</f>
        <v/>
      </c>
      <c r="F252" s="11" t="str">
        <f aca="false">IF($K252="","",IF(INDEX('Prospect Tracker'!$J$5:$J$554,$K252)="","",INDEX('Prospect Tracker'!$J$5:$J$554,$K252)))</f>
        <v/>
      </c>
      <c r="G252" s="11" t="str">
        <f aca="false">IF($K252="","",IF(INDEX('Prospect Tracker'!$H$5:$H$554,$K252)="","",INDEX('Prospect Tracker'!$H$5:$H$554,$K252)))</f>
        <v/>
      </c>
      <c r="H252" s="12" t="str">
        <f aca="false">IF($K252="","",IF(INDEX('Prospect Tracker'!$K$5:$K$554,$K252)="","",INDEX('Prospect Tracker'!$K$5:$K$554,$K252)))</f>
        <v/>
      </c>
      <c r="I252" s="11" t="str">
        <f aca="false">IF($K252="","",IF(INDEX('Prospect Tracker'!$T$5:$T$554,$K252)="","",INDEX('Prospect Tracker'!$T$5:$T$554,$K252)))</f>
        <v/>
      </c>
      <c r="J252" s="11" t="str">
        <f aca="false">IF($K252="","",IF(INDEX('Prospect Tracker'!$L$5:$L$554,$K252)="","",INDEX('Prospect Tracker'!$L$5:$L$554,$K252)))</f>
        <v/>
      </c>
      <c r="K252" s="1" t="n">
        <f aca="false">IFERROR(MATCH(SMALL('Prospect Tracker'!$X$5:$X$554,ROW()-4),'Prospect Tracker'!$X$5:$X$554,0),"")</f>
        <v>248</v>
      </c>
    </row>
    <row r="253" customFormat="false" ht="15" hidden="false" customHeight="true" outlineLevel="0" collapsed="false">
      <c r="A253" s="6" t="str">
        <f aca="false">IF($K253="","",IF(INDEX('Prospect Tracker'!$W$5:$W$554,$K253)="","",INDEX('Prospect Tracker'!$W$5:$W$554,$K253)))</f>
        <v/>
      </c>
      <c r="B253" s="6" t="str">
        <f aca="false">IF($K253="","",IF(INDEX('Prospect Tracker'!$A$5:$A$554,$K253)="","",INDEX('Prospect Tracker'!$A$5:$A$554,$K253)))</f>
        <v/>
      </c>
      <c r="C253" s="6" t="str">
        <f aca="false">IF($K253="","",IF(INDEX('Prospect Tracker'!$B$5:$B$554,$K253)="","",INDEX('Prospect Tracker'!$B$5:$B$554,$K253)))</f>
        <v/>
      </c>
      <c r="D253" s="6" t="str">
        <f aca="false">IF($K253="","",IF(INDEX('Prospect Tracker'!$M$5:$M$554,$K253)="","",INDEX('Prospect Tracker'!$M$5:$M$554,$K253)))</f>
        <v/>
      </c>
      <c r="E253" s="6" t="str">
        <f aca="false">IF($K253="","",IF(INDEX('Prospect Tracker'!$R$5:$R$554,$K253)="","",INDEX('Prospect Tracker'!$R$5:$R$554,$K253)))</f>
        <v/>
      </c>
      <c r="F253" s="6" t="str">
        <f aca="false">IF($K253="","",IF(INDEX('Prospect Tracker'!$J$5:$J$554,$K253)="","",INDEX('Prospect Tracker'!$J$5:$J$554,$K253)))</f>
        <v/>
      </c>
      <c r="G253" s="6" t="str">
        <f aca="false">IF($K253="","",IF(INDEX('Prospect Tracker'!$H$5:$H$554,$K253)="","",INDEX('Prospect Tracker'!$H$5:$H$554,$K253)))</f>
        <v/>
      </c>
      <c r="H253" s="7" t="str">
        <f aca="false">IF($K253="","",IF(INDEX('Prospect Tracker'!$K$5:$K$554,$K253)="","",INDEX('Prospect Tracker'!$K$5:$K$554,$K253)))</f>
        <v/>
      </c>
      <c r="I253" s="6" t="str">
        <f aca="false">IF($K253="","",IF(INDEX('Prospect Tracker'!$T$5:$T$554,$K253)="","",INDEX('Prospect Tracker'!$T$5:$T$554,$K253)))</f>
        <v/>
      </c>
      <c r="J253" s="6" t="str">
        <f aca="false">IF($K253="","",IF(INDEX('Prospect Tracker'!$L$5:$L$554,$K253)="","",INDEX('Prospect Tracker'!$L$5:$L$554,$K253)))</f>
        <v/>
      </c>
      <c r="K253" s="1" t="n">
        <f aca="false">IFERROR(MATCH(SMALL('Prospect Tracker'!$X$5:$X$554,ROW()-4),'Prospect Tracker'!$X$5:$X$554,0),"")</f>
        <v>249</v>
      </c>
    </row>
    <row r="254" customFormat="false" ht="15" hidden="false" customHeight="true" outlineLevel="0" collapsed="false">
      <c r="A254" s="11" t="str">
        <f aca="false">IF($K254="","",IF(INDEX('Prospect Tracker'!$W$5:$W$554,$K254)="","",INDEX('Prospect Tracker'!$W$5:$W$554,$K254)))</f>
        <v/>
      </c>
      <c r="B254" s="11" t="str">
        <f aca="false">IF($K254="","",IF(INDEX('Prospect Tracker'!$A$5:$A$554,$K254)="","",INDEX('Prospect Tracker'!$A$5:$A$554,$K254)))</f>
        <v/>
      </c>
      <c r="C254" s="11" t="str">
        <f aca="false">IF($K254="","",IF(INDEX('Prospect Tracker'!$B$5:$B$554,$K254)="","",INDEX('Prospect Tracker'!$B$5:$B$554,$K254)))</f>
        <v/>
      </c>
      <c r="D254" s="11" t="str">
        <f aca="false">IF($K254="","",IF(INDEX('Prospect Tracker'!$M$5:$M$554,$K254)="","",INDEX('Prospect Tracker'!$M$5:$M$554,$K254)))</f>
        <v/>
      </c>
      <c r="E254" s="11" t="str">
        <f aca="false">IF($K254="","",IF(INDEX('Prospect Tracker'!$R$5:$R$554,$K254)="","",INDEX('Prospect Tracker'!$R$5:$R$554,$K254)))</f>
        <v/>
      </c>
      <c r="F254" s="11" t="str">
        <f aca="false">IF($K254="","",IF(INDEX('Prospect Tracker'!$J$5:$J$554,$K254)="","",INDEX('Prospect Tracker'!$J$5:$J$554,$K254)))</f>
        <v/>
      </c>
      <c r="G254" s="11" t="str">
        <f aca="false">IF($K254="","",IF(INDEX('Prospect Tracker'!$H$5:$H$554,$K254)="","",INDEX('Prospect Tracker'!$H$5:$H$554,$K254)))</f>
        <v/>
      </c>
      <c r="H254" s="12" t="str">
        <f aca="false">IF($K254="","",IF(INDEX('Prospect Tracker'!$K$5:$K$554,$K254)="","",INDEX('Prospect Tracker'!$K$5:$K$554,$K254)))</f>
        <v/>
      </c>
      <c r="I254" s="11" t="str">
        <f aca="false">IF($K254="","",IF(INDEX('Prospect Tracker'!$T$5:$T$554,$K254)="","",INDEX('Prospect Tracker'!$T$5:$T$554,$K254)))</f>
        <v/>
      </c>
      <c r="J254" s="11" t="str">
        <f aca="false">IF($K254="","",IF(INDEX('Prospect Tracker'!$L$5:$L$554,$K254)="","",INDEX('Prospect Tracker'!$L$5:$L$554,$K254)))</f>
        <v/>
      </c>
      <c r="K254" s="1" t="n">
        <f aca="false">IFERROR(MATCH(SMALL('Prospect Tracker'!$X$5:$X$554,ROW()-4),'Prospect Tracker'!$X$5:$X$554,0),"")</f>
        <v>250</v>
      </c>
    </row>
    <row r="255" customFormat="false" ht="15" hidden="false" customHeight="true" outlineLevel="0" collapsed="false">
      <c r="A255" s="6" t="str">
        <f aca="false">IF($K255="","",IF(INDEX('Prospect Tracker'!$W$5:$W$554,$K255)="","",INDEX('Prospect Tracker'!$W$5:$W$554,$K255)))</f>
        <v/>
      </c>
      <c r="B255" s="6" t="str">
        <f aca="false">IF($K255="","",IF(INDEX('Prospect Tracker'!$A$5:$A$554,$K255)="","",INDEX('Prospect Tracker'!$A$5:$A$554,$K255)))</f>
        <v/>
      </c>
      <c r="C255" s="6" t="str">
        <f aca="false">IF($K255="","",IF(INDEX('Prospect Tracker'!$B$5:$B$554,$K255)="","",INDEX('Prospect Tracker'!$B$5:$B$554,$K255)))</f>
        <v/>
      </c>
      <c r="D255" s="6" t="str">
        <f aca="false">IF($K255="","",IF(INDEX('Prospect Tracker'!$M$5:$M$554,$K255)="","",INDEX('Prospect Tracker'!$M$5:$M$554,$K255)))</f>
        <v/>
      </c>
      <c r="E255" s="6" t="str">
        <f aca="false">IF($K255="","",IF(INDEX('Prospect Tracker'!$R$5:$R$554,$K255)="","",INDEX('Prospect Tracker'!$R$5:$R$554,$K255)))</f>
        <v/>
      </c>
      <c r="F255" s="6" t="str">
        <f aca="false">IF($K255="","",IF(INDEX('Prospect Tracker'!$J$5:$J$554,$K255)="","",INDEX('Prospect Tracker'!$J$5:$J$554,$K255)))</f>
        <v/>
      </c>
      <c r="G255" s="6" t="str">
        <f aca="false">IF($K255="","",IF(INDEX('Prospect Tracker'!$H$5:$H$554,$K255)="","",INDEX('Prospect Tracker'!$H$5:$H$554,$K255)))</f>
        <v/>
      </c>
      <c r="H255" s="7" t="str">
        <f aca="false">IF($K255="","",IF(INDEX('Prospect Tracker'!$K$5:$K$554,$K255)="","",INDEX('Prospect Tracker'!$K$5:$K$554,$K255)))</f>
        <v/>
      </c>
      <c r="I255" s="6" t="str">
        <f aca="false">IF($K255="","",IF(INDEX('Prospect Tracker'!$T$5:$T$554,$K255)="","",INDEX('Prospect Tracker'!$T$5:$T$554,$K255)))</f>
        <v/>
      </c>
      <c r="J255" s="6" t="str">
        <f aca="false">IF($K255="","",IF(INDEX('Prospect Tracker'!$L$5:$L$554,$K255)="","",INDEX('Prospect Tracker'!$L$5:$L$554,$K255)))</f>
        <v/>
      </c>
      <c r="K255" s="1" t="n">
        <f aca="false">IFERROR(MATCH(SMALL('Prospect Tracker'!$X$5:$X$554,ROW()-4),'Prospect Tracker'!$X$5:$X$554,0),"")</f>
        <v>251</v>
      </c>
    </row>
    <row r="256" customFormat="false" ht="15" hidden="false" customHeight="true" outlineLevel="0" collapsed="false">
      <c r="A256" s="11" t="str">
        <f aca="false">IF($K256="","",IF(INDEX('Prospect Tracker'!$W$5:$W$554,$K256)="","",INDEX('Prospect Tracker'!$W$5:$W$554,$K256)))</f>
        <v/>
      </c>
      <c r="B256" s="11" t="str">
        <f aca="false">IF($K256="","",IF(INDEX('Prospect Tracker'!$A$5:$A$554,$K256)="","",INDEX('Prospect Tracker'!$A$5:$A$554,$K256)))</f>
        <v/>
      </c>
      <c r="C256" s="11" t="str">
        <f aca="false">IF($K256="","",IF(INDEX('Prospect Tracker'!$B$5:$B$554,$K256)="","",INDEX('Prospect Tracker'!$B$5:$B$554,$K256)))</f>
        <v/>
      </c>
      <c r="D256" s="11" t="str">
        <f aca="false">IF($K256="","",IF(INDEX('Prospect Tracker'!$M$5:$M$554,$K256)="","",INDEX('Prospect Tracker'!$M$5:$M$554,$K256)))</f>
        <v/>
      </c>
      <c r="E256" s="11" t="str">
        <f aca="false">IF($K256="","",IF(INDEX('Prospect Tracker'!$R$5:$R$554,$K256)="","",INDEX('Prospect Tracker'!$R$5:$R$554,$K256)))</f>
        <v/>
      </c>
      <c r="F256" s="11" t="str">
        <f aca="false">IF($K256="","",IF(INDEX('Prospect Tracker'!$J$5:$J$554,$K256)="","",INDEX('Prospect Tracker'!$J$5:$J$554,$K256)))</f>
        <v/>
      </c>
      <c r="G256" s="11" t="str">
        <f aca="false">IF($K256="","",IF(INDEX('Prospect Tracker'!$H$5:$H$554,$K256)="","",INDEX('Prospect Tracker'!$H$5:$H$554,$K256)))</f>
        <v/>
      </c>
      <c r="H256" s="12" t="str">
        <f aca="false">IF($K256="","",IF(INDEX('Prospect Tracker'!$K$5:$K$554,$K256)="","",INDEX('Prospect Tracker'!$K$5:$K$554,$K256)))</f>
        <v/>
      </c>
      <c r="I256" s="11" t="str">
        <f aca="false">IF($K256="","",IF(INDEX('Prospect Tracker'!$T$5:$T$554,$K256)="","",INDEX('Prospect Tracker'!$T$5:$T$554,$K256)))</f>
        <v/>
      </c>
      <c r="J256" s="11" t="str">
        <f aca="false">IF($K256="","",IF(INDEX('Prospect Tracker'!$L$5:$L$554,$K256)="","",INDEX('Prospect Tracker'!$L$5:$L$554,$K256)))</f>
        <v/>
      </c>
      <c r="K256" s="1" t="n">
        <f aca="false">IFERROR(MATCH(SMALL('Prospect Tracker'!$X$5:$X$554,ROW()-4),'Prospect Tracker'!$X$5:$X$554,0),"")</f>
        <v>252</v>
      </c>
    </row>
    <row r="257" customFormat="false" ht="15" hidden="false" customHeight="true" outlineLevel="0" collapsed="false">
      <c r="A257" s="6" t="str">
        <f aca="false">IF($K257="","",IF(INDEX('Prospect Tracker'!$W$5:$W$554,$K257)="","",INDEX('Prospect Tracker'!$W$5:$W$554,$K257)))</f>
        <v/>
      </c>
      <c r="B257" s="6" t="str">
        <f aca="false">IF($K257="","",IF(INDEX('Prospect Tracker'!$A$5:$A$554,$K257)="","",INDEX('Prospect Tracker'!$A$5:$A$554,$K257)))</f>
        <v/>
      </c>
      <c r="C257" s="6" t="str">
        <f aca="false">IF($K257="","",IF(INDEX('Prospect Tracker'!$B$5:$B$554,$K257)="","",INDEX('Prospect Tracker'!$B$5:$B$554,$K257)))</f>
        <v/>
      </c>
      <c r="D257" s="6" t="str">
        <f aca="false">IF($K257="","",IF(INDEX('Prospect Tracker'!$M$5:$M$554,$K257)="","",INDEX('Prospect Tracker'!$M$5:$M$554,$K257)))</f>
        <v/>
      </c>
      <c r="E257" s="6" t="str">
        <f aca="false">IF($K257="","",IF(INDEX('Prospect Tracker'!$R$5:$R$554,$K257)="","",INDEX('Prospect Tracker'!$R$5:$R$554,$K257)))</f>
        <v/>
      </c>
      <c r="F257" s="6" t="str">
        <f aca="false">IF($K257="","",IF(INDEX('Prospect Tracker'!$J$5:$J$554,$K257)="","",INDEX('Prospect Tracker'!$J$5:$J$554,$K257)))</f>
        <v/>
      </c>
      <c r="G257" s="6" t="str">
        <f aca="false">IF($K257="","",IF(INDEX('Prospect Tracker'!$H$5:$H$554,$K257)="","",INDEX('Prospect Tracker'!$H$5:$H$554,$K257)))</f>
        <v/>
      </c>
      <c r="H257" s="7" t="str">
        <f aca="false">IF($K257="","",IF(INDEX('Prospect Tracker'!$K$5:$K$554,$K257)="","",INDEX('Prospect Tracker'!$K$5:$K$554,$K257)))</f>
        <v/>
      </c>
      <c r="I257" s="6" t="str">
        <f aca="false">IF($K257="","",IF(INDEX('Prospect Tracker'!$T$5:$T$554,$K257)="","",INDEX('Prospect Tracker'!$T$5:$T$554,$K257)))</f>
        <v/>
      </c>
      <c r="J257" s="6" t="str">
        <f aca="false">IF($K257="","",IF(INDEX('Prospect Tracker'!$L$5:$L$554,$K257)="","",INDEX('Prospect Tracker'!$L$5:$L$554,$K257)))</f>
        <v/>
      </c>
      <c r="K257" s="1" t="n">
        <f aca="false">IFERROR(MATCH(SMALL('Prospect Tracker'!$X$5:$X$554,ROW()-4),'Prospect Tracker'!$X$5:$X$554,0),"")</f>
        <v>253</v>
      </c>
    </row>
    <row r="258" customFormat="false" ht="15" hidden="false" customHeight="true" outlineLevel="0" collapsed="false">
      <c r="A258" s="11" t="str">
        <f aca="false">IF($K258="","",IF(INDEX('Prospect Tracker'!$W$5:$W$554,$K258)="","",INDEX('Prospect Tracker'!$W$5:$W$554,$K258)))</f>
        <v/>
      </c>
      <c r="B258" s="11" t="str">
        <f aca="false">IF($K258="","",IF(INDEX('Prospect Tracker'!$A$5:$A$554,$K258)="","",INDEX('Prospect Tracker'!$A$5:$A$554,$K258)))</f>
        <v/>
      </c>
      <c r="C258" s="11" t="str">
        <f aca="false">IF($K258="","",IF(INDEX('Prospect Tracker'!$B$5:$B$554,$K258)="","",INDEX('Prospect Tracker'!$B$5:$B$554,$K258)))</f>
        <v/>
      </c>
      <c r="D258" s="11" t="str">
        <f aca="false">IF($K258="","",IF(INDEX('Prospect Tracker'!$M$5:$M$554,$K258)="","",INDEX('Prospect Tracker'!$M$5:$M$554,$K258)))</f>
        <v/>
      </c>
      <c r="E258" s="11" t="str">
        <f aca="false">IF($K258="","",IF(INDEX('Prospect Tracker'!$R$5:$R$554,$K258)="","",INDEX('Prospect Tracker'!$R$5:$R$554,$K258)))</f>
        <v/>
      </c>
      <c r="F258" s="11" t="str">
        <f aca="false">IF($K258="","",IF(INDEX('Prospect Tracker'!$J$5:$J$554,$K258)="","",INDEX('Prospect Tracker'!$J$5:$J$554,$K258)))</f>
        <v/>
      </c>
      <c r="G258" s="11" t="str">
        <f aca="false">IF($K258="","",IF(INDEX('Prospect Tracker'!$H$5:$H$554,$K258)="","",INDEX('Prospect Tracker'!$H$5:$H$554,$K258)))</f>
        <v/>
      </c>
      <c r="H258" s="12" t="str">
        <f aca="false">IF($K258="","",IF(INDEX('Prospect Tracker'!$K$5:$K$554,$K258)="","",INDEX('Prospect Tracker'!$K$5:$K$554,$K258)))</f>
        <v/>
      </c>
      <c r="I258" s="11" t="str">
        <f aca="false">IF($K258="","",IF(INDEX('Prospect Tracker'!$T$5:$T$554,$K258)="","",INDEX('Prospect Tracker'!$T$5:$T$554,$K258)))</f>
        <v/>
      </c>
      <c r="J258" s="11" t="str">
        <f aca="false">IF($K258="","",IF(INDEX('Prospect Tracker'!$L$5:$L$554,$K258)="","",INDEX('Prospect Tracker'!$L$5:$L$554,$K258)))</f>
        <v/>
      </c>
      <c r="K258" s="1" t="n">
        <f aca="false">IFERROR(MATCH(SMALL('Prospect Tracker'!$X$5:$X$554,ROW()-4),'Prospect Tracker'!$X$5:$X$554,0),"")</f>
        <v>254</v>
      </c>
    </row>
    <row r="259" customFormat="false" ht="15" hidden="false" customHeight="true" outlineLevel="0" collapsed="false">
      <c r="A259" s="6" t="str">
        <f aca="false">IF($K259="","",IF(INDEX('Prospect Tracker'!$W$5:$W$554,$K259)="","",INDEX('Prospect Tracker'!$W$5:$W$554,$K259)))</f>
        <v/>
      </c>
      <c r="B259" s="6" t="str">
        <f aca="false">IF($K259="","",IF(INDEX('Prospect Tracker'!$A$5:$A$554,$K259)="","",INDEX('Prospect Tracker'!$A$5:$A$554,$K259)))</f>
        <v/>
      </c>
      <c r="C259" s="6" t="str">
        <f aca="false">IF($K259="","",IF(INDEX('Prospect Tracker'!$B$5:$B$554,$K259)="","",INDEX('Prospect Tracker'!$B$5:$B$554,$K259)))</f>
        <v/>
      </c>
      <c r="D259" s="6" t="str">
        <f aca="false">IF($K259="","",IF(INDEX('Prospect Tracker'!$M$5:$M$554,$K259)="","",INDEX('Prospect Tracker'!$M$5:$M$554,$K259)))</f>
        <v/>
      </c>
      <c r="E259" s="6" t="str">
        <f aca="false">IF($K259="","",IF(INDEX('Prospect Tracker'!$R$5:$R$554,$K259)="","",INDEX('Prospect Tracker'!$R$5:$R$554,$K259)))</f>
        <v/>
      </c>
      <c r="F259" s="6" t="str">
        <f aca="false">IF($K259="","",IF(INDEX('Prospect Tracker'!$J$5:$J$554,$K259)="","",INDEX('Prospect Tracker'!$J$5:$J$554,$K259)))</f>
        <v/>
      </c>
      <c r="G259" s="6" t="str">
        <f aca="false">IF($K259="","",IF(INDEX('Prospect Tracker'!$H$5:$H$554,$K259)="","",INDEX('Prospect Tracker'!$H$5:$H$554,$K259)))</f>
        <v/>
      </c>
      <c r="H259" s="7" t="str">
        <f aca="false">IF($K259="","",IF(INDEX('Prospect Tracker'!$K$5:$K$554,$K259)="","",INDEX('Prospect Tracker'!$K$5:$K$554,$K259)))</f>
        <v/>
      </c>
      <c r="I259" s="6" t="str">
        <f aca="false">IF($K259="","",IF(INDEX('Prospect Tracker'!$T$5:$T$554,$K259)="","",INDEX('Prospect Tracker'!$T$5:$T$554,$K259)))</f>
        <v/>
      </c>
      <c r="J259" s="6" t="str">
        <f aca="false">IF($K259="","",IF(INDEX('Prospect Tracker'!$L$5:$L$554,$K259)="","",INDEX('Prospect Tracker'!$L$5:$L$554,$K259)))</f>
        <v/>
      </c>
      <c r="K259" s="1" t="n">
        <f aca="false">IFERROR(MATCH(SMALL('Prospect Tracker'!$X$5:$X$554,ROW()-4),'Prospect Tracker'!$X$5:$X$554,0),"")</f>
        <v>255</v>
      </c>
    </row>
    <row r="260" customFormat="false" ht="15" hidden="false" customHeight="true" outlineLevel="0" collapsed="false">
      <c r="A260" s="11" t="str">
        <f aca="false">IF($K260="","",IF(INDEX('Prospect Tracker'!$W$5:$W$554,$K260)="","",INDEX('Prospect Tracker'!$W$5:$W$554,$K260)))</f>
        <v/>
      </c>
      <c r="B260" s="11" t="str">
        <f aca="false">IF($K260="","",IF(INDEX('Prospect Tracker'!$A$5:$A$554,$K260)="","",INDEX('Prospect Tracker'!$A$5:$A$554,$K260)))</f>
        <v/>
      </c>
      <c r="C260" s="11" t="str">
        <f aca="false">IF($K260="","",IF(INDEX('Prospect Tracker'!$B$5:$B$554,$K260)="","",INDEX('Prospect Tracker'!$B$5:$B$554,$K260)))</f>
        <v/>
      </c>
      <c r="D260" s="11" t="str">
        <f aca="false">IF($K260="","",IF(INDEX('Prospect Tracker'!$M$5:$M$554,$K260)="","",INDEX('Prospect Tracker'!$M$5:$M$554,$K260)))</f>
        <v/>
      </c>
      <c r="E260" s="11" t="str">
        <f aca="false">IF($K260="","",IF(INDEX('Prospect Tracker'!$R$5:$R$554,$K260)="","",INDEX('Prospect Tracker'!$R$5:$R$554,$K260)))</f>
        <v/>
      </c>
      <c r="F260" s="11" t="str">
        <f aca="false">IF($K260="","",IF(INDEX('Prospect Tracker'!$J$5:$J$554,$K260)="","",INDEX('Prospect Tracker'!$J$5:$J$554,$K260)))</f>
        <v/>
      </c>
      <c r="G260" s="11" t="str">
        <f aca="false">IF($K260="","",IF(INDEX('Prospect Tracker'!$H$5:$H$554,$K260)="","",INDEX('Prospect Tracker'!$H$5:$H$554,$K260)))</f>
        <v/>
      </c>
      <c r="H260" s="12" t="str">
        <f aca="false">IF($K260="","",IF(INDEX('Prospect Tracker'!$K$5:$K$554,$K260)="","",INDEX('Prospect Tracker'!$K$5:$K$554,$K260)))</f>
        <v/>
      </c>
      <c r="I260" s="11" t="str">
        <f aca="false">IF($K260="","",IF(INDEX('Prospect Tracker'!$T$5:$T$554,$K260)="","",INDEX('Prospect Tracker'!$T$5:$T$554,$K260)))</f>
        <v/>
      </c>
      <c r="J260" s="11" t="str">
        <f aca="false">IF($K260="","",IF(INDEX('Prospect Tracker'!$L$5:$L$554,$K260)="","",INDEX('Prospect Tracker'!$L$5:$L$554,$K260)))</f>
        <v/>
      </c>
      <c r="K260" s="1" t="n">
        <f aca="false">IFERROR(MATCH(SMALL('Prospect Tracker'!$X$5:$X$554,ROW()-4),'Prospect Tracker'!$X$5:$X$554,0),"")</f>
        <v>256</v>
      </c>
    </row>
    <row r="261" customFormat="false" ht="15" hidden="false" customHeight="true" outlineLevel="0" collapsed="false">
      <c r="A261" s="6" t="str">
        <f aca="false">IF($K261="","",IF(INDEX('Prospect Tracker'!$W$5:$W$554,$K261)="","",INDEX('Prospect Tracker'!$W$5:$W$554,$K261)))</f>
        <v/>
      </c>
      <c r="B261" s="6" t="str">
        <f aca="false">IF($K261="","",IF(INDEX('Prospect Tracker'!$A$5:$A$554,$K261)="","",INDEX('Prospect Tracker'!$A$5:$A$554,$K261)))</f>
        <v/>
      </c>
      <c r="C261" s="6" t="str">
        <f aca="false">IF($K261="","",IF(INDEX('Prospect Tracker'!$B$5:$B$554,$K261)="","",INDEX('Prospect Tracker'!$B$5:$B$554,$K261)))</f>
        <v/>
      </c>
      <c r="D261" s="6" t="str">
        <f aca="false">IF($K261="","",IF(INDEX('Prospect Tracker'!$M$5:$M$554,$K261)="","",INDEX('Prospect Tracker'!$M$5:$M$554,$K261)))</f>
        <v/>
      </c>
      <c r="E261" s="6" t="str">
        <f aca="false">IF($K261="","",IF(INDEX('Prospect Tracker'!$R$5:$R$554,$K261)="","",INDEX('Prospect Tracker'!$R$5:$R$554,$K261)))</f>
        <v/>
      </c>
      <c r="F261" s="6" t="str">
        <f aca="false">IF($K261="","",IF(INDEX('Prospect Tracker'!$J$5:$J$554,$K261)="","",INDEX('Prospect Tracker'!$J$5:$J$554,$K261)))</f>
        <v/>
      </c>
      <c r="G261" s="6" t="str">
        <f aca="false">IF($K261="","",IF(INDEX('Prospect Tracker'!$H$5:$H$554,$K261)="","",INDEX('Prospect Tracker'!$H$5:$H$554,$K261)))</f>
        <v/>
      </c>
      <c r="H261" s="7" t="str">
        <f aca="false">IF($K261="","",IF(INDEX('Prospect Tracker'!$K$5:$K$554,$K261)="","",INDEX('Prospect Tracker'!$K$5:$K$554,$K261)))</f>
        <v/>
      </c>
      <c r="I261" s="6" t="str">
        <f aca="false">IF($K261="","",IF(INDEX('Prospect Tracker'!$T$5:$T$554,$K261)="","",INDEX('Prospect Tracker'!$T$5:$T$554,$K261)))</f>
        <v/>
      </c>
      <c r="J261" s="6" t="str">
        <f aca="false">IF($K261="","",IF(INDEX('Prospect Tracker'!$L$5:$L$554,$K261)="","",INDEX('Prospect Tracker'!$L$5:$L$554,$K261)))</f>
        <v/>
      </c>
      <c r="K261" s="1" t="n">
        <f aca="false">IFERROR(MATCH(SMALL('Prospect Tracker'!$X$5:$X$554,ROW()-4),'Prospect Tracker'!$X$5:$X$554,0),"")</f>
        <v>257</v>
      </c>
    </row>
    <row r="262" customFormat="false" ht="15" hidden="false" customHeight="true" outlineLevel="0" collapsed="false">
      <c r="A262" s="11" t="str">
        <f aca="false">IF($K262="","",IF(INDEX('Prospect Tracker'!$W$5:$W$554,$K262)="","",INDEX('Prospect Tracker'!$W$5:$W$554,$K262)))</f>
        <v/>
      </c>
      <c r="B262" s="11" t="str">
        <f aca="false">IF($K262="","",IF(INDEX('Prospect Tracker'!$A$5:$A$554,$K262)="","",INDEX('Prospect Tracker'!$A$5:$A$554,$K262)))</f>
        <v/>
      </c>
      <c r="C262" s="11" t="str">
        <f aca="false">IF($K262="","",IF(INDEX('Prospect Tracker'!$B$5:$B$554,$K262)="","",INDEX('Prospect Tracker'!$B$5:$B$554,$K262)))</f>
        <v/>
      </c>
      <c r="D262" s="11" t="str">
        <f aca="false">IF($K262="","",IF(INDEX('Prospect Tracker'!$M$5:$M$554,$K262)="","",INDEX('Prospect Tracker'!$M$5:$M$554,$K262)))</f>
        <v/>
      </c>
      <c r="E262" s="11" t="str">
        <f aca="false">IF($K262="","",IF(INDEX('Prospect Tracker'!$R$5:$R$554,$K262)="","",INDEX('Prospect Tracker'!$R$5:$R$554,$K262)))</f>
        <v/>
      </c>
      <c r="F262" s="11" t="str">
        <f aca="false">IF($K262="","",IF(INDEX('Prospect Tracker'!$J$5:$J$554,$K262)="","",INDEX('Prospect Tracker'!$J$5:$J$554,$K262)))</f>
        <v/>
      </c>
      <c r="G262" s="11" t="str">
        <f aca="false">IF($K262="","",IF(INDEX('Prospect Tracker'!$H$5:$H$554,$K262)="","",INDEX('Prospect Tracker'!$H$5:$H$554,$K262)))</f>
        <v/>
      </c>
      <c r="H262" s="12" t="str">
        <f aca="false">IF($K262="","",IF(INDEX('Prospect Tracker'!$K$5:$K$554,$K262)="","",INDEX('Prospect Tracker'!$K$5:$K$554,$K262)))</f>
        <v/>
      </c>
      <c r="I262" s="11" t="str">
        <f aca="false">IF($K262="","",IF(INDEX('Prospect Tracker'!$T$5:$T$554,$K262)="","",INDEX('Prospect Tracker'!$T$5:$T$554,$K262)))</f>
        <v/>
      </c>
      <c r="J262" s="11" t="str">
        <f aca="false">IF($K262="","",IF(INDEX('Prospect Tracker'!$L$5:$L$554,$K262)="","",INDEX('Prospect Tracker'!$L$5:$L$554,$K262)))</f>
        <v/>
      </c>
      <c r="K262" s="1" t="n">
        <f aca="false">IFERROR(MATCH(SMALL('Prospect Tracker'!$X$5:$X$554,ROW()-4),'Prospect Tracker'!$X$5:$X$554,0),"")</f>
        <v>258</v>
      </c>
    </row>
    <row r="263" customFormat="false" ht="15" hidden="false" customHeight="true" outlineLevel="0" collapsed="false">
      <c r="A263" s="6" t="str">
        <f aca="false">IF($K263="","",IF(INDEX('Prospect Tracker'!$W$5:$W$554,$K263)="","",INDEX('Prospect Tracker'!$W$5:$W$554,$K263)))</f>
        <v/>
      </c>
      <c r="B263" s="6" t="str">
        <f aca="false">IF($K263="","",IF(INDEX('Prospect Tracker'!$A$5:$A$554,$K263)="","",INDEX('Prospect Tracker'!$A$5:$A$554,$K263)))</f>
        <v/>
      </c>
      <c r="C263" s="6" t="str">
        <f aca="false">IF($K263="","",IF(INDEX('Prospect Tracker'!$B$5:$B$554,$K263)="","",INDEX('Prospect Tracker'!$B$5:$B$554,$K263)))</f>
        <v/>
      </c>
      <c r="D263" s="6" t="str">
        <f aca="false">IF($K263="","",IF(INDEX('Prospect Tracker'!$M$5:$M$554,$K263)="","",INDEX('Prospect Tracker'!$M$5:$M$554,$K263)))</f>
        <v/>
      </c>
      <c r="E263" s="6" t="str">
        <f aca="false">IF($K263="","",IF(INDEX('Prospect Tracker'!$R$5:$R$554,$K263)="","",INDEX('Prospect Tracker'!$R$5:$R$554,$K263)))</f>
        <v/>
      </c>
      <c r="F263" s="6" t="str">
        <f aca="false">IF($K263="","",IF(INDEX('Prospect Tracker'!$J$5:$J$554,$K263)="","",INDEX('Prospect Tracker'!$J$5:$J$554,$K263)))</f>
        <v/>
      </c>
      <c r="G263" s="6" t="str">
        <f aca="false">IF($K263="","",IF(INDEX('Prospect Tracker'!$H$5:$H$554,$K263)="","",INDEX('Prospect Tracker'!$H$5:$H$554,$K263)))</f>
        <v/>
      </c>
      <c r="H263" s="7" t="str">
        <f aca="false">IF($K263="","",IF(INDEX('Prospect Tracker'!$K$5:$K$554,$K263)="","",INDEX('Prospect Tracker'!$K$5:$K$554,$K263)))</f>
        <v/>
      </c>
      <c r="I263" s="6" t="str">
        <f aca="false">IF($K263="","",IF(INDEX('Prospect Tracker'!$T$5:$T$554,$K263)="","",INDEX('Prospect Tracker'!$T$5:$T$554,$K263)))</f>
        <v/>
      </c>
      <c r="J263" s="6" t="str">
        <f aca="false">IF($K263="","",IF(INDEX('Prospect Tracker'!$L$5:$L$554,$K263)="","",INDEX('Prospect Tracker'!$L$5:$L$554,$K263)))</f>
        <v/>
      </c>
      <c r="K263" s="1" t="n">
        <f aca="false">IFERROR(MATCH(SMALL('Prospect Tracker'!$X$5:$X$554,ROW()-4),'Prospect Tracker'!$X$5:$X$554,0),"")</f>
        <v>259</v>
      </c>
    </row>
    <row r="264" customFormat="false" ht="15" hidden="false" customHeight="true" outlineLevel="0" collapsed="false">
      <c r="A264" s="11" t="str">
        <f aca="false">IF($K264="","",IF(INDEX('Prospect Tracker'!$W$5:$W$554,$K264)="","",INDEX('Prospect Tracker'!$W$5:$W$554,$K264)))</f>
        <v/>
      </c>
      <c r="B264" s="11" t="str">
        <f aca="false">IF($K264="","",IF(INDEX('Prospect Tracker'!$A$5:$A$554,$K264)="","",INDEX('Prospect Tracker'!$A$5:$A$554,$K264)))</f>
        <v/>
      </c>
      <c r="C264" s="11" t="str">
        <f aca="false">IF($K264="","",IF(INDEX('Prospect Tracker'!$B$5:$B$554,$K264)="","",INDEX('Prospect Tracker'!$B$5:$B$554,$K264)))</f>
        <v/>
      </c>
      <c r="D264" s="11" t="str">
        <f aca="false">IF($K264="","",IF(INDEX('Prospect Tracker'!$M$5:$M$554,$K264)="","",INDEX('Prospect Tracker'!$M$5:$M$554,$K264)))</f>
        <v/>
      </c>
      <c r="E264" s="11" t="str">
        <f aca="false">IF($K264="","",IF(INDEX('Prospect Tracker'!$R$5:$R$554,$K264)="","",INDEX('Prospect Tracker'!$R$5:$R$554,$K264)))</f>
        <v/>
      </c>
      <c r="F264" s="11" t="str">
        <f aca="false">IF($K264="","",IF(INDEX('Prospect Tracker'!$J$5:$J$554,$K264)="","",INDEX('Prospect Tracker'!$J$5:$J$554,$K264)))</f>
        <v/>
      </c>
      <c r="G264" s="11" t="str">
        <f aca="false">IF($K264="","",IF(INDEX('Prospect Tracker'!$H$5:$H$554,$K264)="","",INDEX('Prospect Tracker'!$H$5:$H$554,$K264)))</f>
        <v/>
      </c>
      <c r="H264" s="12" t="str">
        <f aca="false">IF($K264="","",IF(INDEX('Prospect Tracker'!$K$5:$K$554,$K264)="","",INDEX('Prospect Tracker'!$K$5:$K$554,$K264)))</f>
        <v/>
      </c>
      <c r="I264" s="11" t="str">
        <f aca="false">IF($K264="","",IF(INDEX('Prospect Tracker'!$T$5:$T$554,$K264)="","",INDEX('Prospect Tracker'!$T$5:$T$554,$K264)))</f>
        <v/>
      </c>
      <c r="J264" s="11" t="str">
        <f aca="false">IF($K264="","",IF(INDEX('Prospect Tracker'!$L$5:$L$554,$K264)="","",INDEX('Prospect Tracker'!$L$5:$L$554,$K264)))</f>
        <v/>
      </c>
      <c r="K264" s="1" t="n">
        <f aca="false">IFERROR(MATCH(SMALL('Prospect Tracker'!$X$5:$X$554,ROW()-4),'Prospect Tracker'!$X$5:$X$554,0),"")</f>
        <v>260</v>
      </c>
    </row>
    <row r="265" customFormat="false" ht="15" hidden="false" customHeight="true" outlineLevel="0" collapsed="false">
      <c r="A265" s="6" t="str">
        <f aca="false">IF($K265="","",IF(INDEX('Prospect Tracker'!$W$5:$W$554,$K265)="","",INDEX('Prospect Tracker'!$W$5:$W$554,$K265)))</f>
        <v/>
      </c>
      <c r="B265" s="6" t="str">
        <f aca="false">IF($K265="","",IF(INDEX('Prospect Tracker'!$A$5:$A$554,$K265)="","",INDEX('Prospect Tracker'!$A$5:$A$554,$K265)))</f>
        <v/>
      </c>
      <c r="C265" s="6" t="str">
        <f aca="false">IF($K265="","",IF(INDEX('Prospect Tracker'!$B$5:$B$554,$K265)="","",INDEX('Prospect Tracker'!$B$5:$B$554,$K265)))</f>
        <v/>
      </c>
      <c r="D265" s="6" t="str">
        <f aca="false">IF($K265="","",IF(INDEX('Prospect Tracker'!$M$5:$M$554,$K265)="","",INDEX('Prospect Tracker'!$M$5:$M$554,$K265)))</f>
        <v/>
      </c>
      <c r="E265" s="6" t="str">
        <f aca="false">IF($K265="","",IF(INDEX('Prospect Tracker'!$R$5:$R$554,$K265)="","",INDEX('Prospect Tracker'!$R$5:$R$554,$K265)))</f>
        <v/>
      </c>
      <c r="F265" s="6" t="str">
        <f aca="false">IF($K265="","",IF(INDEX('Prospect Tracker'!$J$5:$J$554,$K265)="","",INDEX('Prospect Tracker'!$J$5:$J$554,$K265)))</f>
        <v/>
      </c>
      <c r="G265" s="6" t="str">
        <f aca="false">IF($K265="","",IF(INDEX('Prospect Tracker'!$H$5:$H$554,$K265)="","",INDEX('Prospect Tracker'!$H$5:$H$554,$K265)))</f>
        <v/>
      </c>
      <c r="H265" s="7" t="str">
        <f aca="false">IF($K265="","",IF(INDEX('Prospect Tracker'!$K$5:$K$554,$K265)="","",INDEX('Prospect Tracker'!$K$5:$K$554,$K265)))</f>
        <v/>
      </c>
      <c r="I265" s="6" t="str">
        <f aca="false">IF($K265="","",IF(INDEX('Prospect Tracker'!$T$5:$T$554,$K265)="","",INDEX('Prospect Tracker'!$T$5:$T$554,$K265)))</f>
        <v/>
      </c>
      <c r="J265" s="6" t="str">
        <f aca="false">IF($K265="","",IF(INDEX('Prospect Tracker'!$L$5:$L$554,$K265)="","",INDEX('Prospect Tracker'!$L$5:$L$554,$K265)))</f>
        <v/>
      </c>
      <c r="K265" s="1" t="n">
        <f aca="false">IFERROR(MATCH(SMALL('Prospect Tracker'!$X$5:$X$554,ROW()-4),'Prospect Tracker'!$X$5:$X$554,0),"")</f>
        <v>261</v>
      </c>
    </row>
    <row r="266" customFormat="false" ht="15" hidden="false" customHeight="true" outlineLevel="0" collapsed="false">
      <c r="A266" s="11" t="str">
        <f aca="false">IF($K266="","",IF(INDEX('Prospect Tracker'!$W$5:$W$554,$K266)="","",INDEX('Prospect Tracker'!$W$5:$W$554,$K266)))</f>
        <v/>
      </c>
      <c r="B266" s="11" t="str">
        <f aca="false">IF($K266="","",IF(INDEX('Prospect Tracker'!$A$5:$A$554,$K266)="","",INDEX('Prospect Tracker'!$A$5:$A$554,$K266)))</f>
        <v/>
      </c>
      <c r="C266" s="11" t="str">
        <f aca="false">IF($K266="","",IF(INDEX('Prospect Tracker'!$B$5:$B$554,$K266)="","",INDEX('Prospect Tracker'!$B$5:$B$554,$K266)))</f>
        <v/>
      </c>
      <c r="D266" s="11" t="str">
        <f aca="false">IF($K266="","",IF(INDEX('Prospect Tracker'!$M$5:$M$554,$K266)="","",INDEX('Prospect Tracker'!$M$5:$M$554,$K266)))</f>
        <v/>
      </c>
      <c r="E266" s="11" t="str">
        <f aca="false">IF($K266="","",IF(INDEX('Prospect Tracker'!$R$5:$R$554,$K266)="","",INDEX('Prospect Tracker'!$R$5:$R$554,$K266)))</f>
        <v/>
      </c>
      <c r="F266" s="11" t="str">
        <f aca="false">IF($K266="","",IF(INDEX('Prospect Tracker'!$J$5:$J$554,$K266)="","",INDEX('Prospect Tracker'!$J$5:$J$554,$K266)))</f>
        <v/>
      </c>
      <c r="G266" s="11" t="str">
        <f aca="false">IF($K266="","",IF(INDEX('Prospect Tracker'!$H$5:$H$554,$K266)="","",INDEX('Prospect Tracker'!$H$5:$H$554,$K266)))</f>
        <v/>
      </c>
      <c r="H266" s="12" t="str">
        <f aca="false">IF($K266="","",IF(INDEX('Prospect Tracker'!$K$5:$K$554,$K266)="","",INDEX('Prospect Tracker'!$K$5:$K$554,$K266)))</f>
        <v/>
      </c>
      <c r="I266" s="11" t="str">
        <f aca="false">IF($K266="","",IF(INDEX('Prospect Tracker'!$T$5:$T$554,$K266)="","",INDEX('Prospect Tracker'!$T$5:$T$554,$K266)))</f>
        <v/>
      </c>
      <c r="J266" s="11" t="str">
        <f aca="false">IF($K266="","",IF(INDEX('Prospect Tracker'!$L$5:$L$554,$K266)="","",INDEX('Prospect Tracker'!$L$5:$L$554,$K266)))</f>
        <v/>
      </c>
      <c r="K266" s="1" t="n">
        <f aca="false">IFERROR(MATCH(SMALL('Prospect Tracker'!$X$5:$X$554,ROW()-4),'Prospect Tracker'!$X$5:$X$554,0),"")</f>
        <v>262</v>
      </c>
    </row>
    <row r="267" customFormat="false" ht="15" hidden="false" customHeight="true" outlineLevel="0" collapsed="false">
      <c r="A267" s="6" t="str">
        <f aca="false">IF($K267="","",IF(INDEX('Prospect Tracker'!$W$5:$W$554,$K267)="","",INDEX('Prospect Tracker'!$W$5:$W$554,$K267)))</f>
        <v/>
      </c>
      <c r="B267" s="6" t="str">
        <f aca="false">IF($K267="","",IF(INDEX('Prospect Tracker'!$A$5:$A$554,$K267)="","",INDEX('Prospect Tracker'!$A$5:$A$554,$K267)))</f>
        <v/>
      </c>
      <c r="C267" s="6" t="str">
        <f aca="false">IF($K267="","",IF(INDEX('Prospect Tracker'!$B$5:$B$554,$K267)="","",INDEX('Prospect Tracker'!$B$5:$B$554,$K267)))</f>
        <v/>
      </c>
      <c r="D267" s="6" t="str">
        <f aca="false">IF($K267="","",IF(INDEX('Prospect Tracker'!$M$5:$M$554,$K267)="","",INDEX('Prospect Tracker'!$M$5:$M$554,$K267)))</f>
        <v/>
      </c>
      <c r="E267" s="6" t="str">
        <f aca="false">IF($K267="","",IF(INDEX('Prospect Tracker'!$R$5:$R$554,$K267)="","",INDEX('Prospect Tracker'!$R$5:$R$554,$K267)))</f>
        <v/>
      </c>
      <c r="F267" s="6" t="str">
        <f aca="false">IF($K267="","",IF(INDEX('Prospect Tracker'!$J$5:$J$554,$K267)="","",INDEX('Prospect Tracker'!$J$5:$J$554,$K267)))</f>
        <v/>
      </c>
      <c r="G267" s="6" t="str">
        <f aca="false">IF($K267="","",IF(INDEX('Prospect Tracker'!$H$5:$H$554,$K267)="","",INDEX('Prospect Tracker'!$H$5:$H$554,$K267)))</f>
        <v/>
      </c>
      <c r="H267" s="7" t="str">
        <f aca="false">IF($K267="","",IF(INDEX('Prospect Tracker'!$K$5:$K$554,$K267)="","",INDEX('Prospect Tracker'!$K$5:$K$554,$K267)))</f>
        <v/>
      </c>
      <c r="I267" s="6" t="str">
        <f aca="false">IF($K267="","",IF(INDEX('Prospect Tracker'!$T$5:$T$554,$K267)="","",INDEX('Prospect Tracker'!$T$5:$T$554,$K267)))</f>
        <v/>
      </c>
      <c r="J267" s="6" t="str">
        <f aca="false">IF($K267="","",IF(INDEX('Prospect Tracker'!$L$5:$L$554,$K267)="","",INDEX('Prospect Tracker'!$L$5:$L$554,$K267)))</f>
        <v/>
      </c>
      <c r="K267" s="1" t="n">
        <f aca="false">IFERROR(MATCH(SMALL('Prospect Tracker'!$X$5:$X$554,ROW()-4),'Prospect Tracker'!$X$5:$X$554,0),"")</f>
        <v>263</v>
      </c>
    </row>
    <row r="268" customFormat="false" ht="15" hidden="false" customHeight="true" outlineLevel="0" collapsed="false">
      <c r="A268" s="11" t="str">
        <f aca="false">IF($K268="","",IF(INDEX('Prospect Tracker'!$W$5:$W$554,$K268)="","",INDEX('Prospect Tracker'!$W$5:$W$554,$K268)))</f>
        <v/>
      </c>
      <c r="B268" s="11" t="str">
        <f aca="false">IF($K268="","",IF(INDEX('Prospect Tracker'!$A$5:$A$554,$K268)="","",INDEX('Prospect Tracker'!$A$5:$A$554,$K268)))</f>
        <v/>
      </c>
      <c r="C268" s="11" t="str">
        <f aca="false">IF($K268="","",IF(INDEX('Prospect Tracker'!$B$5:$B$554,$K268)="","",INDEX('Prospect Tracker'!$B$5:$B$554,$K268)))</f>
        <v/>
      </c>
      <c r="D268" s="11" t="str">
        <f aca="false">IF($K268="","",IF(INDEX('Prospect Tracker'!$M$5:$M$554,$K268)="","",INDEX('Prospect Tracker'!$M$5:$M$554,$K268)))</f>
        <v/>
      </c>
      <c r="E268" s="11" t="str">
        <f aca="false">IF($K268="","",IF(INDEX('Prospect Tracker'!$R$5:$R$554,$K268)="","",INDEX('Prospect Tracker'!$R$5:$R$554,$K268)))</f>
        <v/>
      </c>
      <c r="F268" s="11" t="str">
        <f aca="false">IF($K268="","",IF(INDEX('Prospect Tracker'!$J$5:$J$554,$K268)="","",INDEX('Prospect Tracker'!$J$5:$J$554,$K268)))</f>
        <v/>
      </c>
      <c r="G268" s="11" t="str">
        <f aca="false">IF($K268="","",IF(INDEX('Prospect Tracker'!$H$5:$H$554,$K268)="","",INDEX('Prospect Tracker'!$H$5:$H$554,$K268)))</f>
        <v/>
      </c>
      <c r="H268" s="12" t="str">
        <f aca="false">IF($K268="","",IF(INDEX('Prospect Tracker'!$K$5:$K$554,$K268)="","",INDEX('Prospect Tracker'!$K$5:$K$554,$K268)))</f>
        <v/>
      </c>
      <c r="I268" s="11" t="str">
        <f aca="false">IF($K268="","",IF(INDEX('Prospect Tracker'!$T$5:$T$554,$K268)="","",INDEX('Prospect Tracker'!$T$5:$T$554,$K268)))</f>
        <v/>
      </c>
      <c r="J268" s="11" t="str">
        <f aca="false">IF($K268="","",IF(INDEX('Prospect Tracker'!$L$5:$L$554,$K268)="","",INDEX('Prospect Tracker'!$L$5:$L$554,$K268)))</f>
        <v/>
      </c>
      <c r="K268" s="1" t="n">
        <f aca="false">IFERROR(MATCH(SMALL('Prospect Tracker'!$X$5:$X$554,ROW()-4),'Prospect Tracker'!$X$5:$X$554,0),"")</f>
        <v>264</v>
      </c>
    </row>
    <row r="269" customFormat="false" ht="15" hidden="false" customHeight="true" outlineLevel="0" collapsed="false">
      <c r="A269" s="6" t="str">
        <f aca="false">IF($K269="","",IF(INDEX('Prospect Tracker'!$W$5:$W$554,$K269)="","",INDEX('Prospect Tracker'!$W$5:$W$554,$K269)))</f>
        <v/>
      </c>
      <c r="B269" s="6" t="str">
        <f aca="false">IF($K269="","",IF(INDEX('Prospect Tracker'!$A$5:$A$554,$K269)="","",INDEX('Prospect Tracker'!$A$5:$A$554,$K269)))</f>
        <v/>
      </c>
      <c r="C269" s="6" t="str">
        <f aca="false">IF($K269="","",IF(INDEX('Prospect Tracker'!$B$5:$B$554,$K269)="","",INDEX('Prospect Tracker'!$B$5:$B$554,$K269)))</f>
        <v/>
      </c>
      <c r="D269" s="6" t="str">
        <f aca="false">IF($K269="","",IF(INDEX('Prospect Tracker'!$M$5:$M$554,$K269)="","",INDEX('Prospect Tracker'!$M$5:$M$554,$K269)))</f>
        <v/>
      </c>
      <c r="E269" s="6" t="str">
        <f aca="false">IF($K269="","",IF(INDEX('Prospect Tracker'!$R$5:$R$554,$K269)="","",INDEX('Prospect Tracker'!$R$5:$R$554,$K269)))</f>
        <v/>
      </c>
      <c r="F269" s="6" t="str">
        <f aca="false">IF($K269="","",IF(INDEX('Prospect Tracker'!$J$5:$J$554,$K269)="","",INDEX('Prospect Tracker'!$J$5:$J$554,$K269)))</f>
        <v/>
      </c>
      <c r="G269" s="6" t="str">
        <f aca="false">IF($K269="","",IF(INDEX('Prospect Tracker'!$H$5:$H$554,$K269)="","",INDEX('Prospect Tracker'!$H$5:$H$554,$K269)))</f>
        <v/>
      </c>
      <c r="H269" s="7" t="str">
        <f aca="false">IF($K269="","",IF(INDEX('Prospect Tracker'!$K$5:$K$554,$K269)="","",INDEX('Prospect Tracker'!$K$5:$K$554,$K269)))</f>
        <v/>
      </c>
      <c r="I269" s="6" t="str">
        <f aca="false">IF($K269="","",IF(INDEX('Prospect Tracker'!$T$5:$T$554,$K269)="","",INDEX('Prospect Tracker'!$T$5:$T$554,$K269)))</f>
        <v/>
      </c>
      <c r="J269" s="6" t="str">
        <f aca="false">IF($K269="","",IF(INDEX('Prospect Tracker'!$L$5:$L$554,$K269)="","",INDEX('Prospect Tracker'!$L$5:$L$554,$K269)))</f>
        <v/>
      </c>
      <c r="K269" s="1" t="n">
        <f aca="false">IFERROR(MATCH(SMALL('Prospect Tracker'!$X$5:$X$554,ROW()-4),'Prospect Tracker'!$X$5:$X$554,0),"")</f>
        <v>265</v>
      </c>
    </row>
    <row r="270" customFormat="false" ht="15" hidden="false" customHeight="true" outlineLevel="0" collapsed="false">
      <c r="A270" s="11" t="str">
        <f aca="false">IF($K270="","",IF(INDEX('Prospect Tracker'!$W$5:$W$554,$K270)="","",INDEX('Prospect Tracker'!$W$5:$W$554,$K270)))</f>
        <v/>
      </c>
      <c r="B270" s="11" t="str">
        <f aca="false">IF($K270="","",IF(INDEX('Prospect Tracker'!$A$5:$A$554,$K270)="","",INDEX('Prospect Tracker'!$A$5:$A$554,$K270)))</f>
        <v/>
      </c>
      <c r="C270" s="11" t="str">
        <f aca="false">IF($K270="","",IF(INDEX('Prospect Tracker'!$B$5:$B$554,$K270)="","",INDEX('Prospect Tracker'!$B$5:$B$554,$K270)))</f>
        <v/>
      </c>
      <c r="D270" s="11" t="str">
        <f aca="false">IF($K270="","",IF(INDEX('Prospect Tracker'!$M$5:$M$554,$K270)="","",INDEX('Prospect Tracker'!$M$5:$M$554,$K270)))</f>
        <v/>
      </c>
      <c r="E270" s="11" t="str">
        <f aca="false">IF($K270="","",IF(INDEX('Prospect Tracker'!$R$5:$R$554,$K270)="","",INDEX('Prospect Tracker'!$R$5:$R$554,$K270)))</f>
        <v/>
      </c>
      <c r="F270" s="11" t="str">
        <f aca="false">IF($K270="","",IF(INDEX('Prospect Tracker'!$J$5:$J$554,$K270)="","",INDEX('Prospect Tracker'!$J$5:$J$554,$K270)))</f>
        <v/>
      </c>
      <c r="G270" s="11" t="str">
        <f aca="false">IF($K270="","",IF(INDEX('Prospect Tracker'!$H$5:$H$554,$K270)="","",INDEX('Prospect Tracker'!$H$5:$H$554,$K270)))</f>
        <v/>
      </c>
      <c r="H270" s="12" t="str">
        <f aca="false">IF($K270="","",IF(INDEX('Prospect Tracker'!$K$5:$K$554,$K270)="","",INDEX('Prospect Tracker'!$K$5:$K$554,$K270)))</f>
        <v/>
      </c>
      <c r="I270" s="11" t="str">
        <f aca="false">IF($K270="","",IF(INDEX('Prospect Tracker'!$T$5:$T$554,$K270)="","",INDEX('Prospect Tracker'!$T$5:$T$554,$K270)))</f>
        <v/>
      </c>
      <c r="J270" s="11" t="str">
        <f aca="false">IF($K270="","",IF(INDEX('Prospect Tracker'!$L$5:$L$554,$K270)="","",INDEX('Prospect Tracker'!$L$5:$L$554,$K270)))</f>
        <v/>
      </c>
      <c r="K270" s="1" t="n">
        <f aca="false">IFERROR(MATCH(SMALL('Prospect Tracker'!$X$5:$X$554,ROW()-4),'Prospect Tracker'!$X$5:$X$554,0),"")</f>
        <v>266</v>
      </c>
    </row>
    <row r="271" customFormat="false" ht="15" hidden="false" customHeight="true" outlineLevel="0" collapsed="false">
      <c r="A271" s="6" t="str">
        <f aca="false">IF($K271="","",IF(INDEX('Prospect Tracker'!$W$5:$W$554,$K271)="","",INDEX('Prospect Tracker'!$W$5:$W$554,$K271)))</f>
        <v/>
      </c>
      <c r="B271" s="6" t="str">
        <f aca="false">IF($K271="","",IF(INDEX('Prospect Tracker'!$A$5:$A$554,$K271)="","",INDEX('Prospect Tracker'!$A$5:$A$554,$K271)))</f>
        <v/>
      </c>
      <c r="C271" s="6" t="str">
        <f aca="false">IF($K271="","",IF(INDEX('Prospect Tracker'!$B$5:$B$554,$K271)="","",INDEX('Prospect Tracker'!$B$5:$B$554,$K271)))</f>
        <v/>
      </c>
      <c r="D271" s="6" t="str">
        <f aca="false">IF($K271="","",IF(INDEX('Prospect Tracker'!$M$5:$M$554,$K271)="","",INDEX('Prospect Tracker'!$M$5:$M$554,$K271)))</f>
        <v/>
      </c>
      <c r="E271" s="6" t="str">
        <f aca="false">IF($K271="","",IF(INDEX('Prospect Tracker'!$R$5:$R$554,$K271)="","",INDEX('Prospect Tracker'!$R$5:$R$554,$K271)))</f>
        <v/>
      </c>
      <c r="F271" s="6" t="str">
        <f aca="false">IF($K271="","",IF(INDEX('Prospect Tracker'!$J$5:$J$554,$K271)="","",INDEX('Prospect Tracker'!$J$5:$J$554,$K271)))</f>
        <v/>
      </c>
      <c r="G271" s="6" t="str">
        <f aca="false">IF($K271="","",IF(INDEX('Prospect Tracker'!$H$5:$H$554,$K271)="","",INDEX('Prospect Tracker'!$H$5:$H$554,$K271)))</f>
        <v/>
      </c>
      <c r="H271" s="7" t="str">
        <f aca="false">IF($K271="","",IF(INDEX('Prospect Tracker'!$K$5:$K$554,$K271)="","",INDEX('Prospect Tracker'!$K$5:$K$554,$K271)))</f>
        <v/>
      </c>
      <c r="I271" s="6" t="str">
        <f aca="false">IF($K271="","",IF(INDEX('Prospect Tracker'!$T$5:$T$554,$K271)="","",INDEX('Prospect Tracker'!$T$5:$T$554,$K271)))</f>
        <v/>
      </c>
      <c r="J271" s="6" t="str">
        <f aca="false">IF($K271="","",IF(INDEX('Prospect Tracker'!$L$5:$L$554,$K271)="","",INDEX('Prospect Tracker'!$L$5:$L$554,$K271)))</f>
        <v/>
      </c>
      <c r="K271" s="1" t="n">
        <f aca="false">IFERROR(MATCH(SMALL('Prospect Tracker'!$X$5:$X$554,ROW()-4),'Prospect Tracker'!$X$5:$X$554,0),"")</f>
        <v>267</v>
      </c>
    </row>
    <row r="272" customFormat="false" ht="15" hidden="false" customHeight="true" outlineLevel="0" collapsed="false">
      <c r="A272" s="11" t="str">
        <f aca="false">IF($K272="","",IF(INDEX('Prospect Tracker'!$W$5:$W$554,$K272)="","",INDEX('Prospect Tracker'!$W$5:$W$554,$K272)))</f>
        <v/>
      </c>
      <c r="B272" s="11" t="str">
        <f aca="false">IF($K272="","",IF(INDEX('Prospect Tracker'!$A$5:$A$554,$K272)="","",INDEX('Prospect Tracker'!$A$5:$A$554,$K272)))</f>
        <v/>
      </c>
      <c r="C272" s="11" t="str">
        <f aca="false">IF($K272="","",IF(INDEX('Prospect Tracker'!$B$5:$B$554,$K272)="","",INDEX('Prospect Tracker'!$B$5:$B$554,$K272)))</f>
        <v/>
      </c>
      <c r="D272" s="11" t="str">
        <f aca="false">IF($K272="","",IF(INDEX('Prospect Tracker'!$M$5:$M$554,$K272)="","",INDEX('Prospect Tracker'!$M$5:$M$554,$K272)))</f>
        <v/>
      </c>
      <c r="E272" s="11" t="str">
        <f aca="false">IF($K272="","",IF(INDEX('Prospect Tracker'!$R$5:$R$554,$K272)="","",INDEX('Prospect Tracker'!$R$5:$R$554,$K272)))</f>
        <v/>
      </c>
      <c r="F272" s="11" t="str">
        <f aca="false">IF($K272="","",IF(INDEX('Prospect Tracker'!$J$5:$J$554,$K272)="","",INDEX('Prospect Tracker'!$J$5:$J$554,$K272)))</f>
        <v/>
      </c>
      <c r="G272" s="11" t="str">
        <f aca="false">IF($K272="","",IF(INDEX('Prospect Tracker'!$H$5:$H$554,$K272)="","",INDEX('Prospect Tracker'!$H$5:$H$554,$K272)))</f>
        <v/>
      </c>
      <c r="H272" s="12" t="str">
        <f aca="false">IF($K272="","",IF(INDEX('Prospect Tracker'!$K$5:$K$554,$K272)="","",INDEX('Prospect Tracker'!$K$5:$K$554,$K272)))</f>
        <v/>
      </c>
      <c r="I272" s="11" t="str">
        <f aca="false">IF($K272="","",IF(INDEX('Prospect Tracker'!$T$5:$T$554,$K272)="","",INDEX('Prospect Tracker'!$T$5:$T$554,$K272)))</f>
        <v/>
      </c>
      <c r="J272" s="11" t="str">
        <f aca="false">IF($K272="","",IF(INDEX('Prospect Tracker'!$L$5:$L$554,$K272)="","",INDEX('Prospect Tracker'!$L$5:$L$554,$K272)))</f>
        <v/>
      </c>
      <c r="K272" s="1" t="n">
        <f aca="false">IFERROR(MATCH(SMALL('Prospect Tracker'!$X$5:$X$554,ROW()-4),'Prospect Tracker'!$X$5:$X$554,0),"")</f>
        <v>268</v>
      </c>
    </row>
    <row r="273" customFormat="false" ht="15" hidden="false" customHeight="true" outlineLevel="0" collapsed="false">
      <c r="A273" s="6" t="str">
        <f aca="false">IF($K273="","",IF(INDEX('Prospect Tracker'!$W$5:$W$554,$K273)="","",INDEX('Prospect Tracker'!$W$5:$W$554,$K273)))</f>
        <v/>
      </c>
      <c r="B273" s="6" t="str">
        <f aca="false">IF($K273="","",IF(INDEX('Prospect Tracker'!$A$5:$A$554,$K273)="","",INDEX('Prospect Tracker'!$A$5:$A$554,$K273)))</f>
        <v/>
      </c>
      <c r="C273" s="6" t="str">
        <f aca="false">IF($K273="","",IF(INDEX('Prospect Tracker'!$B$5:$B$554,$K273)="","",INDEX('Prospect Tracker'!$B$5:$B$554,$K273)))</f>
        <v/>
      </c>
      <c r="D273" s="6" t="str">
        <f aca="false">IF($K273="","",IF(INDEX('Prospect Tracker'!$M$5:$M$554,$K273)="","",INDEX('Prospect Tracker'!$M$5:$M$554,$K273)))</f>
        <v/>
      </c>
      <c r="E273" s="6" t="str">
        <f aca="false">IF($K273="","",IF(INDEX('Prospect Tracker'!$R$5:$R$554,$K273)="","",INDEX('Prospect Tracker'!$R$5:$R$554,$K273)))</f>
        <v/>
      </c>
      <c r="F273" s="6" t="str">
        <f aca="false">IF($K273="","",IF(INDEX('Prospect Tracker'!$J$5:$J$554,$K273)="","",INDEX('Prospect Tracker'!$J$5:$J$554,$K273)))</f>
        <v/>
      </c>
      <c r="G273" s="6" t="str">
        <f aca="false">IF($K273="","",IF(INDEX('Prospect Tracker'!$H$5:$H$554,$K273)="","",INDEX('Prospect Tracker'!$H$5:$H$554,$K273)))</f>
        <v/>
      </c>
      <c r="H273" s="7" t="str">
        <f aca="false">IF($K273="","",IF(INDEX('Prospect Tracker'!$K$5:$K$554,$K273)="","",INDEX('Prospect Tracker'!$K$5:$K$554,$K273)))</f>
        <v/>
      </c>
      <c r="I273" s="6" t="str">
        <f aca="false">IF($K273="","",IF(INDEX('Prospect Tracker'!$T$5:$T$554,$K273)="","",INDEX('Prospect Tracker'!$T$5:$T$554,$K273)))</f>
        <v/>
      </c>
      <c r="J273" s="6" t="str">
        <f aca="false">IF($K273="","",IF(INDEX('Prospect Tracker'!$L$5:$L$554,$K273)="","",INDEX('Prospect Tracker'!$L$5:$L$554,$K273)))</f>
        <v/>
      </c>
      <c r="K273" s="1" t="n">
        <f aca="false">IFERROR(MATCH(SMALL('Prospect Tracker'!$X$5:$X$554,ROW()-4),'Prospect Tracker'!$X$5:$X$554,0),"")</f>
        <v>269</v>
      </c>
    </row>
    <row r="274" customFormat="false" ht="15" hidden="false" customHeight="true" outlineLevel="0" collapsed="false">
      <c r="A274" s="11" t="str">
        <f aca="false">IF($K274="","",IF(INDEX('Prospect Tracker'!$W$5:$W$554,$K274)="","",INDEX('Prospect Tracker'!$W$5:$W$554,$K274)))</f>
        <v/>
      </c>
      <c r="B274" s="11" t="str">
        <f aca="false">IF($K274="","",IF(INDEX('Prospect Tracker'!$A$5:$A$554,$K274)="","",INDEX('Prospect Tracker'!$A$5:$A$554,$K274)))</f>
        <v/>
      </c>
      <c r="C274" s="11" t="str">
        <f aca="false">IF($K274="","",IF(INDEX('Prospect Tracker'!$B$5:$B$554,$K274)="","",INDEX('Prospect Tracker'!$B$5:$B$554,$K274)))</f>
        <v/>
      </c>
      <c r="D274" s="11" t="str">
        <f aca="false">IF($K274="","",IF(INDEX('Prospect Tracker'!$M$5:$M$554,$K274)="","",INDEX('Prospect Tracker'!$M$5:$M$554,$K274)))</f>
        <v/>
      </c>
      <c r="E274" s="11" t="str">
        <f aca="false">IF($K274="","",IF(INDEX('Prospect Tracker'!$R$5:$R$554,$K274)="","",INDEX('Prospect Tracker'!$R$5:$R$554,$K274)))</f>
        <v/>
      </c>
      <c r="F274" s="11" t="str">
        <f aca="false">IF($K274="","",IF(INDEX('Prospect Tracker'!$J$5:$J$554,$K274)="","",INDEX('Prospect Tracker'!$J$5:$J$554,$K274)))</f>
        <v/>
      </c>
      <c r="G274" s="11" t="str">
        <f aca="false">IF($K274="","",IF(INDEX('Prospect Tracker'!$H$5:$H$554,$K274)="","",INDEX('Prospect Tracker'!$H$5:$H$554,$K274)))</f>
        <v/>
      </c>
      <c r="H274" s="12" t="str">
        <f aca="false">IF($K274="","",IF(INDEX('Prospect Tracker'!$K$5:$K$554,$K274)="","",INDEX('Prospect Tracker'!$K$5:$K$554,$K274)))</f>
        <v/>
      </c>
      <c r="I274" s="11" t="str">
        <f aca="false">IF($K274="","",IF(INDEX('Prospect Tracker'!$T$5:$T$554,$K274)="","",INDEX('Prospect Tracker'!$T$5:$T$554,$K274)))</f>
        <v/>
      </c>
      <c r="J274" s="11" t="str">
        <f aca="false">IF($K274="","",IF(INDEX('Prospect Tracker'!$L$5:$L$554,$K274)="","",INDEX('Prospect Tracker'!$L$5:$L$554,$K274)))</f>
        <v/>
      </c>
      <c r="K274" s="1" t="n">
        <f aca="false">IFERROR(MATCH(SMALL('Prospect Tracker'!$X$5:$X$554,ROW()-4),'Prospect Tracker'!$X$5:$X$554,0),"")</f>
        <v>270</v>
      </c>
    </row>
    <row r="275" customFormat="false" ht="15" hidden="false" customHeight="true" outlineLevel="0" collapsed="false">
      <c r="A275" s="6" t="str">
        <f aca="false">IF($K275="","",IF(INDEX('Prospect Tracker'!$W$5:$W$554,$K275)="","",INDEX('Prospect Tracker'!$W$5:$W$554,$K275)))</f>
        <v/>
      </c>
      <c r="B275" s="6" t="str">
        <f aca="false">IF($K275="","",IF(INDEX('Prospect Tracker'!$A$5:$A$554,$K275)="","",INDEX('Prospect Tracker'!$A$5:$A$554,$K275)))</f>
        <v/>
      </c>
      <c r="C275" s="6" t="str">
        <f aca="false">IF($K275="","",IF(INDEX('Prospect Tracker'!$B$5:$B$554,$K275)="","",INDEX('Prospect Tracker'!$B$5:$B$554,$K275)))</f>
        <v/>
      </c>
      <c r="D275" s="6" t="str">
        <f aca="false">IF($K275="","",IF(INDEX('Prospect Tracker'!$M$5:$M$554,$K275)="","",INDEX('Prospect Tracker'!$M$5:$M$554,$K275)))</f>
        <v/>
      </c>
      <c r="E275" s="6" t="str">
        <f aca="false">IF($K275="","",IF(INDEX('Prospect Tracker'!$R$5:$R$554,$K275)="","",INDEX('Prospect Tracker'!$R$5:$R$554,$K275)))</f>
        <v/>
      </c>
      <c r="F275" s="6" t="str">
        <f aca="false">IF($K275="","",IF(INDEX('Prospect Tracker'!$J$5:$J$554,$K275)="","",INDEX('Prospect Tracker'!$J$5:$J$554,$K275)))</f>
        <v/>
      </c>
      <c r="G275" s="6" t="str">
        <f aca="false">IF($K275="","",IF(INDEX('Prospect Tracker'!$H$5:$H$554,$K275)="","",INDEX('Prospect Tracker'!$H$5:$H$554,$K275)))</f>
        <v/>
      </c>
      <c r="H275" s="7" t="str">
        <f aca="false">IF($K275="","",IF(INDEX('Prospect Tracker'!$K$5:$K$554,$K275)="","",INDEX('Prospect Tracker'!$K$5:$K$554,$K275)))</f>
        <v/>
      </c>
      <c r="I275" s="6" t="str">
        <f aca="false">IF($K275="","",IF(INDEX('Prospect Tracker'!$T$5:$T$554,$K275)="","",INDEX('Prospect Tracker'!$T$5:$T$554,$K275)))</f>
        <v/>
      </c>
      <c r="J275" s="6" t="str">
        <f aca="false">IF($K275="","",IF(INDEX('Prospect Tracker'!$L$5:$L$554,$K275)="","",INDEX('Prospect Tracker'!$L$5:$L$554,$K275)))</f>
        <v/>
      </c>
      <c r="K275" s="1" t="n">
        <f aca="false">IFERROR(MATCH(SMALL('Prospect Tracker'!$X$5:$X$554,ROW()-4),'Prospect Tracker'!$X$5:$X$554,0),"")</f>
        <v>271</v>
      </c>
    </row>
    <row r="276" customFormat="false" ht="15" hidden="false" customHeight="true" outlineLevel="0" collapsed="false">
      <c r="A276" s="11" t="str">
        <f aca="false">IF($K276="","",IF(INDEX('Prospect Tracker'!$W$5:$W$554,$K276)="","",INDEX('Prospect Tracker'!$W$5:$W$554,$K276)))</f>
        <v/>
      </c>
      <c r="B276" s="11" t="str">
        <f aca="false">IF($K276="","",IF(INDEX('Prospect Tracker'!$A$5:$A$554,$K276)="","",INDEX('Prospect Tracker'!$A$5:$A$554,$K276)))</f>
        <v/>
      </c>
      <c r="C276" s="11" t="str">
        <f aca="false">IF($K276="","",IF(INDEX('Prospect Tracker'!$B$5:$B$554,$K276)="","",INDEX('Prospect Tracker'!$B$5:$B$554,$K276)))</f>
        <v/>
      </c>
      <c r="D276" s="11" t="str">
        <f aca="false">IF($K276="","",IF(INDEX('Prospect Tracker'!$M$5:$M$554,$K276)="","",INDEX('Prospect Tracker'!$M$5:$M$554,$K276)))</f>
        <v/>
      </c>
      <c r="E276" s="11" t="str">
        <f aca="false">IF($K276="","",IF(INDEX('Prospect Tracker'!$R$5:$R$554,$K276)="","",INDEX('Prospect Tracker'!$R$5:$R$554,$K276)))</f>
        <v/>
      </c>
      <c r="F276" s="11" t="str">
        <f aca="false">IF($K276="","",IF(INDEX('Prospect Tracker'!$J$5:$J$554,$K276)="","",INDEX('Prospect Tracker'!$J$5:$J$554,$K276)))</f>
        <v/>
      </c>
      <c r="G276" s="11" t="str">
        <f aca="false">IF($K276="","",IF(INDEX('Prospect Tracker'!$H$5:$H$554,$K276)="","",INDEX('Prospect Tracker'!$H$5:$H$554,$K276)))</f>
        <v/>
      </c>
      <c r="H276" s="12" t="str">
        <f aca="false">IF($K276="","",IF(INDEX('Prospect Tracker'!$K$5:$K$554,$K276)="","",INDEX('Prospect Tracker'!$K$5:$K$554,$K276)))</f>
        <v/>
      </c>
      <c r="I276" s="11" t="str">
        <f aca="false">IF($K276="","",IF(INDEX('Prospect Tracker'!$T$5:$T$554,$K276)="","",INDEX('Prospect Tracker'!$T$5:$T$554,$K276)))</f>
        <v/>
      </c>
      <c r="J276" s="11" t="str">
        <f aca="false">IF($K276="","",IF(INDEX('Prospect Tracker'!$L$5:$L$554,$K276)="","",INDEX('Prospect Tracker'!$L$5:$L$554,$K276)))</f>
        <v/>
      </c>
      <c r="K276" s="1" t="n">
        <f aca="false">IFERROR(MATCH(SMALL('Prospect Tracker'!$X$5:$X$554,ROW()-4),'Prospect Tracker'!$X$5:$X$554,0),"")</f>
        <v>272</v>
      </c>
    </row>
    <row r="277" customFormat="false" ht="15" hidden="false" customHeight="true" outlineLevel="0" collapsed="false">
      <c r="A277" s="6" t="str">
        <f aca="false">IF($K277="","",IF(INDEX('Prospect Tracker'!$W$5:$W$554,$K277)="","",INDEX('Prospect Tracker'!$W$5:$W$554,$K277)))</f>
        <v/>
      </c>
      <c r="B277" s="6" t="str">
        <f aca="false">IF($K277="","",IF(INDEX('Prospect Tracker'!$A$5:$A$554,$K277)="","",INDEX('Prospect Tracker'!$A$5:$A$554,$K277)))</f>
        <v/>
      </c>
      <c r="C277" s="6" t="str">
        <f aca="false">IF($K277="","",IF(INDEX('Prospect Tracker'!$B$5:$B$554,$K277)="","",INDEX('Prospect Tracker'!$B$5:$B$554,$K277)))</f>
        <v/>
      </c>
      <c r="D277" s="6" t="str">
        <f aca="false">IF($K277="","",IF(INDEX('Prospect Tracker'!$M$5:$M$554,$K277)="","",INDEX('Prospect Tracker'!$M$5:$M$554,$K277)))</f>
        <v/>
      </c>
      <c r="E277" s="6" t="str">
        <f aca="false">IF($K277="","",IF(INDEX('Prospect Tracker'!$R$5:$R$554,$K277)="","",INDEX('Prospect Tracker'!$R$5:$R$554,$K277)))</f>
        <v/>
      </c>
      <c r="F277" s="6" t="str">
        <f aca="false">IF($K277="","",IF(INDEX('Prospect Tracker'!$J$5:$J$554,$K277)="","",INDEX('Prospect Tracker'!$J$5:$J$554,$K277)))</f>
        <v/>
      </c>
      <c r="G277" s="6" t="str">
        <f aca="false">IF($K277="","",IF(INDEX('Prospect Tracker'!$H$5:$H$554,$K277)="","",INDEX('Prospect Tracker'!$H$5:$H$554,$K277)))</f>
        <v/>
      </c>
      <c r="H277" s="7" t="str">
        <f aca="false">IF($K277="","",IF(INDEX('Prospect Tracker'!$K$5:$K$554,$K277)="","",INDEX('Prospect Tracker'!$K$5:$K$554,$K277)))</f>
        <v/>
      </c>
      <c r="I277" s="6" t="str">
        <f aca="false">IF($K277="","",IF(INDEX('Prospect Tracker'!$T$5:$T$554,$K277)="","",INDEX('Prospect Tracker'!$T$5:$T$554,$K277)))</f>
        <v/>
      </c>
      <c r="J277" s="6" t="str">
        <f aca="false">IF($K277="","",IF(INDEX('Prospect Tracker'!$L$5:$L$554,$K277)="","",INDEX('Prospect Tracker'!$L$5:$L$554,$K277)))</f>
        <v/>
      </c>
      <c r="K277" s="1" t="n">
        <f aca="false">IFERROR(MATCH(SMALL('Prospect Tracker'!$X$5:$X$554,ROW()-4),'Prospect Tracker'!$X$5:$X$554,0),"")</f>
        <v>273</v>
      </c>
    </row>
    <row r="278" customFormat="false" ht="15" hidden="false" customHeight="true" outlineLevel="0" collapsed="false">
      <c r="A278" s="11" t="str">
        <f aca="false">IF($K278="","",IF(INDEX('Prospect Tracker'!$W$5:$W$554,$K278)="","",INDEX('Prospect Tracker'!$W$5:$W$554,$K278)))</f>
        <v/>
      </c>
      <c r="B278" s="11" t="str">
        <f aca="false">IF($K278="","",IF(INDEX('Prospect Tracker'!$A$5:$A$554,$K278)="","",INDEX('Prospect Tracker'!$A$5:$A$554,$K278)))</f>
        <v/>
      </c>
      <c r="C278" s="11" t="str">
        <f aca="false">IF($K278="","",IF(INDEX('Prospect Tracker'!$B$5:$B$554,$K278)="","",INDEX('Prospect Tracker'!$B$5:$B$554,$K278)))</f>
        <v/>
      </c>
      <c r="D278" s="11" t="str">
        <f aca="false">IF($K278="","",IF(INDEX('Prospect Tracker'!$M$5:$M$554,$K278)="","",INDEX('Prospect Tracker'!$M$5:$M$554,$K278)))</f>
        <v/>
      </c>
      <c r="E278" s="11" t="str">
        <f aca="false">IF($K278="","",IF(INDEX('Prospect Tracker'!$R$5:$R$554,$K278)="","",INDEX('Prospect Tracker'!$R$5:$R$554,$K278)))</f>
        <v/>
      </c>
      <c r="F278" s="11" t="str">
        <f aca="false">IF($K278="","",IF(INDEX('Prospect Tracker'!$J$5:$J$554,$K278)="","",INDEX('Prospect Tracker'!$J$5:$J$554,$K278)))</f>
        <v/>
      </c>
      <c r="G278" s="11" t="str">
        <f aca="false">IF($K278="","",IF(INDEX('Prospect Tracker'!$H$5:$H$554,$K278)="","",INDEX('Prospect Tracker'!$H$5:$H$554,$K278)))</f>
        <v/>
      </c>
      <c r="H278" s="12" t="str">
        <f aca="false">IF($K278="","",IF(INDEX('Prospect Tracker'!$K$5:$K$554,$K278)="","",INDEX('Prospect Tracker'!$K$5:$K$554,$K278)))</f>
        <v/>
      </c>
      <c r="I278" s="11" t="str">
        <f aca="false">IF($K278="","",IF(INDEX('Prospect Tracker'!$T$5:$T$554,$K278)="","",INDEX('Prospect Tracker'!$T$5:$T$554,$K278)))</f>
        <v/>
      </c>
      <c r="J278" s="11" t="str">
        <f aca="false">IF($K278="","",IF(INDEX('Prospect Tracker'!$L$5:$L$554,$K278)="","",INDEX('Prospect Tracker'!$L$5:$L$554,$K278)))</f>
        <v/>
      </c>
      <c r="K278" s="1" t="n">
        <f aca="false">IFERROR(MATCH(SMALL('Prospect Tracker'!$X$5:$X$554,ROW()-4),'Prospect Tracker'!$X$5:$X$554,0),"")</f>
        <v>274</v>
      </c>
    </row>
    <row r="279" customFormat="false" ht="15" hidden="false" customHeight="true" outlineLevel="0" collapsed="false">
      <c r="A279" s="6" t="str">
        <f aca="false">IF($K279="","",IF(INDEX('Prospect Tracker'!$W$5:$W$554,$K279)="","",INDEX('Prospect Tracker'!$W$5:$W$554,$K279)))</f>
        <v/>
      </c>
      <c r="B279" s="6" t="str">
        <f aca="false">IF($K279="","",IF(INDEX('Prospect Tracker'!$A$5:$A$554,$K279)="","",INDEX('Prospect Tracker'!$A$5:$A$554,$K279)))</f>
        <v/>
      </c>
      <c r="C279" s="6" t="str">
        <f aca="false">IF($K279="","",IF(INDEX('Prospect Tracker'!$B$5:$B$554,$K279)="","",INDEX('Prospect Tracker'!$B$5:$B$554,$K279)))</f>
        <v/>
      </c>
      <c r="D279" s="6" t="str">
        <f aca="false">IF($K279="","",IF(INDEX('Prospect Tracker'!$M$5:$M$554,$K279)="","",INDEX('Prospect Tracker'!$M$5:$M$554,$K279)))</f>
        <v/>
      </c>
      <c r="E279" s="6" t="str">
        <f aca="false">IF($K279="","",IF(INDEX('Prospect Tracker'!$R$5:$R$554,$K279)="","",INDEX('Prospect Tracker'!$R$5:$R$554,$K279)))</f>
        <v/>
      </c>
      <c r="F279" s="6" t="str">
        <f aca="false">IF($K279="","",IF(INDEX('Prospect Tracker'!$J$5:$J$554,$K279)="","",INDEX('Prospect Tracker'!$J$5:$J$554,$K279)))</f>
        <v/>
      </c>
      <c r="G279" s="6" t="str">
        <f aca="false">IF($K279="","",IF(INDEX('Prospect Tracker'!$H$5:$H$554,$K279)="","",INDEX('Prospect Tracker'!$H$5:$H$554,$K279)))</f>
        <v/>
      </c>
      <c r="H279" s="7" t="str">
        <f aca="false">IF($K279="","",IF(INDEX('Prospect Tracker'!$K$5:$K$554,$K279)="","",INDEX('Prospect Tracker'!$K$5:$K$554,$K279)))</f>
        <v/>
      </c>
      <c r="I279" s="6" t="str">
        <f aca="false">IF($K279="","",IF(INDEX('Prospect Tracker'!$T$5:$T$554,$K279)="","",INDEX('Prospect Tracker'!$T$5:$T$554,$K279)))</f>
        <v/>
      </c>
      <c r="J279" s="6" t="str">
        <f aca="false">IF($K279="","",IF(INDEX('Prospect Tracker'!$L$5:$L$554,$K279)="","",INDEX('Prospect Tracker'!$L$5:$L$554,$K279)))</f>
        <v/>
      </c>
      <c r="K279" s="1" t="n">
        <f aca="false">IFERROR(MATCH(SMALL('Prospect Tracker'!$X$5:$X$554,ROW()-4),'Prospect Tracker'!$X$5:$X$554,0),"")</f>
        <v>275</v>
      </c>
    </row>
    <row r="280" customFormat="false" ht="15" hidden="false" customHeight="true" outlineLevel="0" collapsed="false">
      <c r="A280" s="11" t="str">
        <f aca="false">IF($K280="","",IF(INDEX('Prospect Tracker'!$W$5:$W$554,$K280)="","",INDEX('Prospect Tracker'!$W$5:$W$554,$K280)))</f>
        <v/>
      </c>
      <c r="B280" s="11" t="str">
        <f aca="false">IF($K280="","",IF(INDEX('Prospect Tracker'!$A$5:$A$554,$K280)="","",INDEX('Prospect Tracker'!$A$5:$A$554,$K280)))</f>
        <v/>
      </c>
      <c r="C280" s="11" t="str">
        <f aca="false">IF($K280="","",IF(INDEX('Prospect Tracker'!$B$5:$B$554,$K280)="","",INDEX('Prospect Tracker'!$B$5:$B$554,$K280)))</f>
        <v/>
      </c>
      <c r="D280" s="11" t="str">
        <f aca="false">IF($K280="","",IF(INDEX('Prospect Tracker'!$M$5:$M$554,$K280)="","",INDEX('Prospect Tracker'!$M$5:$M$554,$K280)))</f>
        <v/>
      </c>
      <c r="E280" s="11" t="str">
        <f aca="false">IF($K280="","",IF(INDEX('Prospect Tracker'!$R$5:$R$554,$K280)="","",INDEX('Prospect Tracker'!$R$5:$R$554,$K280)))</f>
        <v/>
      </c>
      <c r="F280" s="11" t="str">
        <f aca="false">IF($K280="","",IF(INDEX('Prospect Tracker'!$J$5:$J$554,$K280)="","",INDEX('Prospect Tracker'!$J$5:$J$554,$K280)))</f>
        <v/>
      </c>
      <c r="G280" s="11" t="str">
        <f aca="false">IF($K280="","",IF(INDEX('Prospect Tracker'!$H$5:$H$554,$K280)="","",INDEX('Prospect Tracker'!$H$5:$H$554,$K280)))</f>
        <v/>
      </c>
      <c r="H280" s="12" t="str">
        <f aca="false">IF($K280="","",IF(INDEX('Prospect Tracker'!$K$5:$K$554,$K280)="","",INDEX('Prospect Tracker'!$K$5:$K$554,$K280)))</f>
        <v/>
      </c>
      <c r="I280" s="11" t="str">
        <f aca="false">IF($K280="","",IF(INDEX('Prospect Tracker'!$T$5:$T$554,$K280)="","",INDEX('Prospect Tracker'!$T$5:$T$554,$K280)))</f>
        <v/>
      </c>
      <c r="J280" s="11" t="str">
        <f aca="false">IF($K280="","",IF(INDEX('Prospect Tracker'!$L$5:$L$554,$K280)="","",INDEX('Prospect Tracker'!$L$5:$L$554,$K280)))</f>
        <v/>
      </c>
      <c r="K280" s="1" t="n">
        <f aca="false">IFERROR(MATCH(SMALL('Prospect Tracker'!$X$5:$X$554,ROW()-4),'Prospect Tracker'!$X$5:$X$554,0),"")</f>
        <v>276</v>
      </c>
    </row>
    <row r="281" customFormat="false" ht="15" hidden="false" customHeight="true" outlineLevel="0" collapsed="false">
      <c r="A281" s="6" t="str">
        <f aca="false">IF($K281="","",IF(INDEX('Prospect Tracker'!$W$5:$W$554,$K281)="","",INDEX('Prospect Tracker'!$W$5:$W$554,$K281)))</f>
        <v/>
      </c>
      <c r="B281" s="6" t="str">
        <f aca="false">IF($K281="","",IF(INDEX('Prospect Tracker'!$A$5:$A$554,$K281)="","",INDEX('Prospect Tracker'!$A$5:$A$554,$K281)))</f>
        <v/>
      </c>
      <c r="C281" s="6" t="str">
        <f aca="false">IF($K281="","",IF(INDEX('Prospect Tracker'!$B$5:$B$554,$K281)="","",INDEX('Prospect Tracker'!$B$5:$B$554,$K281)))</f>
        <v/>
      </c>
      <c r="D281" s="6" t="str">
        <f aca="false">IF($K281="","",IF(INDEX('Prospect Tracker'!$M$5:$M$554,$K281)="","",INDEX('Prospect Tracker'!$M$5:$M$554,$K281)))</f>
        <v/>
      </c>
      <c r="E281" s="6" t="str">
        <f aca="false">IF($K281="","",IF(INDEX('Prospect Tracker'!$R$5:$R$554,$K281)="","",INDEX('Prospect Tracker'!$R$5:$R$554,$K281)))</f>
        <v/>
      </c>
      <c r="F281" s="6" t="str">
        <f aca="false">IF($K281="","",IF(INDEX('Prospect Tracker'!$J$5:$J$554,$K281)="","",INDEX('Prospect Tracker'!$J$5:$J$554,$K281)))</f>
        <v/>
      </c>
      <c r="G281" s="6" t="str">
        <f aca="false">IF($K281="","",IF(INDEX('Prospect Tracker'!$H$5:$H$554,$K281)="","",INDEX('Prospect Tracker'!$H$5:$H$554,$K281)))</f>
        <v/>
      </c>
      <c r="H281" s="7" t="str">
        <f aca="false">IF($K281="","",IF(INDEX('Prospect Tracker'!$K$5:$K$554,$K281)="","",INDEX('Prospect Tracker'!$K$5:$K$554,$K281)))</f>
        <v/>
      </c>
      <c r="I281" s="6" t="str">
        <f aca="false">IF($K281="","",IF(INDEX('Prospect Tracker'!$T$5:$T$554,$K281)="","",INDEX('Prospect Tracker'!$T$5:$T$554,$K281)))</f>
        <v/>
      </c>
      <c r="J281" s="6" t="str">
        <f aca="false">IF($K281="","",IF(INDEX('Prospect Tracker'!$L$5:$L$554,$K281)="","",INDEX('Prospect Tracker'!$L$5:$L$554,$K281)))</f>
        <v/>
      </c>
      <c r="K281" s="1" t="n">
        <f aca="false">IFERROR(MATCH(SMALL('Prospect Tracker'!$X$5:$X$554,ROW()-4),'Prospect Tracker'!$X$5:$X$554,0),"")</f>
        <v>277</v>
      </c>
    </row>
    <row r="282" customFormat="false" ht="15" hidden="false" customHeight="true" outlineLevel="0" collapsed="false">
      <c r="A282" s="11" t="str">
        <f aca="false">IF($K282="","",IF(INDEX('Prospect Tracker'!$W$5:$W$554,$K282)="","",INDEX('Prospect Tracker'!$W$5:$W$554,$K282)))</f>
        <v/>
      </c>
      <c r="B282" s="11" t="str">
        <f aca="false">IF($K282="","",IF(INDEX('Prospect Tracker'!$A$5:$A$554,$K282)="","",INDEX('Prospect Tracker'!$A$5:$A$554,$K282)))</f>
        <v/>
      </c>
      <c r="C282" s="11" t="str">
        <f aca="false">IF($K282="","",IF(INDEX('Prospect Tracker'!$B$5:$B$554,$K282)="","",INDEX('Prospect Tracker'!$B$5:$B$554,$K282)))</f>
        <v/>
      </c>
      <c r="D282" s="11" t="str">
        <f aca="false">IF($K282="","",IF(INDEX('Prospect Tracker'!$M$5:$M$554,$K282)="","",INDEX('Prospect Tracker'!$M$5:$M$554,$K282)))</f>
        <v/>
      </c>
      <c r="E282" s="11" t="str">
        <f aca="false">IF($K282="","",IF(INDEX('Prospect Tracker'!$R$5:$R$554,$K282)="","",INDEX('Prospect Tracker'!$R$5:$R$554,$K282)))</f>
        <v/>
      </c>
      <c r="F282" s="11" t="str">
        <f aca="false">IF($K282="","",IF(INDEX('Prospect Tracker'!$J$5:$J$554,$K282)="","",INDEX('Prospect Tracker'!$J$5:$J$554,$K282)))</f>
        <v/>
      </c>
      <c r="G282" s="11" t="str">
        <f aca="false">IF($K282="","",IF(INDEX('Prospect Tracker'!$H$5:$H$554,$K282)="","",INDEX('Prospect Tracker'!$H$5:$H$554,$K282)))</f>
        <v/>
      </c>
      <c r="H282" s="12" t="str">
        <f aca="false">IF($K282="","",IF(INDEX('Prospect Tracker'!$K$5:$K$554,$K282)="","",INDEX('Prospect Tracker'!$K$5:$K$554,$K282)))</f>
        <v/>
      </c>
      <c r="I282" s="11" t="str">
        <f aca="false">IF($K282="","",IF(INDEX('Prospect Tracker'!$T$5:$T$554,$K282)="","",INDEX('Prospect Tracker'!$T$5:$T$554,$K282)))</f>
        <v/>
      </c>
      <c r="J282" s="11" t="str">
        <f aca="false">IF($K282="","",IF(INDEX('Prospect Tracker'!$L$5:$L$554,$K282)="","",INDEX('Prospect Tracker'!$L$5:$L$554,$K282)))</f>
        <v/>
      </c>
      <c r="K282" s="1" t="n">
        <f aca="false">IFERROR(MATCH(SMALL('Prospect Tracker'!$X$5:$X$554,ROW()-4),'Prospect Tracker'!$X$5:$X$554,0),"")</f>
        <v>278</v>
      </c>
    </row>
    <row r="283" customFormat="false" ht="15" hidden="false" customHeight="true" outlineLevel="0" collapsed="false">
      <c r="A283" s="6" t="str">
        <f aca="false">IF($K283="","",IF(INDEX('Prospect Tracker'!$W$5:$W$554,$K283)="","",INDEX('Prospect Tracker'!$W$5:$W$554,$K283)))</f>
        <v/>
      </c>
      <c r="B283" s="6" t="str">
        <f aca="false">IF($K283="","",IF(INDEX('Prospect Tracker'!$A$5:$A$554,$K283)="","",INDEX('Prospect Tracker'!$A$5:$A$554,$K283)))</f>
        <v/>
      </c>
      <c r="C283" s="6" t="str">
        <f aca="false">IF($K283="","",IF(INDEX('Prospect Tracker'!$B$5:$B$554,$K283)="","",INDEX('Prospect Tracker'!$B$5:$B$554,$K283)))</f>
        <v/>
      </c>
      <c r="D283" s="6" t="str">
        <f aca="false">IF($K283="","",IF(INDEX('Prospect Tracker'!$M$5:$M$554,$K283)="","",INDEX('Prospect Tracker'!$M$5:$M$554,$K283)))</f>
        <v/>
      </c>
      <c r="E283" s="6" t="str">
        <f aca="false">IF($K283="","",IF(INDEX('Prospect Tracker'!$R$5:$R$554,$K283)="","",INDEX('Prospect Tracker'!$R$5:$R$554,$K283)))</f>
        <v/>
      </c>
      <c r="F283" s="6" t="str">
        <f aca="false">IF($K283="","",IF(INDEX('Prospect Tracker'!$J$5:$J$554,$K283)="","",INDEX('Prospect Tracker'!$J$5:$J$554,$K283)))</f>
        <v/>
      </c>
      <c r="G283" s="6" t="str">
        <f aca="false">IF($K283="","",IF(INDEX('Prospect Tracker'!$H$5:$H$554,$K283)="","",INDEX('Prospect Tracker'!$H$5:$H$554,$K283)))</f>
        <v/>
      </c>
      <c r="H283" s="7" t="str">
        <f aca="false">IF($K283="","",IF(INDEX('Prospect Tracker'!$K$5:$K$554,$K283)="","",INDEX('Prospect Tracker'!$K$5:$K$554,$K283)))</f>
        <v/>
      </c>
      <c r="I283" s="6" t="str">
        <f aca="false">IF($K283="","",IF(INDEX('Prospect Tracker'!$T$5:$T$554,$K283)="","",INDEX('Prospect Tracker'!$T$5:$T$554,$K283)))</f>
        <v/>
      </c>
      <c r="J283" s="6" t="str">
        <f aca="false">IF($K283="","",IF(INDEX('Prospect Tracker'!$L$5:$L$554,$K283)="","",INDEX('Prospect Tracker'!$L$5:$L$554,$K283)))</f>
        <v/>
      </c>
      <c r="K283" s="1" t="n">
        <f aca="false">IFERROR(MATCH(SMALL('Prospect Tracker'!$X$5:$X$554,ROW()-4),'Prospect Tracker'!$X$5:$X$554,0),"")</f>
        <v>279</v>
      </c>
    </row>
    <row r="284" customFormat="false" ht="15" hidden="false" customHeight="true" outlineLevel="0" collapsed="false">
      <c r="A284" s="11" t="str">
        <f aca="false">IF($K284="","",IF(INDEX('Prospect Tracker'!$W$5:$W$554,$K284)="","",INDEX('Prospect Tracker'!$W$5:$W$554,$K284)))</f>
        <v/>
      </c>
      <c r="B284" s="11" t="str">
        <f aca="false">IF($K284="","",IF(INDEX('Prospect Tracker'!$A$5:$A$554,$K284)="","",INDEX('Prospect Tracker'!$A$5:$A$554,$K284)))</f>
        <v/>
      </c>
      <c r="C284" s="11" t="str">
        <f aca="false">IF($K284="","",IF(INDEX('Prospect Tracker'!$B$5:$B$554,$K284)="","",INDEX('Prospect Tracker'!$B$5:$B$554,$K284)))</f>
        <v/>
      </c>
      <c r="D284" s="11" t="str">
        <f aca="false">IF($K284="","",IF(INDEX('Prospect Tracker'!$M$5:$M$554,$K284)="","",INDEX('Prospect Tracker'!$M$5:$M$554,$K284)))</f>
        <v/>
      </c>
      <c r="E284" s="11" t="str">
        <f aca="false">IF($K284="","",IF(INDEX('Prospect Tracker'!$R$5:$R$554,$K284)="","",INDEX('Prospect Tracker'!$R$5:$R$554,$K284)))</f>
        <v/>
      </c>
      <c r="F284" s="11" t="str">
        <f aca="false">IF($K284="","",IF(INDEX('Prospect Tracker'!$J$5:$J$554,$K284)="","",INDEX('Prospect Tracker'!$J$5:$J$554,$K284)))</f>
        <v/>
      </c>
      <c r="G284" s="11" t="str">
        <f aca="false">IF($K284="","",IF(INDEX('Prospect Tracker'!$H$5:$H$554,$K284)="","",INDEX('Prospect Tracker'!$H$5:$H$554,$K284)))</f>
        <v/>
      </c>
      <c r="H284" s="12" t="str">
        <f aca="false">IF($K284="","",IF(INDEX('Prospect Tracker'!$K$5:$K$554,$K284)="","",INDEX('Prospect Tracker'!$K$5:$K$554,$K284)))</f>
        <v/>
      </c>
      <c r="I284" s="11" t="str">
        <f aca="false">IF($K284="","",IF(INDEX('Prospect Tracker'!$T$5:$T$554,$K284)="","",INDEX('Prospect Tracker'!$T$5:$T$554,$K284)))</f>
        <v/>
      </c>
      <c r="J284" s="11" t="str">
        <f aca="false">IF($K284="","",IF(INDEX('Prospect Tracker'!$L$5:$L$554,$K284)="","",INDEX('Prospect Tracker'!$L$5:$L$554,$K284)))</f>
        <v/>
      </c>
      <c r="K284" s="1" t="n">
        <f aca="false">IFERROR(MATCH(SMALL('Prospect Tracker'!$X$5:$X$554,ROW()-4),'Prospect Tracker'!$X$5:$X$554,0),"")</f>
        <v>280</v>
      </c>
    </row>
    <row r="285" customFormat="false" ht="15" hidden="false" customHeight="true" outlineLevel="0" collapsed="false">
      <c r="A285" s="6" t="str">
        <f aca="false">IF($K285="","",IF(INDEX('Prospect Tracker'!$W$5:$W$554,$K285)="","",INDEX('Prospect Tracker'!$W$5:$W$554,$K285)))</f>
        <v/>
      </c>
      <c r="B285" s="6" t="str">
        <f aca="false">IF($K285="","",IF(INDEX('Prospect Tracker'!$A$5:$A$554,$K285)="","",INDEX('Prospect Tracker'!$A$5:$A$554,$K285)))</f>
        <v/>
      </c>
      <c r="C285" s="6" t="str">
        <f aca="false">IF($K285="","",IF(INDEX('Prospect Tracker'!$B$5:$B$554,$K285)="","",INDEX('Prospect Tracker'!$B$5:$B$554,$K285)))</f>
        <v/>
      </c>
      <c r="D285" s="6" t="str">
        <f aca="false">IF($K285="","",IF(INDEX('Prospect Tracker'!$M$5:$M$554,$K285)="","",INDEX('Prospect Tracker'!$M$5:$M$554,$K285)))</f>
        <v/>
      </c>
      <c r="E285" s="6" t="str">
        <f aca="false">IF($K285="","",IF(INDEX('Prospect Tracker'!$R$5:$R$554,$K285)="","",INDEX('Prospect Tracker'!$R$5:$R$554,$K285)))</f>
        <v/>
      </c>
      <c r="F285" s="6" t="str">
        <f aca="false">IF($K285="","",IF(INDEX('Prospect Tracker'!$J$5:$J$554,$K285)="","",INDEX('Prospect Tracker'!$J$5:$J$554,$K285)))</f>
        <v/>
      </c>
      <c r="G285" s="6" t="str">
        <f aca="false">IF($K285="","",IF(INDEX('Prospect Tracker'!$H$5:$H$554,$K285)="","",INDEX('Prospect Tracker'!$H$5:$H$554,$K285)))</f>
        <v/>
      </c>
      <c r="H285" s="7" t="str">
        <f aca="false">IF($K285="","",IF(INDEX('Prospect Tracker'!$K$5:$K$554,$K285)="","",INDEX('Prospect Tracker'!$K$5:$K$554,$K285)))</f>
        <v/>
      </c>
      <c r="I285" s="6" t="str">
        <f aca="false">IF($K285="","",IF(INDEX('Prospect Tracker'!$T$5:$T$554,$K285)="","",INDEX('Prospect Tracker'!$T$5:$T$554,$K285)))</f>
        <v/>
      </c>
      <c r="J285" s="6" t="str">
        <f aca="false">IF($K285="","",IF(INDEX('Prospect Tracker'!$L$5:$L$554,$K285)="","",INDEX('Prospect Tracker'!$L$5:$L$554,$K285)))</f>
        <v/>
      </c>
      <c r="K285" s="1" t="n">
        <f aca="false">IFERROR(MATCH(SMALL('Prospect Tracker'!$X$5:$X$554,ROW()-4),'Prospect Tracker'!$X$5:$X$554,0),"")</f>
        <v>281</v>
      </c>
    </row>
    <row r="286" customFormat="false" ht="15" hidden="false" customHeight="true" outlineLevel="0" collapsed="false">
      <c r="A286" s="11" t="str">
        <f aca="false">IF($K286="","",IF(INDEX('Prospect Tracker'!$W$5:$W$554,$K286)="","",INDEX('Prospect Tracker'!$W$5:$W$554,$K286)))</f>
        <v/>
      </c>
      <c r="B286" s="11" t="str">
        <f aca="false">IF($K286="","",IF(INDEX('Prospect Tracker'!$A$5:$A$554,$K286)="","",INDEX('Prospect Tracker'!$A$5:$A$554,$K286)))</f>
        <v/>
      </c>
      <c r="C286" s="11" t="str">
        <f aca="false">IF($K286="","",IF(INDEX('Prospect Tracker'!$B$5:$B$554,$K286)="","",INDEX('Prospect Tracker'!$B$5:$B$554,$K286)))</f>
        <v/>
      </c>
      <c r="D286" s="11" t="str">
        <f aca="false">IF($K286="","",IF(INDEX('Prospect Tracker'!$M$5:$M$554,$K286)="","",INDEX('Prospect Tracker'!$M$5:$M$554,$K286)))</f>
        <v/>
      </c>
      <c r="E286" s="11" t="str">
        <f aca="false">IF($K286="","",IF(INDEX('Prospect Tracker'!$R$5:$R$554,$K286)="","",INDEX('Prospect Tracker'!$R$5:$R$554,$K286)))</f>
        <v/>
      </c>
      <c r="F286" s="11" t="str">
        <f aca="false">IF($K286="","",IF(INDEX('Prospect Tracker'!$J$5:$J$554,$K286)="","",INDEX('Prospect Tracker'!$J$5:$J$554,$K286)))</f>
        <v/>
      </c>
      <c r="G286" s="11" t="str">
        <f aca="false">IF($K286="","",IF(INDEX('Prospect Tracker'!$H$5:$H$554,$K286)="","",INDEX('Prospect Tracker'!$H$5:$H$554,$K286)))</f>
        <v/>
      </c>
      <c r="H286" s="12" t="str">
        <f aca="false">IF($K286="","",IF(INDEX('Prospect Tracker'!$K$5:$K$554,$K286)="","",INDEX('Prospect Tracker'!$K$5:$K$554,$K286)))</f>
        <v/>
      </c>
      <c r="I286" s="11" t="str">
        <f aca="false">IF($K286="","",IF(INDEX('Prospect Tracker'!$T$5:$T$554,$K286)="","",INDEX('Prospect Tracker'!$T$5:$T$554,$K286)))</f>
        <v/>
      </c>
      <c r="J286" s="11" t="str">
        <f aca="false">IF($K286="","",IF(INDEX('Prospect Tracker'!$L$5:$L$554,$K286)="","",INDEX('Prospect Tracker'!$L$5:$L$554,$K286)))</f>
        <v/>
      </c>
      <c r="K286" s="1" t="n">
        <f aca="false">IFERROR(MATCH(SMALL('Prospect Tracker'!$X$5:$X$554,ROW()-4),'Prospect Tracker'!$X$5:$X$554,0),"")</f>
        <v>282</v>
      </c>
    </row>
    <row r="287" customFormat="false" ht="15" hidden="false" customHeight="true" outlineLevel="0" collapsed="false">
      <c r="A287" s="6" t="str">
        <f aca="false">IF($K287="","",IF(INDEX('Prospect Tracker'!$W$5:$W$554,$K287)="","",INDEX('Prospect Tracker'!$W$5:$W$554,$K287)))</f>
        <v/>
      </c>
      <c r="B287" s="6" t="str">
        <f aca="false">IF($K287="","",IF(INDEX('Prospect Tracker'!$A$5:$A$554,$K287)="","",INDEX('Prospect Tracker'!$A$5:$A$554,$K287)))</f>
        <v/>
      </c>
      <c r="C287" s="6" t="str">
        <f aca="false">IF($K287="","",IF(INDEX('Prospect Tracker'!$B$5:$B$554,$K287)="","",INDEX('Prospect Tracker'!$B$5:$B$554,$K287)))</f>
        <v/>
      </c>
      <c r="D287" s="6" t="str">
        <f aca="false">IF($K287="","",IF(INDEX('Prospect Tracker'!$M$5:$M$554,$K287)="","",INDEX('Prospect Tracker'!$M$5:$M$554,$K287)))</f>
        <v/>
      </c>
      <c r="E287" s="6" t="str">
        <f aca="false">IF($K287="","",IF(INDEX('Prospect Tracker'!$R$5:$R$554,$K287)="","",INDEX('Prospect Tracker'!$R$5:$R$554,$K287)))</f>
        <v/>
      </c>
      <c r="F287" s="6" t="str">
        <f aca="false">IF($K287="","",IF(INDEX('Prospect Tracker'!$J$5:$J$554,$K287)="","",INDEX('Prospect Tracker'!$J$5:$J$554,$K287)))</f>
        <v/>
      </c>
      <c r="G287" s="6" t="str">
        <f aca="false">IF($K287="","",IF(INDEX('Prospect Tracker'!$H$5:$H$554,$K287)="","",INDEX('Prospect Tracker'!$H$5:$H$554,$K287)))</f>
        <v/>
      </c>
      <c r="H287" s="7" t="str">
        <f aca="false">IF($K287="","",IF(INDEX('Prospect Tracker'!$K$5:$K$554,$K287)="","",INDEX('Prospect Tracker'!$K$5:$K$554,$K287)))</f>
        <v/>
      </c>
      <c r="I287" s="6" t="str">
        <f aca="false">IF($K287="","",IF(INDEX('Prospect Tracker'!$T$5:$T$554,$K287)="","",INDEX('Prospect Tracker'!$T$5:$T$554,$K287)))</f>
        <v/>
      </c>
      <c r="J287" s="6" t="str">
        <f aca="false">IF($K287="","",IF(INDEX('Prospect Tracker'!$L$5:$L$554,$K287)="","",INDEX('Prospect Tracker'!$L$5:$L$554,$K287)))</f>
        <v/>
      </c>
      <c r="K287" s="1" t="n">
        <f aca="false">IFERROR(MATCH(SMALL('Prospect Tracker'!$X$5:$X$554,ROW()-4),'Prospect Tracker'!$X$5:$X$554,0),"")</f>
        <v>283</v>
      </c>
    </row>
    <row r="288" customFormat="false" ht="15" hidden="false" customHeight="true" outlineLevel="0" collapsed="false">
      <c r="A288" s="11" t="str">
        <f aca="false">IF($K288="","",IF(INDEX('Prospect Tracker'!$W$5:$W$554,$K288)="","",INDEX('Prospect Tracker'!$W$5:$W$554,$K288)))</f>
        <v/>
      </c>
      <c r="B288" s="11" t="str">
        <f aca="false">IF($K288="","",IF(INDEX('Prospect Tracker'!$A$5:$A$554,$K288)="","",INDEX('Prospect Tracker'!$A$5:$A$554,$K288)))</f>
        <v/>
      </c>
      <c r="C288" s="11" t="str">
        <f aca="false">IF($K288="","",IF(INDEX('Prospect Tracker'!$B$5:$B$554,$K288)="","",INDEX('Prospect Tracker'!$B$5:$B$554,$K288)))</f>
        <v/>
      </c>
      <c r="D288" s="11" t="str">
        <f aca="false">IF($K288="","",IF(INDEX('Prospect Tracker'!$M$5:$M$554,$K288)="","",INDEX('Prospect Tracker'!$M$5:$M$554,$K288)))</f>
        <v/>
      </c>
      <c r="E288" s="11" t="str">
        <f aca="false">IF($K288="","",IF(INDEX('Prospect Tracker'!$R$5:$R$554,$K288)="","",INDEX('Prospect Tracker'!$R$5:$R$554,$K288)))</f>
        <v/>
      </c>
      <c r="F288" s="11" t="str">
        <f aca="false">IF($K288="","",IF(INDEX('Prospect Tracker'!$J$5:$J$554,$K288)="","",INDEX('Prospect Tracker'!$J$5:$J$554,$K288)))</f>
        <v/>
      </c>
      <c r="G288" s="11" t="str">
        <f aca="false">IF($K288="","",IF(INDEX('Prospect Tracker'!$H$5:$H$554,$K288)="","",INDEX('Prospect Tracker'!$H$5:$H$554,$K288)))</f>
        <v/>
      </c>
      <c r="H288" s="12" t="str">
        <f aca="false">IF($K288="","",IF(INDEX('Prospect Tracker'!$K$5:$K$554,$K288)="","",INDEX('Prospect Tracker'!$K$5:$K$554,$K288)))</f>
        <v/>
      </c>
      <c r="I288" s="11" t="str">
        <f aca="false">IF($K288="","",IF(INDEX('Prospect Tracker'!$T$5:$T$554,$K288)="","",INDEX('Prospect Tracker'!$T$5:$T$554,$K288)))</f>
        <v/>
      </c>
      <c r="J288" s="11" t="str">
        <f aca="false">IF($K288="","",IF(INDEX('Prospect Tracker'!$L$5:$L$554,$K288)="","",INDEX('Prospect Tracker'!$L$5:$L$554,$K288)))</f>
        <v/>
      </c>
      <c r="K288" s="1" t="n">
        <f aca="false">IFERROR(MATCH(SMALL('Prospect Tracker'!$X$5:$X$554,ROW()-4),'Prospect Tracker'!$X$5:$X$554,0),"")</f>
        <v>284</v>
      </c>
    </row>
    <row r="289" customFormat="false" ht="15" hidden="false" customHeight="true" outlineLevel="0" collapsed="false">
      <c r="A289" s="6" t="str">
        <f aca="false">IF($K289="","",IF(INDEX('Prospect Tracker'!$W$5:$W$554,$K289)="","",INDEX('Prospect Tracker'!$W$5:$W$554,$K289)))</f>
        <v/>
      </c>
      <c r="B289" s="6" t="str">
        <f aca="false">IF($K289="","",IF(INDEX('Prospect Tracker'!$A$5:$A$554,$K289)="","",INDEX('Prospect Tracker'!$A$5:$A$554,$K289)))</f>
        <v/>
      </c>
      <c r="C289" s="6" t="str">
        <f aca="false">IF($K289="","",IF(INDEX('Prospect Tracker'!$B$5:$B$554,$K289)="","",INDEX('Prospect Tracker'!$B$5:$B$554,$K289)))</f>
        <v/>
      </c>
      <c r="D289" s="6" t="str">
        <f aca="false">IF($K289="","",IF(INDEX('Prospect Tracker'!$M$5:$M$554,$K289)="","",INDEX('Prospect Tracker'!$M$5:$M$554,$K289)))</f>
        <v/>
      </c>
      <c r="E289" s="6" t="str">
        <f aca="false">IF($K289="","",IF(INDEX('Prospect Tracker'!$R$5:$R$554,$K289)="","",INDEX('Prospect Tracker'!$R$5:$R$554,$K289)))</f>
        <v/>
      </c>
      <c r="F289" s="6" t="str">
        <f aca="false">IF($K289="","",IF(INDEX('Prospect Tracker'!$J$5:$J$554,$K289)="","",INDEX('Prospect Tracker'!$J$5:$J$554,$K289)))</f>
        <v/>
      </c>
      <c r="G289" s="6" t="str">
        <f aca="false">IF($K289="","",IF(INDEX('Prospect Tracker'!$H$5:$H$554,$K289)="","",INDEX('Prospect Tracker'!$H$5:$H$554,$K289)))</f>
        <v/>
      </c>
      <c r="H289" s="7" t="str">
        <f aca="false">IF($K289="","",IF(INDEX('Prospect Tracker'!$K$5:$K$554,$K289)="","",INDEX('Prospect Tracker'!$K$5:$K$554,$K289)))</f>
        <v/>
      </c>
      <c r="I289" s="6" t="str">
        <f aca="false">IF($K289="","",IF(INDEX('Prospect Tracker'!$T$5:$T$554,$K289)="","",INDEX('Prospect Tracker'!$T$5:$T$554,$K289)))</f>
        <v/>
      </c>
      <c r="J289" s="6" t="str">
        <f aca="false">IF($K289="","",IF(INDEX('Prospect Tracker'!$L$5:$L$554,$K289)="","",INDEX('Prospect Tracker'!$L$5:$L$554,$K289)))</f>
        <v/>
      </c>
      <c r="K289" s="1" t="n">
        <f aca="false">IFERROR(MATCH(SMALL('Prospect Tracker'!$X$5:$X$554,ROW()-4),'Prospect Tracker'!$X$5:$X$554,0),"")</f>
        <v>285</v>
      </c>
    </row>
    <row r="290" customFormat="false" ht="15" hidden="false" customHeight="true" outlineLevel="0" collapsed="false">
      <c r="A290" s="11" t="str">
        <f aca="false">IF($K290="","",IF(INDEX('Prospect Tracker'!$W$5:$W$554,$K290)="","",INDEX('Prospect Tracker'!$W$5:$W$554,$K290)))</f>
        <v/>
      </c>
      <c r="B290" s="11" t="str">
        <f aca="false">IF($K290="","",IF(INDEX('Prospect Tracker'!$A$5:$A$554,$K290)="","",INDEX('Prospect Tracker'!$A$5:$A$554,$K290)))</f>
        <v/>
      </c>
      <c r="C290" s="11" t="str">
        <f aca="false">IF($K290="","",IF(INDEX('Prospect Tracker'!$B$5:$B$554,$K290)="","",INDEX('Prospect Tracker'!$B$5:$B$554,$K290)))</f>
        <v/>
      </c>
      <c r="D290" s="11" t="str">
        <f aca="false">IF($K290="","",IF(INDEX('Prospect Tracker'!$M$5:$M$554,$K290)="","",INDEX('Prospect Tracker'!$M$5:$M$554,$K290)))</f>
        <v/>
      </c>
      <c r="E290" s="11" t="str">
        <f aca="false">IF($K290="","",IF(INDEX('Prospect Tracker'!$R$5:$R$554,$K290)="","",INDEX('Prospect Tracker'!$R$5:$R$554,$K290)))</f>
        <v/>
      </c>
      <c r="F290" s="11" t="str">
        <f aca="false">IF($K290="","",IF(INDEX('Prospect Tracker'!$J$5:$J$554,$K290)="","",INDEX('Prospect Tracker'!$J$5:$J$554,$K290)))</f>
        <v/>
      </c>
      <c r="G290" s="11" t="str">
        <f aca="false">IF($K290="","",IF(INDEX('Prospect Tracker'!$H$5:$H$554,$K290)="","",INDEX('Prospect Tracker'!$H$5:$H$554,$K290)))</f>
        <v/>
      </c>
      <c r="H290" s="12" t="str">
        <f aca="false">IF($K290="","",IF(INDEX('Prospect Tracker'!$K$5:$K$554,$K290)="","",INDEX('Prospect Tracker'!$K$5:$K$554,$K290)))</f>
        <v/>
      </c>
      <c r="I290" s="11" t="str">
        <f aca="false">IF($K290="","",IF(INDEX('Prospect Tracker'!$T$5:$T$554,$K290)="","",INDEX('Prospect Tracker'!$T$5:$T$554,$K290)))</f>
        <v/>
      </c>
      <c r="J290" s="11" t="str">
        <f aca="false">IF($K290="","",IF(INDEX('Prospect Tracker'!$L$5:$L$554,$K290)="","",INDEX('Prospect Tracker'!$L$5:$L$554,$K290)))</f>
        <v/>
      </c>
      <c r="K290" s="1" t="n">
        <f aca="false">IFERROR(MATCH(SMALL('Prospect Tracker'!$X$5:$X$554,ROW()-4),'Prospect Tracker'!$X$5:$X$554,0),"")</f>
        <v>286</v>
      </c>
    </row>
    <row r="291" customFormat="false" ht="15" hidden="false" customHeight="true" outlineLevel="0" collapsed="false">
      <c r="A291" s="6" t="str">
        <f aca="false">IF($K291="","",IF(INDEX('Prospect Tracker'!$W$5:$W$554,$K291)="","",INDEX('Prospect Tracker'!$W$5:$W$554,$K291)))</f>
        <v/>
      </c>
      <c r="B291" s="6" t="str">
        <f aca="false">IF($K291="","",IF(INDEX('Prospect Tracker'!$A$5:$A$554,$K291)="","",INDEX('Prospect Tracker'!$A$5:$A$554,$K291)))</f>
        <v/>
      </c>
      <c r="C291" s="6" t="str">
        <f aca="false">IF($K291="","",IF(INDEX('Prospect Tracker'!$B$5:$B$554,$K291)="","",INDEX('Prospect Tracker'!$B$5:$B$554,$K291)))</f>
        <v/>
      </c>
      <c r="D291" s="6" t="str">
        <f aca="false">IF($K291="","",IF(INDEX('Prospect Tracker'!$M$5:$M$554,$K291)="","",INDEX('Prospect Tracker'!$M$5:$M$554,$K291)))</f>
        <v/>
      </c>
      <c r="E291" s="6" t="str">
        <f aca="false">IF($K291="","",IF(INDEX('Prospect Tracker'!$R$5:$R$554,$K291)="","",INDEX('Prospect Tracker'!$R$5:$R$554,$K291)))</f>
        <v/>
      </c>
      <c r="F291" s="6" t="str">
        <f aca="false">IF($K291="","",IF(INDEX('Prospect Tracker'!$J$5:$J$554,$K291)="","",INDEX('Prospect Tracker'!$J$5:$J$554,$K291)))</f>
        <v/>
      </c>
      <c r="G291" s="6" t="str">
        <f aca="false">IF($K291="","",IF(INDEX('Prospect Tracker'!$H$5:$H$554,$K291)="","",INDEX('Prospect Tracker'!$H$5:$H$554,$K291)))</f>
        <v/>
      </c>
      <c r="H291" s="7" t="str">
        <f aca="false">IF($K291="","",IF(INDEX('Prospect Tracker'!$K$5:$K$554,$K291)="","",INDEX('Prospect Tracker'!$K$5:$K$554,$K291)))</f>
        <v/>
      </c>
      <c r="I291" s="6" t="str">
        <f aca="false">IF($K291="","",IF(INDEX('Prospect Tracker'!$T$5:$T$554,$K291)="","",INDEX('Prospect Tracker'!$T$5:$T$554,$K291)))</f>
        <v/>
      </c>
      <c r="J291" s="6" t="str">
        <f aca="false">IF($K291="","",IF(INDEX('Prospect Tracker'!$L$5:$L$554,$K291)="","",INDEX('Prospect Tracker'!$L$5:$L$554,$K291)))</f>
        <v/>
      </c>
      <c r="K291" s="1" t="n">
        <f aca="false">IFERROR(MATCH(SMALL('Prospect Tracker'!$X$5:$X$554,ROW()-4),'Prospect Tracker'!$X$5:$X$554,0),"")</f>
        <v>287</v>
      </c>
    </row>
    <row r="292" customFormat="false" ht="15" hidden="false" customHeight="true" outlineLevel="0" collapsed="false">
      <c r="A292" s="11" t="str">
        <f aca="false">IF($K292="","",IF(INDEX('Prospect Tracker'!$W$5:$W$554,$K292)="","",INDEX('Prospect Tracker'!$W$5:$W$554,$K292)))</f>
        <v/>
      </c>
      <c r="B292" s="11" t="str">
        <f aca="false">IF($K292="","",IF(INDEX('Prospect Tracker'!$A$5:$A$554,$K292)="","",INDEX('Prospect Tracker'!$A$5:$A$554,$K292)))</f>
        <v/>
      </c>
      <c r="C292" s="11" t="str">
        <f aca="false">IF($K292="","",IF(INDEX('Prospect Tracker'!$B$5:$B$554,$K292)="","",INDEX('Prospect Tracker'!$B$5:$B$554,$K292)))</f>
        <v/>
      </c>
      <c r="D292" s="11" t="str">
        <f aca="false">IF($K292="","",IF(INDEX('Prospect Tracker'!$M$5:$M$554,$K292)="","",INDEX('Prospect Tracker'!$M$5:$M$554,$K292)))</f>
        <v/>
      </c>
      <c r="E292" s="11" t="str">
        <f aca="false">IF($K292="","",IF(INDEX('Prospect Tracker'!$R$5:$R$554,$K292)="","",INDEX('Prospect Tracker'!$R$5:$R$554,$K292)))</f>
        <v/>
      </c>
      <c r="F292" s="11" t="str">
        <f aca="false">IF($K292="","",IF(INDEX('Prospect Tracker'!$J$5:$J$554,$K292)="","",INDEX('Prospect Tracker'!$J$5:$J$554,$K292)))</f>
        <v/>
      </c>
      <c r="G292" s="11" t="str">
        <f aca="false">IF($K292="","",IF(INDEX('Prospect Tracker'!$H$5:$H$554,$K292)="","",INDEX('Prospect Tracker'!$H$5:$H$554,$K292)))</f>
        <v/>
      </c>
      <c r="H292" s="12" t="str">
        <f aca="false">IF($K292="","",IF(INDEX('Prospect Tracker'!$K$5:$K$554,$K292)="","",INDEX('Prospect Tracker'!$K$5:$K$554,$K292)))</f>
        <v/>
      </c>
      <c r="I292" s="11" t="str">
        <f aca="false">IF($K292="","",IF(INDEX('Prospect Tracker'!$T$5:$T$554,$K292)="","",INDEX('Prospect Tracker'!$T$5:$T$554,$K292)))</f>
        <v/>
      </c>
      <c r="J292" s="11" t="str">
        <f aca="false">IF($K292="","",IF(INDEX('Prospect Tracker'!$L$5:$L$554,$K292)="","",INDEX('Prospect Tracker'!$L$5:$L$554,$K292)))</f>
        <v/>
      </c>
      <c r="K292" s="1" t="n">
        <f aca="false">IFERROR(MATCH(SMALL('Prospect Tracker'!$X$5:$X$554,ROW()-4),'Prospect Tracker'!$X$5:$X$554,0),"")</f>
        <v>288</v>
      </c>
    </row>
    <row r="293" customFormat="false" ht="15" hidden="false" customHeight="true" outlineLevel="0" collapsed="false">
      <c r="A293" s="6" t="str">
        <f aca="false">IF($K293="","",IF(INDEX('Prospect Tracker'!$W$5:$W$554,$K293)="","",INDEX('Prospect Tracker'!$W$5:$W$554,$K293)))</f>
        <v/>
      </c>
      <c r="B293" s="6" t="str">
        <f aca="false">IF($K293="","",IF(INDEX('Prospect Tracker'!$A$5:$A$554,$K293)="","",INDEX('Prospect Tracker'!$A$5:$A$554,$K293)))</f>
        <v/>
      </c>
      <c r="C293" s="6" t="str">
        <f aca="false">IF($K293="","",IF(INDEX('Prospect Tracker'!$B$5:$B$554,$K293)="","",INDEX('Prospect Tracker'!$B$5:$B$554,$K293)))</f>
        <v/>
      </c>
      <c r="D293" s="6" t="str">
        <f aca="false">IF($K293="","",IF(INDEX('Prospect Tracker'!$M$5:$M$554,$K293)="","",INDEX('Prospect Tracker'!$M$5:$M$554,$K293)))</f>
        <v/>
      </c>
      <c r="E293" s="6" t="str">
        <f aca="false">IF($K293="","",IF(INDEX('Prospect Tracker'!$R$5:$R$554,$K293)="","",INDEX('Prospect Tracker'!$R$5:$R$554,$K293)))</f>
        <v/>
      </c>
      <c r="F293" s="6" t="str">
        <f aca="false">IF($K293="","",IF(INDEX('Prospect Tracker'!$J$5:$J$554,$K293)="","",INDEX('Prospect Tracker'!$J$5:$J$554,$K293)))</f>
        <v/>
      </c>
      <c r="G293" s="6" t="str">
        <f aca="false">IF($K293="","",IF(INDEX('Prospect Tracker'!$H$5:$H$554,$K293)="","",INDEX('Prospect Tracker'!$H$5:$H$554,$K293)))</f>
        <v/>
      </c>
      <c r="H293" s="7" t="str">
        <f aca="false">IF($K293="","",IF(INDEX('Prospect Tracker'!$K$5:$K$554,$K293)="","",INDEX('Prospect Tracker'!$K$5:$K$554,$K293)))</f>
        <v/>
      </c>
      <c r="I293" s="6" t="str">
        <f aca="false">IF($K293="","",IF(INDEX('Prospect Tracker'!$T$5:$T$554,$K293)="","",INDEX('Prospect Tracker'!$T$5:$T$554,$K293)))</f>
        <v/>
      </c>
      <c r="J293" s="6" t="str">
        <f aca="false">IF($K293="","",IF(INDEX('Prospect Tracker'!$L$5:$L$554,$K293)="","",INDEX('Prospect Tracker'!$L$5:$L$554,$K293)))</f>
        <v/>
      </c>
      <c r="K293" s="1" t="n">
        <f aca="false">IFERROR(MATCH(SMALL('Prospect Tracker'!$X$5:$X$554,ROW()-4),'Prospect Tracker'!$X$5:$X$554,0),"")</f>
        <v>289</v>
      </c>
    </row>
    <row r="294" customFormat="false" ht="15" hidden="false" customHeight="true" outlineLevel="0" collapsed="false">
      <c r="A294" s="11" t="str">
        <f aca="false">IF($K294="","",IF(INDEX('Prospect Tracker'!$W$5:$W$554,$K294)="","",INDEX('Prospect Tracker'!$W$5:$W$554,$K294)))</f>
        <v/>
      </c>
      <c r="B294" s="11" t="str">
        <f aca="false">IF($K294="","",IF(INDEX('Prospect Tracker'!$A$5:$A$554,$K294)="","",INDEX('Prospect Tracker'!$A$5:$A$554,$K294)))</f>
        <v/>
      </c>
      <c r="C294" s="11" t="str">
        <f aca="false">IF($K294="","",IF(INDEX('Prospect Tracker'!$B$5:$B$554,$K294)="","",INDEX('Prospect Tracker'!$B$5:$B$554,$K294)))</f>
        <v/>
      </c>
      <c r="D294" s="11" t="str">
        <f aca="false">IF($K294="","",IF(INDEX('Prospect Tracker'!$M$5:$M$554,$K294)="","",INDEX('Prospect Tracker'!$M$5:$M$554,$K294)))</f>
        <v/>
      </c>
      <c r="E294" s="11" t="str">
        <f aca="false">IF($K294="","",IF(INDEX('Prospect Tracker'!$R$5:$R$554,$K294)="","",INDEX('Prospect Tracker'!$R$5:$R$554,$K294)))</f>
        <v/>
      </c>
      <c r="F294" s="11" t="str">
        <f aca="false">IF($K294="","",IF(INDEX('Prospect Tracker'!$J$5:$J$554,$K294)="","",INDEX('Prospect Tracker'!$J$5:$J$554,$K294)))</f>
        <v/>
      </c>
      <c r="G294" s="11" t="str">
        <f aca="false">IF($K294="","",IF(INDEX('Prospect Tracker'!$H$5:$H$554,$K294)="","",INDEX('Prospect Tracker'!$H$5:$H$554,$K294)))</f>
        <v/>
      </c>
      <c r="H294" s="12" t="str">
        <f aca="false">IF($K294="","",IF(INDEX('Prospect Tracker'!$K$5:$K$554,$K294)="","",INDEX('Prospect Tracker'!$K$5:$K$554,$K294)))</f>
        <v/>
      </c>
      <c r="I294" s="11" t="str">
        <f aca="false">IF($K294="","",IF(INDEX('Prospect Tracker'!$T$5:$T$554,$K294)="","",INDEX('Prospect Tracker'!$T$5:$T$554,$K294)))</f>
        <v/>
      </c>
      <c r="J294" s="11" t="str">
        <f aca="false">IF($K294="","",IF(INDEX('Prospect Tracker'!$L$5:$L$554,$K294)="","",INDEX('Prospect Tracker'!$L$5:$L$554,$K294)))</f>
        <v/>
      </c>
      <c r="K294" s="1" t="n">
        <f aca="false">IFERROR(MATCH(SMALL('Prospect Tracker'!$X$5:$X$554,ROW()-4),'Prospect Tracker'!$X$5:$X$554,0),"")</f>
        <v>290</v>
      </c>
    </row>
    <row r="295" customFormat="false" ht="15" hidden="false" customHeight="true" outlineLevel="0" collapsed="false">
      <c r="A295" s="6" t="str">
        <f aca="false">IF($K295="","",IF(INDEX('Prospect Tracker'!$W$5:$W$554,$K295)="","",INDEX('Prospect Tracker'!$W$5:$W$554,$K295)))</f>
        <v/>
      </c>
      <c r="B295" s="6" t="str">
        <f aca="false">IF($K295="","",IF(INDEX('Prospect Tracker'!$A$5:$A$554,$K295)="","",INDEX('Prospect Tracker'!$A$5:$A$554,$K295)))</f>
        <v/>
      </c>
      <c r="C295" s="6" t="str">
        <f aca="false">IF($K295="","",IF(INDEX('Prospect Tracker'!$B$5:$B$554,$K295)="","",INDEX('Prospect Tracker'!$B$5:$B$554,$K295)))</f>
        <v/>
      </c>
      <c r="D295" s="6" t="str">
        <f aca="false">IF($K295="","",IF(INDEX('Prospect Tracker'!$M$5:$M$554,$K295)="","",INDEX('Prospect Tracker'!$M$5:$M$554,$K295)))</f>
        <v/>
      </c>
      <c r="E295" s="6" t="str">
        <f aca="false">IF($K295="","",IF(INDEX('Prospect Tracker'!$R$5:$R$554,$K295)="","",INDEX('Prospect Tracker'!$R$5:$R$554,$K295)))</f>
        <v/>
      </c>
      <c r="F295" s="6" t="str">
        <f aca="false">IF($K295="","",IF(INDEX('Prospect Tracker'!$J$5:$J$554,$K295)="","",INDEX('Prospect Tracker'!$J$5:$J$554,$K295)))</f>
        <v/>
      </c>
      <c r="G295" s="6" t="str">
        <f aca="false">IF($K295="","",IF(INDEX('Prospect Tracker'!$H$5:$H$554,$K295)="","",INDEX('Prospect Tracker'!$H$5:$H$554,$K295)))</f>
        <v/>
      </c>
      <c r="H295" s="7" t="str">
        <f aca="false">IF($K295="","",IF(INDEX('Prospect Tracker'!$K$5:$K$554,$K295)="","",INDEX('Prospect Tracker'!$K$5:$K$554,$K295)))</f>
        <v/>
      </c>
      <c r="I295" s="6" t="str">
        <f aca="false">IF($K295="","",IF(INDEX('Prospect Tracker'!$T$5:$T$554,$K295)="","",INDEX('Prospect Tracker'!$T$5:$T$554,$K295)))</f>
        <v/>
      </c>
      <c r="J295" s="6" t="str">
        <f aca="false">IF($K295="","",IF(INDEX('Prospect Tracker'!$L$5:$L$554,$K295)="","",INDEX('Prospect Tracker'!$L$5:$L$554,$K295)))</f>
        <v/>
      </c>
      <c r="K295" s="1" t="n">
        <f aca="false">IFERROR(MATCH(SMALL('Prospect Tracker'!$X$5:$X$554,ROW()-4),'Prospect Tracker'!$X$5:$X$554,0),"")</f>
        <v>291</v>
      </c>
    </row>
    <row r="296" customFormat="false" ht="15" hidden="false" customHeight="true" outlineLevel="0" collapsed="false">
      <c r="A296" s="11" t="str">
        <f aca="false">IF($K296="","",IF(INDEX('Prospect Tracker'!$W$5:$W$554,$K296)="","",INDEX('Prospect Tracker'!$W$5:$W$554,$K296)))</f>
        <v/>
      </c>
      <c r="B296" s="11" t="str">
        <f aca="false">IF($K296="","",IF(INDEX('Prospect Tracker'!$A$5:$A$554,$K296)="","",INDEX('Prospect Tracker'!$A$5:$A$554,$K296)))</f>
        <v/>
      </c>
      <c r="C296" s="11" t="str">
        <f aca="false">IF($K296="","",IF(INDEX('Prospect Tracker'!$B$5:$B$554,$K296)="","",INDEX('Prospect Tracker'!$B$5:$B$554,$K296)))</f>
        <v/>
      </c>
      <c r="D296" s="11" t="str">
        <f aca="false">IF($K296="","",IF(INDEX('Prospect Tracker'!$M$5:$M$554,$K296)="","",INDEX('Prospect Tracker'!$M$5:$M$554,$K296)))</f>
        <v/>
      </c>
      <c r="E296" s="11" t="str">
        <f aca="false">IF($K296="","",IF(INDEX('Prospect Tracker'!$R$5:$R$554,$K296)="","",INDEX('Prospect Tracker'!$R$5:$R$554,$K296)))</f>
        <v/>
      </c>
      <c r="F296" s="11" t="str">
        <f aca="false">IF($K296="","",IF(INDEX('Prospect Tracker'!$J$5:$J$554,$K296)="","",INDEX('Prospect Tracker'!$J$5:$J$554,$K296)))</f>
        <v/>
      </c>
      <c r="G296" s="11" t="str">
        <f aca="false">IF($K296="","",IF(INDEX('Prospect Tracker'!$H$5:$H$554,$K296)="","",INDEX('Prospect Tracker'!$H$5:$H$554,$K296)))</f>
        <v/>
      </c>
      <c r="H296" s="12" t="str">
        <f aca="false">IF($K296="","",IF(INDEX('Prospect Tracker'!$K$5:$K$554,$K296)="","",INDEX('Prospect Tracker'!$K$5:$K$554,$K296)))</f>
        <v/>
      </c>
      <c r="I296" s="11" t="str">
        <f aca="false">IF($K296="","",IF(INDEX('Prospect Tracker'!$T$5:$T$554,$K296)="","",INDEX('Prospect Tracker'!$T$5:$T$554,$K296)))</f>
        <v/>
      </c>
      <c r="J296" s="11" t="str">
        <f aca="false">IF($K296="","",IF(INDEX('Prospect Tracker'!$L$5:$L$554,$K296)="","",INDEX('Prospect Tracker'!$L$5:$L$554,$K296)))</f>
        <v/>
      </c>
      <c r="K296" s="1" t="n">
        <f aca="false">IFERROR(MATCH(SMALL('Prospect Tracker'!$X$5:$X$554,ROW()-4),'Prospect Tracker'!$X$5:$X$554,0),"")</f>
        <v>292</v>
      </c>
    </row>
    <row r="297" customFormat="false" ht="15" hidden="false" customHeight="true" outlineLevel="0" collapsed="false">
      <c r="A297" s="6" t="str">
        <f aca="false">IF($K297="","",IF(INDEX('Prospect Tracker'!$W$5:$W$554,$K297)="","",INDEX('Prospect Tracker'!$W$5:$W$554,$K297)))</f>
        <v/>
      </c>
      <c r="B297" s="6" t="str">
        <f aca="false">IF($K297="","",IF(INDEX('Prospect Tracker'!$A$5:$A$554,$K297)="","",INDEX('Prospect Tracker'!$A$5:$A$554,$K297)))</f>
        <v/>
      </c>
      <c r="C297" s="6" t="str">
        <f aca="false">IF($K297="","",IF(INDEX('Prospect Tracker'!$B$5:$B$554,$K297)="","",INDEX('Prospect Tracker'!$B$5:$B$554,$K297)))</f>
        <v/>
      </c>
      <c r="D297" s="6" t="str">
        <f aca="false">IF($K297="","",IF(INDEX('Prospect Tracker'!$M$5:$M$554,$K297)="","",INDEX('Prospect Tracker'!$M$5:$M$554,$K297)))</f>
        <v/>
      </c>
      <c r="E297" s="6" t="str">
        <f aca="false">IF($K297="","",IF(INDEX('Prospect Tracker'!$R$5:$R$554,$K297)="","",INDEX('Prospect Tracker'!$R$5:$R$554,$K297)))</f>
        <v/>
      </c>
      <c r="F297" s="6" t="str">
        <f aca="false">IF($K297="","",IF(INDEX('Prospect Tracker'!$J$5:$J$554,$K297)="","",INDEX('Prospect Tracker'!$J$5:$J$554,$K297)))</f>
        <v/>
      </c>
      <c r="G297" s="6" t="str">
        <f aca="false">IF($K297="","",IF(INDEX('Prospect Tracker'!$H$5:$H$554,$K297)="","",INDEX('Prospect Tracker'!$H$5:$H$554,$K297)))</f>
        <v/>
      </c>
      <c r="H297" s="7" t="str">
        <f aca="false">IF($K297="","",IF(INDEX('Prospect Tracker'!$K$5:$K$554,$K297)="","",INDEX('Prospect Tracker'!$K$5:$K$554,$K297)))</f>
        <v/>
      </c>
      <c r="I297" s="6" t="str">
        <f aca="false">IF($K297="","",IF(INDEX('Prospect Tracker'!$T$5:$T$554,$K297)="","",INDEX('Prospect Tracker'!$T$5:$T$554,$K297)))</f>
        <v/>
      </c>
      <c r="J297" s="6" t="str">
        <f aca="false">IF($K297="","",IF(INDEX('Prospect Tracker'!$L$5:$L$554,$K297)="","",INDEX('Prospect Tracker'!$L$5:$L$554,$K297)))</f>
        <v/>
      </c>
      <c r="K297" s="1" t="n">
        <f aca="false">IFERROR(MATCH(SMALL('Prospect Tracker'!$X$5:$X$554,ROW()-4),'Prospect Tracker'!$X$5:$X$554,0),"")</f>
        <v>293</v>
      </c>
    </row>
    <row r="298" customFormat="false" ht="15" hidden="false" customHeight="true" outlineLevel="0" collapsed="false">
      <c r="A298" s="11" t="str">
        <f aca="false">IF($K298="","",IF(INDEX('Prospect Tracker'!$W$5:$W$554,$K298)="","",INDEX('Prospect Tracker'!$W$5:$W$554,$K298)))</f>
        <v/>
      </c>
      <c r="B298" s="11" t="str">
        <f aca="false">IF($K298="","",IF(INDEX('Prospect Tracker'!$A$5:$A$554,$K298)="","",INDEX('Prospect Tracker'!$A$5:$A$554,$K298)))</f>
        <v/>
      </c>
      <c r="C298" s="11" t="str">
        <f aca="false">IF($K298="","",IF(INDEX('Prospect Tracker'!$B$5:$B$554,$K298)="","",INDEX('Prospect Tracker'!$B$5:$B$554,$K298)))</f>
        <v/>
      </c>
      <c r="D298" s="11" t="str">
        <f aca="false">IF($K298="","",IF(INDEX('Prospect Tracker'!$M$5:$M$554,$K298)="","",INDEX('Prospect Tracker'!$M$5:$M$554,$K298)))</f>
        <v/>
      </c>
      <c r="E298" s="11" t="str">
        <f aca="false">IF($K298="","",IF(INDEX('Prospect Tracker'!$R$5:$R$554,$K298)="","",INDEX('Prospect Tracker'!$R$5:$R$554,$K298)))</f>
        <v/>
      </c>
      <c r="F298" s="11" t="str">
        <f aca="false">IF($K298="","",IF(INDEX('Prospect Tracker'!$J$5:$J$554,$K298)="","",INDEX('Prospect Tracker'!$J$5:$J$554,$K298)))</f>
        <v/>
      </c>
      <c r="G298" s="11" t="str">
        <f aca="false">IF($K298="","",IF(INDEX('Prospect Tracker'!$H$5:$H$554,$K298)="","",INDEX('Prospect Tracker'!$H$5:$H$554,$K298)))</f>
        <v/>
      </c>
      <c r="H298" s="12" t="str">
        <f aca="false">IF($K298="","",IF(INDEX('Prospect Tracker'!$K$5:$K$554,$K298)="","",INDEX('Prospect Tracker'!$K$5:$K$554,$K298)))</f>
        <v/>
      </c>
      <c r="I298" s="11" t="str">
        <f aca="false">IF($K298="","",IF(INDEX('Prospect Tracker'!$T$5:$T$554,$K298)="","",INDEX('Prospect Tracker'!$T$5:$T$554,$K298)))</f>
        <v/>
      </c>
      <c r="J298" s="11" t="str">
        <f aca="false">IF($K298="","",IF(INDEX('Prospect Tracker'!$L$5:$L$554,$K298)="","",INDEX('Prospect Tracker'!$L$5:$L$554,$K298)))</f>
        <v/>
      </c>
      <c r="K298" s="1" t="n">
        <f aca="false">IFERROR(MATCH(SMALL('Prospect Tracker'!$X$5:$X$554,ROW()-4),'Prospect Tracker'!$X$5:$X$554,0),"")</f>
        <v>294</v>
      </c>
    </row>
    <row r="299" customFormat="false" ht="15" hidden="false" customHeight="true" outlineLevel="0" collapsed="false">
      <c r="A299" s="6" t="str">
        <f aca="false">IF($K299="","",IF(INDEX('Prospect Tracker'!$W$5:$W$554,$K299)="","",INDEX('Prospect Tracker'!$W$5:$W$554,$K299)))</f>
        <v/>
      </c>
      <c r="B299" s="6" t="str">
        <f aca="false">IF($K299="","",IF(INDEX('Prospect Tracker'!$A$5:$A$554,$K299)="","",INDEX('Prospect Tracker'!$A$5:$A$554,$K299)))</f>
        <v/>
      </c>
      <c r="C299" s="6" t="str">
        <f aca="false">IF($K299="","",IF(INDEX('Prospect Tracker'!$B$5:$B$554,$K299)="","",INDEX('Prospect Tracker'!$B$5:$B$554,$K299)))</f>
        <v/>
      </c>
      <c r="D299" s="6" t="str">
        <f aca="false">IF($K299="","",IF(INDEX('Prospect Tracker'!$M$5:$M$554,$K299)="","",INDEX('Prospect Tracker'!$M$5:$M$554,$K299)))</f>
        <v/>
      </c>
      <c r="E299" s="6" t="str">
        <f aca="false">IF($K299="","",IF(INDEX('Prospect Tracker'!$R$5:$R$554,$K299)="","",INDEX('Prospect Tracker'!$R$5:$R$554,$K299)))</f>
        <v/>
      </c>
      <c r="F299" s="6" t="str">
        <f aca="false">IF($K299="","",IF(INDEX('Prospect Tracker'!$J$5:$J$554,$K299)="","",INDEX('Prospect Tracker'!$J$5:$J$554,$K299)))</f>
        <v/>
      </c>
      <c r="G299" s="6" t="str">
        <f aca="false">IF($K299="","",IF(INDEX('Prospect Tracker'!$H$5:$H$554,$K299)="","",INDEX('Prospect Tracker'!$H$5:$H$554,$K299)))</f>
        <v/>
      </c>
      <c r="H299" s="7" t="str">
        <f aca="false">IF($K299="","",IF(INDEX('Prospect Tracker'!$K$5:$K$554,$K299)="","",INDEX('Prospect Tracker'!$K$5:$K$554,$K299)))</f>
        <v/>
      </c>
      <c r="I299" s="6" t="str">
        <f aca="false">IF($K299="","",IF(INDEX('Prospect Tracker'!$T$5:$T$554,$K299)="","",INDEX('Prospect Tracker'!$T$5:$T$554,$K299)))</f>
        <v/>
      </c>
      <c r="J299" s="6" t="str">
        <f aca="false">IF($K299="","",IF(INDEX('Prospect Tracker'!$L$5:$L$554,$K299)="","",INDEX('Prospect Tracker'!$L$5:$L$554,$K299)))</f>
        <v/>
      </c>
      <c r="K299" s="1" t="n">
        <f aca="false">IFERROR(MATCH(SMALL('Prospect Tracker'!$X$5:$X$554,ROW()-4),'Prospect Tracker'!$X$5:$X$554,0),"")</f>
        <v>295</v>
      </c>
    </row>
    <row r="300" customFormat="false" ht="15" hidden="false" customHeight="true" outlineLevel="0" collapsed="false">
      <c r="A300" s="11" t="str">
        <f aca="false">IF($K300="","",IF(INDEX('Prospect Tracker'!$W$5:$W$554,$K300)="","",INDEX('Prospect Tracker'!$W$5:$W$554,$K300)))</f>
        <v/>
      </c>
      <c r="B300" s="11" t="str">
        <f aca="false">IF($K300="","",IF(INDEX('Prospect Tracker'!$A$5:$A$554,$K300)="","",INDEX('Prospect Tracker'!$A$5:$A$554,$K300)))</f>
        <v/>
      </c>
      <c r="C300" s="11" t="str">
        <f aca="false">IF($K300="","",IF(INDEX('Prospect Tracker'!$B$5:$B$554,$K300)="","",INDEX('Prospect Tracker'!$B$5:$B$554,$K300)))</f>
        <v/>
      </c>
      <c r="D300" s="11" t="str">
        <f aca="false">IF($K300="","",IF(INDEX('Prospect Tracker'!$M$5:$M$554,$K300)="","",INDEX('Prospect Tracker'!$M$5:$M$554,$K300)))</f>
        <v/>
      </c>
      <c r="E300" s="11" t="str">
        <f aca="false">IF($K300="","",IF(INDEX('Prospect Tracker'!$R$5:$R$554,$K300)="","",INDEX('Prospect Tracker'!$R$5:$R$554,$K300)))</f>
        <v/>
      </c>
      <c r="F300" s="11" t="str">
        <f aca="false">IF($K300="","",IF(INDEX('Prospect Tracker'!$J$5:$J$554,$K300)="","",INDEX('Prospect Tracker'!$J$5:$J$554,$K300)))</f>
        <v/>
      </c>
      <c r="G300" s="11" t="str">
        <f aca="false">IF($K300="","",IF(INDEX('Prospect Tracker'!$H$5:$H$554,$K300)="","",INDEX('Prospect Tracker'!$H$5:$H$554,$K300)))</f>
        <v/>
      </c>
      <c r="H300" s="12" t="str">
        <f aca="false">IF($K300="","",IF(INDEX('Prospect Tracker'!$K$5:$K$554,$K300)="","",INDEX('Prospect Tracker'!$K$5:$K$554,$K300)))</f>
        <v/>
      </c>
      <c r="I300" s="11" t="str">
        <f aca="false">IF($K300="","",IF(INDEX('Prospect Tracker'!$T$5:$T$554,$K300)="","",INDEX('Prospect Tracker'!$T$5:$T$554,$K300)))</f>
        <v/>
      </c>
      <c r="J300" s="11" t="str">
        <f aca="false">IF($K300="","",IF(INDEX('Prospect Tracker'!$L$5:$L$554,$K300)="","",INDEX('Prospect Tracker'!$L$5:$L$554,$K300)))</f>
        <v/>
      </c>
      <c r="K300" s="1" t="n">
        <f aca="false">IFERROR(MATCH(SMALL('Prospect Tracker'!$X$5:$X$554,ROW()-4),'Prospect Tracker'!$X$5:$X$554,0),"")</f>
        <v>296</v>
      </c>
    </row>
    <row r="301" customFormat="false" ht="15" hidden="false" customHeight="true" outlineLevel="0" collapsed="false">
      <c r="A301" s="6" t="str">
        <f aca="false">IF($K301="","",IF(INDEX('Prospect Tracker'!$W$5:$W$554,$K301)="","",INDEX('Prospect Tracker'!$W$5:$W$554,$K301)))</f>
        <v/>
      </c>
      <c r="B301" s="6" t="str">
        <f aca="false">IF($K301="","",IF(INDEX('Prospect Tracker'!$A$5:$A$554,$K301)="","",INDEX('Prospect Tracker'!$A$5:$A$554,$K301)))</f>
        <v/>
      </c>
      <c r="C301" s="6" t="str">
        <f aca="false">IF($K301="","",IF(INDEX('Prospect Tracker'!$B$5:$B$554,$K301)="","",INDEX('Prospect Tracker'!$B$5:$B$554,$K301)))</f>
        <v/>
      </c>
      <c r="D301" s="6" t="str">
        <f aca="false">IF($K301="","",IF(INDEX('Prospect Tracker'!$M$5:$M$554,$K301)="","",INDEX('Prospect Tracker'!$M$5:$M$554,$K301)))</f>
        <v/>
      </c>
      <c r="E301" s="6" t="str">
        <f aca="false">IF($K301="","",IF(INDEX('Prospect Tracker'!$R$5:$R$554,$K301)="","",INDEX('Prospect Tracker'!$R$5:$R$554,$K301)))</f>
        <v/>
      </c>
      <c r="F301" s="6" t="str">
        <f aca="false">IF($K301="","",IF(INDEX('Prospect Tracker'!$J$5:$J$554,$K301)="","",INDEX('Prospect Tracker'!$J$5:$J$554,$K301)))</f>
        <v/>
      </c>
      <c r="G301" s="6" t="str">
        <f aca="false">IF($K301="","",IF(INDEX('Prospect Tracker'!$H$5:$H$554,$K301)="","",INDEX('Prospect Tracker'!$H$5:$H$554,$K301)))</f>
        <v/>
      </c>
      <c r="H301" s="7" t="str">
        <f aca="false">IF($K301="","",IF(INDEX('Prospect Tracker'!$K$5:$K$554,$K301)="","",INDEX('Prospect Tracker'!$K$5:$K$554,$K301)))</f>
        <v/>
      </c>
      <c r="I301" s="6" t="str">
        <f aca="false">IF($K301="","",IF(INDEX('Prospect Tracker'!$T$5:$T$554,$K301)="","",INDEX('Prospect Tracker'!$T$5:$T$554,$K301)))</f>
        <v/>
      </c>
      <c r="J301" s="6" t="str">
        <f aca="false">IF($K301="","",IF(INDEX('Prospect Tracker'!$L$5:$L$554,$K301)="","",INDEX('Prospect Tracker'!$L$5:$L$554,$K301)))</f>
        <v/>
      </c>
      <c r="K301" s="1" t="n">
        <f aca="false">IFERROR(MATCH(SMALL('Prospect Tracker'!$X$5:$X$554,ROW()-4),'Prospect Tracker'!$X$5:$X$554,0),"")</f>
        <v>297</v>
      </c>
    </row>
    <row r="302" customFormat="false" ht="15" hidden="false" customHeight="true" outlineLevel="0" collapsed="false">
      <c r="A302" s="11" t="str">
        <f aca="false">IF($K302="","",IF(INDEX('Prospect Tracker'!$W$5:$W$554,$K302)="","",INDEX('Prospect Tracker'!$W$5:$W$554,$K302)))</f>
        <v/>
      </c>
      <c r="B302" s="11" t="str">
        <f aca="false">IF($K302="","",IF(INDEX('Prospect Tracker'!$A$5:$A$554,$K302)="","",INDEX('Prospect Tracker'!$A$5:$A$554,$K302)))</f>
        <v/>
      </c>
      <c r="C302" s="11" t="str">
        <f aca="false">IF($K302="","",IF(INDEX('Prospect Tracker'!$B$5:$B$554,$K302)="","",INDEX('Prospect Tracker'!$B$5:$B$554,$K302)))</f>
        <v/>
      </c>
      <c r="D302" s="11" t="str">
        <f aca="false">IF($K302="","",IF(INDEX('Prospect Tracker'!$M$5:$M$554,$K302)="","",INDEX('Prospect Tracker'!$M$5:$M$554,$K302)))</f>
        <v/>
      </c>
      <c r="E302" s="11" t="str">
        <f aca="false">IF($K302="","",IF(INDEX('Prospect Tracker'!$R$5:$R$554,$K302)="","",INDEX('Prospect Tracker'!$R$5:$R$554,$K302)))</f>
        <v/>
      </c>
      <c r="F302" s="11" t="str">
        <f aca="false">IF($K302="","",IF(INDEX('Prospect Tracker'!$J$5:$J$554,$K302)="","",INDEX('Prospect Tracker'!$J$5:$J$554,$K302)))</f>
        <v/>
      </c>
      <c r="G302" s="11" t="str">
        <f aca="false">IF($K302="","",IF(INDEX('Prospect Tracker'!$H$5:$H$554,$K302)="","",INDEX('Prospect Tracker'!$H$5:$H$554,$K302)))</f>
        <v/>
      </c>
      <c r="H302" s="12" t="str">
        <f aca="false">IF($K302="","",IF(INDEX('Prospect Tracker'!$K$5:$K$554,$K302)="","",INDEX('Prospect Tracker'!$K$5:$K$554,$K302)))</f>
        <v/>
      </c>
      <c r="I302" s="11" t="str">
        <f aca="false">IF($K302="","",IF(INDEX('Prospect Tracker'!$T$5:$T$554,$K302)="","",INDEX('Prospect Tracker'!$T$5:$T$554,$K302)))</f>
        <v/>
      </c>
      <c r="J302" s="11" t="str">
        <f aca="false">IF($K302="","",IF(INDEX('Prospect Tracker'!$L$5:$L$554,$K302)="","",INDEX('Prospect Tracker'!$L$5:$L$554,$K302)))</f>
        <v/>
      </c>
      <c r="K302" s="1" t="n">
        <f aca="false">IFERROR(MATCH(SMALL('Prospect Tracker'!$X$5:$X$554,ROW()-4),'Prospect Tracker'!$X$5:$X$554,0),"")</f>
        <v>298</v>
      </c>
    </row>
    <row r="303" customFormat="false" ht="15" hidden="false" customHeight="true" outlineLevel="0" collapsed="false">
      <c r="A303" s="6" t="str">
        <f aca="false">IF($K303="","",IF(INDEX('Prospect Tracker'!$W$5:$W$554,$K303)="","",INDEX('Prospect Tracker'!$W$5:$W$554,$K303)))</f>
        <v/>
      </c>
      <c r="B303" s="6" t="str">
        <f aca="false">IF($K303="","",IF(INDEX('Prospect Tracker'!$A$5:$A$554,$K303)="","",INDEX('Prospect Tracker'!$A$5:$A$554,$K303)))</f>
        <v/>
      </c>
      <c r="C303" s="6" t="str">
        <f aca="false">IF($K303="","",IF(INDEX('Prospect Tracker'!$B$5:$B$554,$K303)="","",INDEX('Prospect Tracker'!$B$5:$B$554,$K303)))</f>
        <v/>
      </c>
      <c r="D303" s="6" t="str">
        <f aca="false">IF($K303="","",IF(INDEX('Prospect Tracker'!$M$5:$M$554,$K303)="","",INDEX('Prospect Tracker'!$M$5:$M$554,$K303)))</f>
        <v/>
      </c>
      <c r="E303" s="6" t="str">
        <f aca="false">IF($K303="","",IF(INDEX('Prospect Tracker'!$R$5:$R$554,$K303)="","",INDEX('Prospect Tracker'!$R$5:$R$554,$K303)))</f>
        <v/>
      </c>
      <c r="F303" s="6" t="str">
        <f aca="false">IF($K303="","",IF(INDEX('Prospect Tracker'!$J$5:$J$554,$K303)="","",INDEX('Prospect Tracker'!$J$5:$J$554,$K303)))</f>
        <v/>
      </c>
      <c r="G303" s="6" t="str">
        <f aca="false">IF($K303="","",IF(INDEX('Prospect Tracker'!$H$5:$H$554,$K303)="","",INDEX('Prospect Tracker'!$H$5:$H$554,$K303)))</f>
        <v/>
      </c>
      <c r="H303" s="7" t="str">
        <f aca="false">IF($K303="","",IF(INDEX('Prospect Tracker'!$K$5:$K$554,$K303)="","",INDEX('Prospect Tracker'!$K$5:$K$554,$K303)))</f>
        <v/>
      </c>
      <c r="I303" s="6" t="str">
        <f aca="false">IF($K303="","",IF(INDEX('Prospect Tracker'!$T$5:$T$554,$K303)="","",INDEX('Prospect Tracker'!$T$5:$T$554,$K303)))</f>
        <v/>
      </c>
      <c r="J303" s="6" t="str">
        <f aca="false">IF($K303="","",IF(INDEX('Prospect Tracker'!$L$5:$L$554,$K303)="","",INDEX('Prospect Tracker'!$L$5:$L$554,$K303)))</f>
        <v/>
      </c>
      <c r="K303" s="1" t="n">
        <f aca="false">IFERROR(MATCH(SMALL('Prospect Tracker'!$X$5:$X$554,ROW()-4),'Prospect Tracker'!$X$5:$X$554,0),"")</f>
        <v>299</v>
      </c>
    </row>
    <row r="304" customFormat="false" ht="15" hidden="false" customHeight="true" outlineLevel="0" collapsed="false">
      <c r="A304" s="11" t="str">
        <f aca="false">IF($K304="","",IF(INDEX('Prospect Tracker'!$W$5:$W$554,$K304)="","",INDEX('Prospect Tracker'!$W$5:$W$554,$K304)))</f>
        <v/>
      </c>
      <c r="B304" s="11" t="str">
        <f aca="false">IF($K304="","",IF(INDEX('Prospect Tracker'!$A$5:$A$554,$K304)="","",INDEX('Prospect Tracker'!$A$5:$A$554,$K304)))</f>
        <v/>
      </c>
      <c r="C304" s="11" t="str">
        <f aca="false">IF($K304="","",IF(INDEX('Prospect Tracker'!$B$5:$B$554,$K304)="","",INDEX('Prospect Tracker'!$B$5:$B$554,$K304)))</f>
        <v/>
      </c>
      <c r="D304" s="11" t="str">
        <f aca="false">IF($K304="","",IF(INDEX('Prospect Tracker'!$M$5:$M$554,$K304)="","",INDEX('Prospect Tracker'!$M$5:$M$554,$K304)))</f>
        <v/>
      </c>
      <c r="E304" s="11" t="str">
        <f aca="false">IF($K304="","",IF(INDEX('Prospect Tracker'!$R$5:$R$554,$K304)="","",INDEX('Prospect Tracker'!$R$5:$R$554,$K304)))</f>
        <v/>
      </c>
      <c r="F304" s="11" t="str">
        <f aca="false">IF($K304="","",IF(INDEX('Prospect Tracker'!$J$5:$J$554,$K304)="","",INDEX('Prospect Tracker'!$J$5:$J$554,$K304)))</f>
        <v/>
      </c>
      <c r="G304" s="11" t="str">
        <f aca="false">IF($K304="","",IF(INDEX('Prospect Tracker'!$H$5:$H$554,$K304)="","",INDEX('Prospect Tracker'!$H$5:$H$554,$K304)))</f>
        <v/>
      </c>
      <c r="H304" s="12" t="str">
        <f aca="false">IF($K304="","",IF(INDEX('Prospect Tracker'!$K$5:$K$554,$K304)="","",INDEX('Prospect Tracker'!$K$5:$K$554,$K304)))</f>
        <v/>
      </c>
      <c r="I304" s="11" t="str">
        <f aca="false">IF($K304="","",IF(INDEX('Prospect Tracker'!$T$5:$T$554,$K304)="","",INDEX('Prospect Tracker'!$T$5:$T$554,$K304)))</f>
        <v/>
      </c>
      <c r="J304" s="11" t="str">
        <f aca="false">IF($K304="","",IF(INDEX('Prospect Tracker'!$L$5:$L$554,$K304)="","",INDEX('Prospect Tracker'!$L$5:$L$554,$K304)))</f>
        <v/>
      </c>
      <c r="K304" s="1" t="n">
        <f aca="false">IFERROR(MATCH(SMALL('Prospect Tracker'!$X$5:$X$554,ROW()-4),'Prospect Tracker'!$X$5:$X$554,0),"")</f>
        <v>300</v>
      </c>
    </row>
    <row r="305" customFormat="false" ht="15" hidden="false" customHeight="true" outlineLevel="0" collapsed="false">
      <c r="A305" s="6" t="str">
        <f aca="false">IF($K305="","",IF(INDEX('Prospect Tracker'!$W$5:$W$554,$K305)="","",INDEX('Prospect Tracker'!$W$5:$W$554,$K305)))</f>
        <v/>
      </c>
      <c r="B305" s="6" t="str">
        <f aca="false">IF($K305="","",IF(INDEX('Prospect Tracker'!$A$5:$A$554,$K305)="","",INDEX('Prospect Tracker'!$A$5:$A$554,$K305)))</f>
        <v/>
      </c>
      <c r="C305" s="6" t="str">
        <f aca="false">IF($K305="","",IF(INDEX('Prospect Tracker'!$B$5:$B$554,$K305)="","",INDEX('Prospect Tracker'!$B$5:$B$554,$K305)))</f>
        <v/>
      </c>
      <c r="D305" s="6" t="str">
        <f aca="false">IF($K305="","",IF(INDEX('Prospect Tracker'!$M$5:$M$554,$K305)="","",INDEX('Prospect Tracker'!$M$5:$M$554,$K305)))</f>
        <v/>
      </c>
      <c r="E305" s="6" t="str">
        <f aca="false">IF($K305="","",IF(INDEX('Prospect Tracker'!$R$5:$R$554,$K305)="","",INDEX('Prospect Tracker'!$R$5:$R$554,$K305)))</f>
        <v/>
      </c>
      <c r="F305" s="6" t="str">
        <f aca="false">IF($K305="","",IF(INDEX('Prospect Tracker'!$J$5:$J$554,$K305)="","",INDEX('Prospect Tracker'!$J$5:$J$554,$K305)))</f>
        <v/>
      </c>
      <c r="G305" s="6" t="str">
        <f aca="false">IF($K305="","",IF(INDEX('Prospect Tracker'!$H$5:$H$554,$K305)="","",INDEX('Prospect Tracker'!$H$5:$H$554,$K305)))</f>
        <v/>
      </c>
      <c r="H305" s="7" t="str">
        <f aca="false">IF($K305="","",IF(INDEX('Prospect Tracker'!$K$5:$K$554,$K305)="","",INDEX('Prospect Tracker'!$K$5:$K$554,$K305)))</f>
        <v/>
      </c>
      <c r="I305" s="6" t="str">
        <f aca="false">IF($K305="","",IF(INDEX('Prospect Tracker'!$T$5:$T$554,$K305)="","",INDEX('Prospect Tracker'!$T$5:$T$554,$K305)))</f>
        <v/>
      </c>
      <c r="J305" s="6" t="str">
        <f aca="false">IF($K305="","",IF(INDEX('Prospect Tracker'!$L$5:$L$554,$K305)="","",INDEX('Prospect Tracker'!$L$5:$L$554,$K305)))</f>
        <v/>
      </c>
      <c r="K305" s="1" t="n">
        <f aca="false">IFERROR(MATCH(SMALL('Prospect Tracker'!$X$5:$X$554,ROW()-4),'Prospect Tracker'!$X$5:$X$554,0),"")</f>
        <v>301</v>
      </c>
    </row>
    <row r="306" customFormat="false" ht="15" hidden="false" customHeight="true" outlineLevel="0" collapsed="false">
      <c r="A306" s="11" t="str">
        <f aca="false">IF($K306="","",IF(INDEX('Prospect Tracker'!$W$5:$W$554,$K306)="","",INDEX('Prospect Tracker'!$W$5:$W$554,$K306)))</f>
        <v/>
      </c>
      <c r="B306" s="11" t="str">
        <f aca="false">IF($K306="","",IF(INDEX('Prospect Tracker'!$A$5:$A$554,$K306)="","",INDEX('Prospect Tracker'!$A$5:$A$554,$K306)))</f>
        <v/>
      </c>
      <c r="C306" s="11" t="str">
        <f aca="false">IF($K306="","",IF(INDEX('Prospect Tracker'!$B$5:$B$554,$K306)="","",INDEX('Prospect Tracker'!$B$5:$B$554,$K306)))</f>
        <v/>
      </c>
      <c r="D306" s="11" t="str">
        <f aca="false">IF($K306="","",IF(INDEX('Prospect Tracker'!$M$5:$M$554,$K306)="","",INDEX('Prospect Tracker'!$M$5:$M$554,$K306)))</f>
        <v/>
      </c>
      <c r="E306" s="11" t="str">
        <f aca="false">IF($K306="","",IF(INDEX('Prospect Tracker'!$R$5:$R$554,$K306)="","",INDEX('Prospect Tracker'!$R$5:$R$554,$K306)))</f>
        <v/>
      </c>
      <c r="F306" s="11" t="str">
        <f aca="false">IF($K306="","",IF(INDEX('Prospect Tracker'!$J$5:$J$554,$K306)="","",INDEX('Prospect Tracker'!$J$5:$J$554,$K306)))</f>
        <v/>
      </c>
      <c r="G306" s="11" t="str">
        <f aca="false">IF($K306="","",IF(INDEX('Prospect Tracker'!$H$5:$H$554,$K306)="","",INDEX('Prospect Tracker'!$H$5:$H$554,$K306)))</f>
        <v/>
      </c>
      <c r="H306" s="12" t="str">
        <f aca="false">IF($K306="","",IF(INDEX('Prospect Tracker'!$K$5:$K$554,$K306)="","",INDEX('Prospect Tracker'!$K$5:$K$554,$K306)))</f>
        <v/>
      </c>
      <c r="I306" s="11" t="str">
        <f aca="false">IF($K306="","",IF(INDEX('Prospect Tracker'!$T$5:$T$554,$K306)="","",INDEX('Prospect Tracker'!$T$5:$T$554,$K306)))</f>
        <v/>
      </c>
      <c r="J306" s="11" t="str">
        <f aca="false">IF($K306="","",IF(INDEX('Prospect Tracker'!$L$5:$L$554,$K306)="","",INDEX('Prospect Tracker'!$L$5:$L$554,$K306)))</f>
        <v/>
      </c>
      <c r="K306" s="1" t="n">
        <f aca="false">IFERROR(MATCH(SMALL('Prospect Tracker'!$X$5:$X$554,ROW()-4),'Prospect Tracker'!$X$5:$X$554,0),"")</f>
        <v>302</v>
      </c>
    </row>
    <row r="307" customFormat="false" ht="15" hidden="false" customHeight="true" outlineLevel="0" collapsed="false">
      <c r="A307" s="6" t="str">
        <f aca="false">IF($K307="","",IF(INDEX('Prospect Tracker'!$W$5:$W$554,$K307)="","",INDEX('Prospect Tracker'!$W$5:$W$554,$K307)))</f>
        <v/>
      </c>
      <c r="B307" s="6" t="str">
        <f aca="false">IF($K307="","",IF(INDEX('Prospect Tracker'!$A$5:$A$554,$K307)="","",INDEX('Prospect Tracker'!$A$5:$A$554,$K307)))</f>
        <v/>
      </c>
      <c r="C307" s="6" t="str">
        <f aca="false">IF($K307="","",IF(INDEX('Prospect Tracker'!$B$5:$B$554,$K307)="","",INDEX('Prospect Tracker'!$B$5:$B$554,$K307)))</f>
        <v/>
      </c>
      <c r="D307" s="6" t="str">
        <f aca="false">IF($K307="","",IF(INDEX('Prospect Tracker'!$M$5:$M$554,$K307)="","",INDEX('Prospect Tracker'!$M$5:$M$554,$K307)))</f>
        <v/>
      </c>
      <c r="E307" s="6" t="str">
        <f aca="false">IF($K307="","",IF(INDEX('Prospect Tracker'!$R$5:$R$554,$K307)="","",INDEX('Prospect Tracker'!$R$5:$R$554,$K307)))</f>
        <v/>
      </c>
      <c r="F307" s="6" t="str">
        <f aca="false">IF($K307="","",IF(INDEX('Prospect Tracker'!$J$5:$J$554,$K307)="","",INDEX('Prospect Tracker'!$J$5:$J$554,$K307)))</f>
        <v/>
      </c>
      <c r="G307" s="6" t="str">
        <f aca="false">IF($K307="","",IF(INDEX('Prospect Tracker'!$H$5:$H$554,$K307)="","",INDEX('Prospect Tracker'!$H$5:$H$554,$K307)))</f>
        <v/>
      </c>
      <c r="H307" s="7" t="str">
        <f aca="false">IF($K307="","",IF(INDEX('Prospect Tracker'!$K$5:$K$554,$K307)="","",INDEX('Prospect Tracker'!$K$5:$K$554,$K307)))</f>
        <v/>
      </c>
      <c r="I307" s="6" t="str">
        <f aca="false">IF($K307="","",IF(INDEX('Prospect Tracker'!$T$5:$T$554,$K307)="","",INDEX('Prospect Tracker'!$T$5:$T$554,$K307)))</f>
        <v/>
      </c>
      <c r="J307" s="6" t="str">
        <f aca="false">IF($K307="","",IF(INDEX('Prospect Tracker'!$L$5:$L$554,$K307)="","",INDEX('Prospect Tracker'!$L$5:$L$554,$K307)))</f>
        <v/>
      </c>
      <c r="K307" s="1" t="n">
        <f aca="false">IFERROR(MATCH(SMALL('Prospect Tracker'!$X$5:$X$554,ROW()-4),'Prospect Tracker'!$X$5:$X$554,0),"")</f>
        <v>303</v>
      </c>
    </row>
    <row r="308" customFormat="false" ht="15" hidden="false" customHeight="true" outlineLevel="0" collapsed="false">
      <c r="A308" s="11" t="str">
        <f aca="false">IF($K308="","",IF(INDEX('Prospect Tracker'!$W$5:$W$554,$K308)="","",INDEX('Prospect Tracker'!$W$5:$W$554,$K308)))</f>
        <v/>
      </c>
      <c r="B308" s="11" t="str">
        <f aca="false">IF($K308="","",IF(INDEX('Prospect Tracker'!$A$5:$A$554,$K308)="","",INDEX('Prospect Tracker'!$A$5:$A$554,$K308)))</f>
        <v/>
      </c>
      <c r="C308" s="11" t="str">
        <f aca="false">IF($K308="","",IF(INDEX('Prospect Tracker'!$B$5:$B$554,$K308)="","",INDEX('Prospect Tracker'!$B$5:$B$554,$K308)))</f>
        <v/>
      </c>
      <c r="D308" s="11" t="str">
        <f aca="false">IF($K308="","",IF(INDEX('Prospect Tracker'!$M$5:$M$554,$K308)="","",INDEX('Prospect Tracker'!$M$5:$M$554,$K308)))</f>
        <v/>
      </c>
      <c r="E308" s="11" t="str">
        <f aca="false">IF($K308="","",IF(INDEX('Prospect Tracker'!$R$5:$R$554,$K308)="","",INDEX('Prospect Tracker'!$R$5:$R$554,$K308)))</f>
        <v/>
      </c>
      <c r="F308" s="11" t="str">
        <f aca="false">IF($K308="","",IF(INDEX('Prospect Tracker'!$J$5:$J$554,$K308)="","",INDEX('Prospect Tracker'!$J$5:$J$554,$K308)))</f>
        <v/>
      </c>
      <c r="G308" s="11" t="str">
        <f aca="false">IF($K308="","",IF(INDEX('Prospect Tracker'!$H$5:$H$554,$K308)="","",INDEX('Prospect Tracker'!$H$5:$H$554,$K308)))</f>
        <v/>
      </c>
      <c r="H308" s="12" t="str">
        <f aca="false">IF($K308="","",IF(INDEX('Prospect Tracker'!$K$5:$K$554,$K308)="","",INDEX('Prospect Tracker'!$K$5:$K$554,$K308)))</f>
        <v/>
      </c>
      <c r="I308" s="11" t="str">
        <f aca="false">IF($K308="","",IF(INDEX('Prospect Tracker'!$T$5:$T$554,$K308)="","",INDEX('Prospect Tracker'!$T$5:$T$554,$K308)))</f>
        <v/>
      </c>
      <c r="J308" s="11" t="str">
        <f aca="false">IF($K308="","",IF(INDEX('Prospect Tracker'!$L$5:$L$554,$K308)="","",INDEX('Prospect Tracker'!$L$5:$L$554,$K308)))</f>
        <v/>
      </c>
      <c r="K308" s="1" t="n">
        <f aca="false">IFERROR(MATCH(SMALL('Prospect Tracker'!$X$5:$X$554,ROW()-4),'Prospect Tracker'!$X$5:$X$554,0),"")</f>
        <v>304</v>
      </c>
    </row>
    <row r="309" customFormat="false" ht="15" hidden="false" customHeight="true" outlineLevel="0" collapsed="false">
      <c r="A309" s="6" t="str">
        <f aca="false">IF($K309="","",IF(INDEX('Prospect Tracker'!$W$5:$W$554,$K309)="","",INDEX('Prospect Tracker'!$W$5:$W$554,$K309)))</f>
        <v/>
      </c>
      <c r="B309" s="6" t="str">
        <f aca="false">IF($K309="","",IF(INDEX('Prospect Tracker'!$A$5:$A$554,$K309)="","",INDEX('Prospect Tracker'!$A$5:$A$554,$K309)))</f>
        <v/>
      </c>
      <c r="C309" s="6" t="str">
        <f aca="false">IF($K309="","",IF(INDEX('Prospect Tracker'!$B$5:$B$554,$K309)="","",INDEX('Prospect Tracker'!$B$5:$B$554,$K309)))</f>
        <v/>
      </c>
      <c r="D309" s="6" t="str">
        <f aca="false">IF($K309="","",IF(INDEX('Prospect Tracker'!$M$5:$M$554,$K309)="","",INDEX('Prospect Tracker'!$M$5:$M$554,$K309)))</f>
        <v/>
      </c>
      <c r="E309" s="6" t="str">
        <f aca="false">IF($K309="","",IF(INDEX('Prospect Tracker'!$R$5:$R$554,$K309)="","",INDEX('Prospect Tracker'!$R$5:$R$554,$K309)))</f>
        <v/>
      </c>
      <c r="F309" s="6" t="str">
        <f aca="false">IF($K309="","",IF(INDEX('Prospect Tracker'!$J$5:$J$554,$K309)="","",INDEX('Prospect Tracker'!$J$5:$J$554,$K309)))</f>
        <v/>
      </c>
      <c r="G309" s="6" t="str">
        <f aca="false">IF($K309="","",IF(INDEX('Prospect Tracker'!$H$5:$H$554,$K309)="","",INDEX('Prospect Tracker'!$H$5:$H$554,$K309)))</f>
        <v/>
      </c>
      <c r="H309" s="7" t="str">
        <f aca="false">IF($K309="","",IF(INDEX('Prospect Tracker'!$K$5:$K$554,$K309)="","",INDEX('Prospect Tracker'!$K$5:$K$554,$K309)))</f>
        <v/>
      </c>
      <c r="I309" s="6" t="str">
        <f aca="false">IF($K309="","",IF(INDEX('Prospect Tracker'!$T$5:$T$554,$K309)="","",INDEX('Prospect Tracker'!$T$5:$T$554,$K309)))</f>
        <v/>
      </c>
      <c r="J309" s="6" t="str">
        <f aca="false">IF($K309="","",IF(INDEX('Prospect Tracker'!$L$5:$L$554,$K309)="","",INDEX('Prospect Tracker'!$L$5:$L$554,$K309)))</f>
        <v/>
      </c>
      <c r="K309" s="1" t="n">
        <f aca="false">IFERROR(MATCH(SMALL('Prospect Tracker'!$X$5:$X$554,ROW()-4),'Prospect Tracker'!$X$5:$X$554,0),"")</f>
        <v>305</v>
      </c>
    </row>
    <row r="310" customFormat="false" ht="15" hidden="false" customHeight="true" outlineLevel="0" collapsed="false">
      <c r="A310" s="11" t="str">
        <f aca="false">IF($K310="","",IF(INDEX('Prospect Tracker'!$W$5:$W$554,$K310)="","",INDEX('Prospect Tracker'!$W$5:$W$554,$K310)))</f>
        <v/>
      </c>
      <c r="B310" s="11" t="str">
        <f aca="false">IF($K310="","",IF(INDEX('Prospect Tracker'!$A$5:$A$554,$K310)="","",INDEX('Prospect Tracker'!$A$5:$A$554,$K310)))</f>
        <v/>
      </c>
      <c r="C310" s="11" t="str">
        <f aca="false">IF($K310="","",IF(INDEX('Prospect Tracker'!$B$5:$B$554,$K310)="","",INDEX('Prospect Tracker'!$B$5:$B$554,$K310)))</f>
        <v/>
      </c>
      <c r="D310" s="11" t="str">
        <f aca="false">IF($K310="","",IF(INDEX('Prospect Tracker'!$M$5:$M$554,$K310)="","",INDEX('Prospect Tracker'!$M$5:$M$554,$K310)))</f>
        <v/>
      </c>
      <c r="E310" s="11" t="str">
        <f aca="false">IF($K310="","",IF(INDEX('Prospect Tracker'!$R$5:$R$554,$K310)="","",INDEX('Prospect Tracker'!$R$5:$R$554,$K310)))</f>
        <v/>
      </c>
      <c r="F310" s="11" t="str">
        <f aca="false">IF($K310="","",IF(INDEX('Prospect Tracker'!$J$5:$J$554,$K310)="","",INDEX('Prospect Tracker'!$J$5:$J$554,$K310)))</f>
        <v/>
      </c>
      <c r="G310" s="11" t="str">
        <f aca="false">IF($K310="","",IF(INDEX('Prospect Tracker'!$H$5:$H$554,$K310)="","",INDEX('Prospect Tracker'!$H$5:$H$554,$K310)))</f>
        <v/>
      </c>
      <c r="H310" s="12" t="str">
        <f aca="false">IF($K310="","",IF(INDEX('Prospect Tracker'!$K$5:$K$554,$K310)="","",INDEX('Prospect Tracker'!$K$5:$K$554,$K310)))</f>
        <v/>
      </c>
      <c r="I310" s="11" t="str">
        <f aca="false">IF($K310="","",IF(INDEX('Prospect Tracker'!$T$5:$T$554,$K310)="","",INDEX('Prospect Tracker'!$T$5:$T$554,$K310)))</f>
        <v/>
      </c>
      <c r="J310" s="11" t="str">
        <f aca="false">IF($K310="","",IF(INDEX('Prospect Tracker'!$L$5:$L$554,$K310)="","",INDEX('Prospect Tracker'!$L$5:$L$554,$K310)))</f>
        <v/>
      </c>
      <c r="K310" s="1" t="n">
        <f aca="false">IFERROR(MATCH(SMALL('Prospect Tracker'!$X$5:$X$554,ROW()-4),'Prospect Tracker'!$X$5:$X$554,0),"")</f>
        <v>306</v>
      </c>
    </row>
    <row r="311" customFormat="false" ht="15" hidden="false" customHeight="true" outlineLevel="0" collapsed="false">
      <c r="A311" s="6" t="str">
        <f aca="false">IF($K311="","",IF(INDEX('Prospect Tracker'!$W$5:$W$554,$K311)="","",INDEX('Prospect Tracker'!$W$5:$W$554,$K311)))</f>
        <v/>
      </c>
      <c r="B311" s="6" t="str">
        <f aca="false">IF($K311="","",IF(INDEX('Prospect Tracker'!$A$5:$A$554,$K311)="","",INDEX('Prospect Tracker'!$A$5:$A$554,$K311)))</f>
        <v/>
      </c>
      <c r="C311" s="6" t="str">
        <f aca="false">IF($K311="","",IF(INDEX('Prospect Tracker'!$B$5:$B$554,$K311)="","",INDEX('Prospect Tracker'!$B$5:$B$554,$K311)))</f>
        <v/>
      </c>
      <c r="D311" s="6" t="str">
        <f aca="false">IF($K311="","",IF(INDEX('Prospect Tracker'!$M$5:$M$554,$K311)="","",INDEX('Prospect Tracker'!$M$5:$M$554,$K311)))</f>
        <v/>
      </c>
      <c r="E311" s="6" t="str">
        <f aca="false">IF($K311="","",IF(INDEX('Prospect Tracker'!$R$5:$R$554,$K311)="","",INDEX('Prospect Tracker'!$R$5:$R$554,$K311)))</f>
        <v/>
      </c>
      <c r="F311" s="6" t="str">
        <f aca="false">IF($K311="","",IF(INDEX('Prospect Tracker'!$J$5:$J$554,$K311)="","",INDEX('Prospect Tracker'!$J$5:$J$554,$K311)))</f>
        <v/>
      </c>
      <c r="G311" s="6" t="str">
        <f aca="false">IF($K311="","",IF(INDEX('Prospect Tracker'!$H$5:$H$554,$K311)="","",INDEX('Prospect Tracker'!$H$5:$H$554,$K311)))</f>
        <v/>
      </c>
      <c r="H311" s="7" t="str">
        <f aca="false">IF($K311="","",IF(INDEX('Prospect Tracker'!$K$5:$K$554,$K311)="","",INDEX('Prospect Tracker'!$K$5:$K$554,$K311)))</f>
        <v/>
      </c>
      <c r="I311" s="6" t="str">
        <f aca="false">IF($K311="","",IF(INDEX('Prospect Tracker'!$T$5:$T$554,$K311)="","",INDEX('Prospect Tracker'!$T$5:$T$554,$K311)))</f>
        <v/>
      </c>
      <c r="J311" s="6" t="str">
        <f aca="false">IF($K311="","",IF(INDEX('Prospect Tracker'!$L$5:$L$554,$K311)="","",INDEX('Prospect Tracker'!$L$5:$L$554,$K311)))</f>
        <v/>
      </c>
      <c r="K311" s="1" t="n">
        <f aca="false">IFERROR(MATCH(SMALL('Prospect Tracker'!$X$5:$X$554,ROW()-4),'Prospect Tracker'!$X$5:$X$554,0),"")</f>
        <v>307</v>
      </c>
    </row>
    <row r="312" customFormat="false" ht="15" hidden="false" customHeight="true" outlineLevel="0" collapsed="false">
      <c r="A312" s="11" t="str">
        <f aca="false">IF($K312="","",IF(INDEX('Prospect Tracker'!$W$5:$W$554,$K312)="","",INDEX('Prospect Tracker'!$W$5:$W$554,$K312)))</f>
        <v/>
      </c>
      <c r="B312" s="11" t="str">
        <f aca="false">IF($K312="","",IF(INDEX('Prospect Tracker'!$A$5:$A$554,$K312)="","",INDEX('Prospect Tracker'!$A$5:$A$554,$K312)))</f>
        <v/>
      </c>
      <c r="C312" s="11" t="str">
        <f aca="false">IF($K312="","",IF(INDEX('Prospect Tracker'!$B$5:$B$554,$K312)="","",INDEX('Prospect Tracker'!$B$5:$B$554,$K312)))</f>
        <v/>
      </c>
      <c r="D312" s="11" t="str">
        <f aca="false">IF($K312="","",IF(INDEX('Prospect Tracker'!$M$5:$M$554,$K312)="","",INDEX('Prospect Tracker'!$M$5:$M$554,$K312)))</f>
        <v/>
      </c>
      <c r="E312" s="11" t="str">
        <f aca="false">IF($K312="","",IF(INDEX('Prospect Tracker'!$R$5:$R$554,$K312)="","",INDEX('Prospect Tracker'!$R$5:$R$554,$K312)))</f>
        <v/>
      </c>
      <c r="F312" s="11" t="str">
        <f aca="false">IF($K312="","",IF(INDEX('Prospect Tracker'!$J$5:$J$554,$K312)="","",INDEX('Prospect Tracker'!$J$5:$J$554,$K312)))</f>
        <v/>
      </c>
      <c r="G312" s="11" t="str">
        <f aca="false">IF($K312="","",IF(INDEX('Prospect Tracker'!$H$5:$H$554,$K312)="","",INDEX('Prospect Tracker'!$H$5:$H$554,$K312)))</f>
        <v/>
      </c>
      <c r="H312" s="12" t="str">
        <f aca="false">IF($K312="","",IF(INDEX('Prospect Tracker'!$K$5:$K$554,$K312)="","",INDEX('Prospect Tracker'!$K$5:$K$554,$K312)))</f>
        <v/>
      </c>
      <c r="I312" s="11" t="str">
        <f aca="false">IF($K312="","",IF(INDEX('Prospect Tracker'!$T$5:$T$554,$K312)="","",INDEX('Prospect Tracker'!$T$5:$T$554,$K312)))</f>
        <v/>
      </c>
      <c r="J312" s="11" t="str">
        <f aca="false">IF($K312="","",IF(INDEX('Prospect Tracker'!$L$5:$L$554,$K312)="","",INDEX('Prospect Tracker'!$L$5:$L$554,$K312)))</f>
        <v/>
      </c>
      <c r="K312" s="1" t="n">
        <f aca="false">IFERROR(MATCH(SMALL('Prospect Tracker'!$X$5:$X$554,ROW()-4),'Prospect Tracker'!$X$5:$X$554,0),"")</f>
        <v>308</v>
      </c>
    </row>
    <row r="313" customFormat="false" ht="15" hidden="false" customHeight="true" outlineLevel="0" collapsed="false">
      <c r="A313" s="6" t="str">
        <f aca="false">IF($K313="","",IF(INDEX('Prospect Tracker'!$W$5:$W$554,$K313)="","",INDEX('Prospect Tracker'!$W$5:$W$554,$K313)))</f>
        <v/>
      </c>
      <c r="B313" s="6" t="str">
        <f aca="false">IF($K313="","",IF(INDEX('Prospect Tracker'!$A$5:$A$554,$K313)="","",INDEX('Prospect Tracker'!$A$5:$A$554,$K313)))</f>
        <v/>
      </c>
      <c r="C313" s="6" t="str">
        <f aca="false">IF($K313="","",IF(INDEX('Prospect Tracker'!$B$5:$B$554,$K313)="","",INDEX('Prospect Tracker'!$B$5:$B$554,$K313)))</f>
        <v/>
      </c>
      <c r="D313" s="6" t="str">
        <f aca="false">IF($K313="","",IF(INDEX('Prospect Tracker'!$M$5:$M$554,$K313)="","",INDEX('Prospect Tracker'!$M$5:$M$554,$K313)))</f>
        <v/>
      </c>
      <c r="E313" s="6" t="str">
        <f aca="false">IF($K313="","",IF(INDEX('Prospect Tracker'!$R$5:$R$554,$K313)="","",INDEX('Prospect Tracker'!$R$5:$R$554,$K313)))</f>
        <v/>
      </c>
      <c r="F313" s="6" t="str">
        <f aca="false">IF($K313="","",IF(INDEX('Prospect Tracker'!$J$5:$J$554,$K313)="","",INDEX('Prospect Tracker'!$J$5:$J$554,$K313)))</f>
        <v/>
      </c>
      <c r="G313" s="6" t="str">
        <f aca="false">IF($K313="","",IF(INDEX('Prospect Tracker'!$H$5:$H$554,$K313)="","",INDEX('Prospect Tracker'!$H$5:$H$554,$K313)))</f>
        <v/>
      </c>
      <c r="H313" s="7" t="str">
        <f aca="false">IF($K313="","",IF(INDEX('Prospect Tracker'!$K$5:$K$554,$K313)="","",INDEX('Prospect Tracker'!$K$5:$K$554,$K313)))</f>
        <v/>
      </c>
      <c r="I313" s="6" t="str">
        <f aca="false">IF($K313="","",IF(INDEX('Prospect Tracker'!$T$5:$T$554,$K313)="","",INDEX('Prospect Tracker'!$T$5:$T$554,$K313)))</f>
        <v/>
      </c>
      <c r="J313" s="6" t="str">
        <f aca="false">IF($K313="","",IF(INDEX('Prospect Tracker'!$L$5:$L$554,$K313)="","",INDEX('Prospect Tracker'!$L$5:$L$554,$K313)))</f>
        <v/>
      </c>
      <c r="K313" s="1" t="n">
        <f aca="false">IFERROR(MATCH(SMALL('Prospect Tracker'!$X$5:$X$554,ROW()-4),'Prospect Tracker'!$X$5:$X$554,0),"")</f>
        <v>309</v>
      </c>
    </row>
    <row r="314" customFormat="false" ht="15" hidden="false" customHeight="true" outlineLevel="0" collapsed="false">
      <c r="A314" s="11" t="str">
        <f aca="false">IF($K314="","",IF(INDEX('Prospect Tracker'!$W$5:$W$554,$K314)="","",INDEX('Prospect Tracker'!$W$5:$W$554,$K314)))</f>
        <v/>
      </c>
      <c r="B314" s="11" t="str">
        <f aca="false">IF($K314="","",IF(INDEX('Prospect Tracker'!$A$5:$A$554,$K314)="","",INDEX('Prospect Tracker'!$A$5:$A$554,$K314)))</f>
        <v/>
      </c>
      <c r="C314" s="11" t="str">
        <f aca="false">IF($K314="","",IF(INDEX('Prospect Tracker'!$B$5:$B$554,$K314)="","",INDEX('Prospect Tracker'!$B$5:$B$554,$K314)))</f>
        <v/>
      </c>
      <c r="D314" s="11" t="str">
        <f aca="false">IF($K314="","",IF(INDEX('Prospect Tracker'!$M$5:$M$554,$K314)="","",INDEX('Prospect Tracker'!$M$5:$M$554,$K314)))</f>
        <v/>
      </c>
      <c r="E314" s="11" t="str">
        <f aca="false">IF($K314="","",IF(INDEX('Prospect Tracker'!$R$5:$R$554,$K314)="","",INDEX('Prospect Tracker'!$R$5:$R$554,$K314)))</f>
        <v/>
      </c>
      <c r="F314" s="11" t="str">
        <f aca="false">IF($K314="","",IF(INDEX('Prospect Tracker'!$J$5:$J$554,$K314)="","",INDEX('Prospect Tracker'!$J$5:$J$554,$K314)))</f>
        <v/>
      </c>
      <c r="G314" s="11" t="str">
        <f aca="false">IF($K314="","",IF(INDEX('Prospect Tracker'!$H$5:$H$554,$K314)="","",INDEX('Prospect Tracker'!$H$5:$H$554,$K314)))</f>
        <v/>
      </c>
      <c r="H314" s="12" t="str">
        <f aca="false">IF($K314="","",IF(INDEX('Prospect Tracker'!$K$5:$K$554,$K314)="","",INDEX('Prospect Tracker'!$K$5:$K$554,$K314)))</f>
        <v/>
      </c>
      <c r="I314" s="11" t="str">
        <f aca="false">IF($K314="","",IF(INDEX('Prospect Tracker'!$T$5:$T$554,$K314)="","",INDEX('Prospect Tracker'!$T$5:$T$554,$K314)))</f>
        <v/>
      </c>
      <c r="J314" s="11" t="str">
        <f aca="false">IF($K314="","",IF(INDEX('Prospect Tracker'!$L$5:$L$554,$K314)="","",INDEX('Prospect Tracker'!$L$5:$L$554,$K314)))</f>
        <v/>
      </c>
      <c r="K314" s="1" t="n">
        <f aca="false">IFERROR(MATCH(SMALL('Prospect Tracker'!$X$5:$X$554,ROW()-4),'Prospect Tracker'!$X$5:$X$554,0),"")</f>
        <v>310</v>
      </c>
    </row>
    <row r="315" customFormat="false" ht="15" hidden="false" customHeight="true" outlineLevel="0" collapsed="false">
      <c r="A315" s="6" t="str">
        <f aca="false">IF($K315="","",IF(INDEX('Prospect Tracker'!$W$5:$W$554,$K315)="","",INDEX('Prospect Tracker'!$W$5:$W$554,$K315)))</f>
        <v/>
      </c>
      <c r="B315" s="6" t="str">
        <f aca="false">IF($K315="","",IF(INDEX('Prospect Tracker'!$A$5:$A$554,$K315)="","",INDEX('Prospect Tracker'!$A$5:$A$554,$K315)))</f>
        <v/>
      </c>
      <c r="C315" s="6" t="str">
        <f aca="false">IF($K315="","",IF(INDEX('Prospect Tracker'!$B$5:$B$554,$K315)="","",INDEX('Prospect Tracker'!$B$5:$B$554,$K315)))</f>
        <v/>
      </c>
      <c r="D315" s="6" t="str">
        <f aca="false">IF($K315="","",IF(INDEX('Prospect Tracker'!$M$5:$M$554,$K315)="","",INDEX('Prospect Tracker'!$M$5:$M$554,$K315)))</f>
        <v/>
      </c>
      <c r="E315" s="6" t="str">
        <f aca="false">IF($K315="","",IF(INDEX('Prospect Tracker'!$R$5:$R$554,$K315)="","",INDEX('Prospect Tracker'!$R$5:$R$554,$K315)))</f>
        <v/>
      </c>
      <c r="F315" s="6" t="str">
        <f aca="false">IF($K315="","",IF(INDEX('Prospect Tracker'!$J$5:$J$554,$K315)="","",INDEX('Prospect Tracker'!$J$5:$J$554,$K315)))</f>
        <v/>
      </c>
      <c r="G315" s="6" t="str">
        <f aca="false">IF($K315="","",IF(INDEX('Prospect Tracker'!$H$5:$H$554,$K315)="","",INDEX('Prospect Tracker'!$H$5:$H$554,$K315)))</f>
        <v/>
      </c>
      <c r="H315" s="7" t="str">
        <f aca="false">IF($K315="","",IF(INDEX('Prospect Tracker'!$K$5:$K$554,$K315)="","",INDEX('Prospect Tracker'!$K$5:$K$554,$K315)))</f>
        <v/>
      </c>
      <c r="I315" s="6" t="str">
        <f aca="false">IF($K315="","",IF(INDEX('Prospect Tracker'!$T$5:$T$554,$K315)="","",INDEX('Prospect Tracker'!$T$5:$T$554,$K315)))</f>
        <v/>
      </c>
      <c r="J315" s="6" t="str">
        <f aca="false">IF($K315="","",IF(INDEX('Prospect Tracker'!$L$5:$L$554,$K315)="","",INDEX('Prospect Tracker'!$L$5:$L$554,$K315)))</f>
        <v/>
      </c>
      <c r="K315" s="1" t="n">
        <f aca="false">IFERROR(MATCH(SMALL('Prospect Tracker'!$X$5:$X$554,ROW()-4),'Prospect Tracker'!$X$5:$X$554,0),"")</f>
        <v>311</v>
      </c>
    </row>
    <row r="316" customFormat="false" ht="15" hidden="false" customHeight="true" outlineLevel="0" collapsed="false">
      <c r="A316" s="11" t="str">
        <f aca="false">IF($K316="","",IF(INDEX('Prospect Tracker'!$W$5:$W$554,$K316)="","",INDEX('Prospect Tracker'!$W$5:$W$554,$K316)))</f>
        <v/>
      </c>
      <c r="B316" s="11" t="str">
        <f aca="false">IF($K316="","",IF(INDEX('Prospect Tracker'!$A$5:$A$554,$K316)="","",INDEX('Prospect Tracker'!$A$5:$A$554,$K316)))</f>
        <v/>
      </c>
      <c r="C316" s="11" t="str">
        <f aca="false">IF($K316="","",IF(INDEX('Prospect Tracker'!$B$5:$B$554,$K316)="","",INDEX('Prospect Tracker'!$B$5:$B$554,$K316)))</f>
        <v/>
      </c>
      <c r="D316" s="11" t="str">
        <f aca="false">IF($K316="","",IF(INDEX('Prospect Tracker'!$M$5:$M$554,$K316)="","",INDEX('Prospect Tracker'!$M$5:$M$554,$K316)))</f>
        <v/>
      </c>
      <c r="E316" s="11" t="str">
        <f aca="false">IF($K316="","",IF(INDEX('Prospect Tracker'!$R$5:$R$554,$K316)="","",INDEX('Prospect Tracker'!$R$5:$R$554,$K316)))</f>
        <v/>
      </c>
      <c r="F316" s="11" t="str">
        <f aca="false">IF($K316="","",IF(INDEX('Prospect Tracker'!$J$5:$J$554,$K316)="","",INDEX('Prospect Tracker'!$J$5:$J$554,$K316)))</f>
        <v/>
      </c>
      <c r="G316" s="11" t="str">
        <f aca="false">IF($K316="","",IF(INDEX('Prospect Tracker'!$H$5:$H$554,$K316)="","",INDEX('Prospect Tracker'!$H$5:$H$554,$K316)))</f>
        <v/>
      </c>
      <c r="H316" s="12" t="str">
        <f aca="false">IF($K316="","",IF(INDEX('Prospect Tracker'!$K$5:$K$554,$K316)="","",INDEX('Prospect Tracker'!$K$5:$K$554,$K316)))</f>
        <v/>
      </c>
      <c r="I316" s="11" t="str">
        <f aca="false">IF($K316="","",IF(INDEX('Prospect Tracker'!$T$5:$T$554,$K316)="","",INDEX('Prospect Tracker'!$T$5:$T$554,$K316)))</f>
        <v/>
      </c>
      <c r="J316" s="11" t="str">
        <f aca="false">IF($K316="","",IF(INDEX('Prospect Tracker'!$L$5:$L$554,$K316)="","",INDEX('Prospect Tracker'!$L$5:$L$554,$K316)))</f>
        <v/>
      </c>
      <c r="K316" s="1" t="n">
        <f aca="false">IFERROR(MATCH(SMALL('Prospect Tracker'!$X$5:$X$554,ROW()-4),'Prospect Tracker'!$X$5:$X$554,0),"")</f>
        <v>312</v>
      </c>
    </row>
    <row r="317" customFormat="false" ht="15" hidden="false" customHeight="true" outlineLevel="0" collapsed="false">
      <c r="A317" s="6" t="str">
        <f aca="false">IF($K317="","",IF(INDEX('Prospect Tracker'!$W$5:$W$554,$K317)="","",INDEX('Prospect Tracker'!$W$5:$W$554,$K317)))</f>
        <v/>
      </c>
      <c r="B317" s="6" t="str">
        <f aca="false">IF($K317="","",IF(INDEX('Prospect Tracker'!$A$5:$A$554,$K317)="","",INDEX('Prospect Tracker'!$A$5:$A$554,$K317)))</f>
        <v/>
      </c>
      <c r="C317" s="6" t="str">
        <f aca="false">IF($K317="","",IF(INDEX('Prospect Tracker'!$B$5:$B$554,$K317)="","",INDEX('Prospect Tracker'!$B$5:$B$554,$K317)))</f>
        <v/>
      </c>
      <c r="D317" s="6" t="str">
        <f aca="false">IF($K317="","",IF(INDEX('Prospect Tracker'!$M$5:$M$554,$K317)="","",INDEX('Prospect Tracker'!$M$5:$M$554,$K317)))</f>
        <v/>
      </c>
      <c r="E317" s="6" t="str">
        <f aca="false">IF($K317="","",IF(INDEX('Prospect Tracker'!$R$5:$R$554,$K317)="","",INDEX('Prospect Tracker'!$R$5:$R$554,$K317)))</f>
        <v/>
      </c>
      <c r="F317" s="6" t="str">
        <f aca="false">IF($K317="","",IF(INDEX('Prospect Tracker'!$J$5:$J$554,$K317)="","",INDEX('Prospect Tracker'!$J$5:$J$554,$K317)))</f>
        <v/>
      </c>
      <c r="G317" s="6" t="str">
        <f aca="false">IF($K317="","",IF(INDEX('Prospect Tracker'!$H$5:$H$554,$K317)="","",INDEX('Prospect Tracker'!$H$5:$H$554,$K317)))</f>
        <v/>
      </c>
      <c r="H317" s="7" t="str">
        <f aca="false">IF($K317="","",IF(INDEX('Prospect Tracker'!$K$5:$K$554,$K317)="","",INDEX('Prospect Tracker'!$K$5:$K$554,$K317)))</f>
        <v/>
      </c>
      <c r="I317" s="6" t="str">
        <f aca="false">IF($K317="","",IF(INDEX('Prospect Tracker'!$T$5:$T$554,$K317)="","",INDEX('Prospect Tracker'!$T$5:$T$554,$K317)))</f>
        <v/>
      </c>
      <c r="J317" s="6" t="str">
        <f aca="false">IF($K317="","",IF(INDEX('Prospect Tracker'!$L$5:$L$554,$K317)="","",INDEX('Prospect Tracker'!$L$5:$L$554,$K317)))</f>
        <v/>
      </c>
      <c r="K317" s="1" t="n">
        <f aca="false">IFERROR(MATCH(SMALL('Prospect Tracker'!$X$5:$X$554,ROW()-4),'Prospect Tracker'!$X$5:$X$554,0),"")</f>
        <v>313</v>
      </c>
    </row>
    <row r="318" customFormat="false" ht="15" hidden="false" customHeight="true" outlineLevel="0" collapsed="false">
      <c r="A318" s="11" t="str">
        <f aca="false">IF($K318="","",IF(INDEX('Prospect Tracker'!$W$5:$W$554,$K318)="","",INDEX('Prospect Tracker'!$W$5:$W$554,$K318)))</f>
        <v/>
      </c>
      <c r="B318" s="11" t="str">
        <f aca="false">IF($K318="","",IF(INDEX('Prospect Tracker'!$A$5:$A$554,$K318)="","",INDEX('Prospect Tracker'!$A$5:$A$554,$K318)))</f>
        <v/>
      </c>
      <c r="C318" s="11" t="str">
        <f aca="false">IF($K318="","",IF(INDEX('Prospect Tracker'!$B$5:$B$554,$K318)="","",INDEX('Prospect Tracker'!$B$5:$B$554,$K318)))</f>
        <v/>
      </c>
      <c r="D318" s="11" t="str">
        <f aca="false">IF($K318="","",IF(INDEX('Prospect Tracker'!$M$5:$M$554,$K318)="","",INDEX('Prospect Tracker'!$M$5:$M$554,$K318)))</f>
        <v/>
      </c>
      <c r="E318" s="11" t="str">
        <f aca="false">IF($K318="","",IF(INDEX('Prospect Tracker'!$R$5:$R$554,$K318)="","",INDEX('Prospect Tracker'!$R$5:$R$554,$K318)))</f>
        <v/>
      </c>
      <c r="F318" s="11" t="str">
        <f aca="false">IF($K318="","",IF(INDEX('Prospect Tracker'!$J$5:$J$554,$K318)="","",INDEX('Prospect Tracker'!$J$5:$J$554,$K318)))</f>
        <v/>
      </c>
      <c r="G318" s="11" t="str">
        <f aca="false">IF($K318="","",IF(INDEX('Prospect Tracker'!$H$5:$H$554,$K318)="","",INDEX('Prospect Tracker'!$H$5:$H$554,$K318)))</f>
        <v/>
      </c>
      <c r="H318" s="12" t="str">
        <f aca="false">IF($K318="","",IF(INDEX('Prospect Tracker'!$K$5:$K$554,$K318)="","",INDEX('Prospect Tracker'!$K$5:$K$554,$K318)))</f>
        <v/>
      </c>
      <c r="I318" s="11" t="str">
        <f aca="false">IF($K318="","",IF(INDEX('Prospect Tracker'!$T$5:$T$554,$K318)="","",INDEX('Prospect Tracker'!$T$5:$T$554,$K318)))</f>
        <v/>
      </c>
      <c r="J318" s="11" t="str">
        <f aca="false">IF($K318="","",IF(INDEX('Prospect Tracker'!$L$5:$L$554,$K318)="","",INDEX('Prospect Tracker'!$L$5:$L$554,$K318)))</f>
        <v/>
      </c>
      <c r="K318" s="1" t="n">
        <f aca="false">IFERROR(MATCH(SMALL('Prospect Tracker'!$X$5:$X$554,ROW()-4),'Prospect Tracker'!$X$5:$X$554,0),"")</f>
        <v>314</v>
      </c>
    </row>
    <row r="319" customFormat="false" ht="15" hidden="false" customHeight="true" outlineLevel="0" collapsed="false">
      <c r="A319" s="6" t="str">
        <f aca="false">IF($K319="","",IF(INDEX('Prospect Tracker'!$W$5:$W$554,$K319)="","",INDEX('Prospect Tracker'!$W$5:$W$554,$K319)))</f>
        <v/>
      </c>
      <c r="B319" s="6" t="str">
        <f aca="false">IF($K319="","",IF(INDEX('Prospect Tracker'!$A$5:$A$554,$K319)="","",INDEX('Prospect Tracker'!$A$5:$A$554,$K319)))</f>
        <v/>
      </c>
      <c r="C319" s="6" t="str">
        <f aca="false">IF($K319="","",IF(INDEX('Prospect Tracker'!$B$5:$B$554,$K319)="","",INDEX('Prospect Tracker'!$B$5:$B$554,$K319)))</f>
        <v/>
      </c>
      <c r="D319" s="6" t="str">
        <f aca="false">IF($K319="","",IF(INDEX('Prospect Tracker'!$M$5:$M$554,$K319)="","",INDEX('Prospect Tracker'!$M$5:$M$554,$K319)))</f>
        <v/>
      </c>
      <c r="E319" s="6" t="str">
        <f aca="false">IF($K319="","",IF(INDEX('Prospect Tracker'!$R$5:$R$554,$K319)="","",INDEX('Prospect Tracker'!$R$5:$R$554,$K319)))</f>
        <v/>
      </c>
      <c r="F319" s="6" t="str">
        <f aca="false">IF($K319="","",IF(INDEX('Prospect Tracker'!$J$5:$J$554,$K319)="","",INDEX('Prospect Tracker'!$J$5:$J$554,$K319)))</f>
        <v/>
      </c>
      <c r="G319" s="6" t="str">
        <f aca="false">IF($K319="","",IF(INDEX('Prospect Tracker'!$H$5:$H$554,$K319)="","",INDEX('Prospect Tracker'!$H$5:$H$554,$K319)))</f>
        <v/>
      </c>
      <c r="H319" s="7" t="str">
        <f aca="false">IF($K319="","",IF(INDEX('Prospect Tracker'!$K$5:$K$554,$K319)="","",INDEX('Prospect Tracker'!$K$5:$K$554,$K319)))</f>
        <v/>
      </c>
      <c r="I319" s="6" t="str">
        <f aca="false">IF($K319="","",IF(INDEX('Prospect Tracker'!$T$5:$T$554,$K319)="","",INDEX('Prospect Tracker'!$T$5:$T$554,$K319)))</f>
        <v/>
      </c>
      <c r="J319" s="6" t="str">
        <f aca="false">IF($K319="","",IF(INDEX('Prospect Tracker'!$L$5:$L$554,$K319)="","",INDEX('Prospect Tracker'!$L$5:$L$554,$K319)))</f>
        <v/>
      </c>
      <c r="K319" s="1" t="n">
        <f aca="false">IFERROR(MATCH(SMALL('Prospect Tracker'!$X$5:$X$554,ROW()-4),'Prospect Tracker'!$X$5:$X$554,0),"")</f>
        <v>315</v>
      </c>
    </row>
    <row r="320" customFormat="false" ht="15" hidden="false" customHeight="true" outlineLevel="0" collapsed="false">
      <c r="A320" s="11" t="str">
        <f aca="false">IF($K320="","",IF(INDEX('Prospect Tracker'!$W$5:$W$554,$K320)="","",INDEX('Prospect Tracker'!$W$5:$W$554,$K320)))</f>
        <v/>
      </c>
      <c r="B320" s="11" t="str">
        <f aca="false">IF($K320="","",IF(INDEX('Prospect Tracker'!$A$5:$A$554,$K320)="","",INDEX('Prospect Tracker'!$A$5:$A$554,$K320)))</f>
        <v/>
      </c>
      <c r="C320" s="11" t="str">
        <f aca="false">IF($K320="","",IF(INDEX('Prospect Tracker'!$B$5:$B$554,$K320)="","",INDEX('Prospect Tracker'!$B$5:$B$554,$K320)))</f>
        <v/>
      </c>
      <c r="D320" s="11" t="str">
        <f aca="false">IF($K320="","",IF(INDEX('Prospect Tracker'!$M$5:$M$554,$K320)="","",INDEX('Prospect Tracker'!$M$5:$M$554,$K320)))</f>
        <v/>
      </c>
      <c r="E320" s="11" t="str">
        <f aca="false">IF($K320="","",IF(INDEX('Prospect Tracker'!$R$5:$R$554,$K320)="","",INDEX('Prospect Tracker'!$R$5:$R$554,$K320)))</f>
        <v/>
      </c>
      <c r="F320" s="11" t="str">
        <f aca="false">IF($K320="","",IF(INDEX('Prospect Tracker'!$J$5:$J$554,$K320)="","",INDEX('Prospect Tracker'!$J$5:$J$554,$K320)))</f>
        <v/>
      </c>
      <c r="G320" s="11" t="str">
        <f aca="false">IF($K320="","",IF(INDEX('Prospect Tracker'!$H$5:$H$554,$K320)="","",INDEX('Prospect Tracker'!$H$5:$H$554,$K320)))</f>
        <v/>
      </c>
      <c r="H320" s="12" t="str">
        <f aca="false">IF($K320="","",IF(INDEX('Prospect Tracker'!$K$5:$K$554,$K320)="","",INDEX('Prospect Tracker'!$K$5:$K$554,$K320)))</f>
        <v/>
      </c>
      <c r="I320" s="11" t="str">
        <f aca="false">IF($K320="","",IF(INDEX('Prospect Tracker'!$T$5:$T$554,$K320)="","",INDEX('Prospect Tracker'!$T$5:$T$554,$K320)))</f>
        <v/>
      </c>
      <c r="J320" s="11" t="str">
        <f aca="false">IF($K320="","",IF(INDEX('Prospect Tracker'!$L$5:$L$554,$K320)="","",INDEX('Prospect Tracker'!$L$5:$L$554,$K320)))</f>
        <v/>
      </c>
      <c r="K320" s="1" t="n">
        <f aca="false">IFERROR(MATCH(SMALL('Prospect Tracker'!$X$5:$X$554,ROW()-4),'Prospect Tracker'!$X$5:$X$554,0),"")</f>
        <v>316</v>
      </c>
    </row>
    <row r="321" customFormat="false" ht="15" hidden="false" customHeight="true" outlineLevel="0" collapsed="false">
      <c r="A321" s="6" t="str">
        <f aca="false">IF($K321="","",IF(INDEX('Prospect Tracker'!$W$5:$W$554,$K321)="","",INDEX('Prospect Tracker'!$W$5:$W$554,$K321)))</f>
        <v/>
      </c>
      <c r="B321" s="6" t="str">
        <f aca="false">IF($K321="","",IF(INDEX('Prospect Tracker'!$A$5:$A$554,$K321)="","",INDEX('Prospect Tracker'!$A$5:$A$554,$K321)))</f>
        <v/>
      </c>
      <c r="C321" s="6" t="str">
        <f aca="false">IF($K321="","",IF(INDEX('Prospect Tracker'!$B$5:$B$554,$K321)="","",INDEX('Prospect Tracker'!$B$5:$B$554,$K321)))</f>
        <v/>
      </c>
      <c r="D321" s="6" t="str">
        <f aca="false">IF($K321="","",IF(INDEX('Prospect Tracker'!$M$5:$M$554,$K321)="","",INDEX('Prospect Tracker'!$M$5:$M$554,$K321)))</f>
        <v/>
      </c>
      <c r="E321" s="6" t="str">
        <f aca="false">IF($K321="","",IF(INDEX('Prospect Tracker'!$R$5:$R$554,$K321)="","",INDEX('Prospect Tracker'!$R$5:$R$554,$K321)))</f>
        <v/>
      </c>
      <c r="F321" s="6" t="str">
        <f aca="false">IF($K321="","",IF(INDEX('Prospect Tracker'!$J$5:$J$554,$K321)="","",INDEX('Prospect Tracker'!$J$5:$J$554,$K321)))</f>
        <v/>
      </c>
      <c r="G321" s="6" t="str">
        <f aca="false">IF($K321="","",IF(INDEX('Prospect Tracker'!$H$5:$H$554,$K321)="","",INDEX('Prospect Tracker'!$H$5:$H$554,$K321)))</f>
        <v/>
      </c>
      <c r="H321" s="7" t="str">
        <f aca="false">IF($K321="","",IF(INDEX('Prospect Tracker'!$K$5:$K$554,$K321)="","",INDEX('Prospect Tracker'!$K$5:$K$554,$K321)))</f>
        <v/>
      </c>
      <c r="I321" s="6" t="str">
        <f aca="false">IF($K321="","",IF(INDEX('Prospect Tracker'!$T$5:$T$554,$K321)="","",INDEX('Prospect Tracker'!$T$5:$T$554,$K321)))</f>
        <v/>
      </c>
      <c r="J321" s="6" t="str">
        <f aca="false">IF($K321="","",IF(INDEX('Prospect Tracker'!$L$5:$L$554,$K321)="","",INDEX('Prospect Tracker'!$L$5:$L$554,$K321)))</f>
        <v/>
      </c>
      <c r="K321" s="1" t="n">
        <f aca="false">IFERROR(MATCH(SMALL('Prospect Tracker'!$X$5:$X$554,ROW()-4),'Prospect Tracker'!$X$5:$X$554,0),"")</f>
        <v>317</v>
      </c>
    </row>
    <row r="322" customFormat="false" ht="15" hidden="false" customHeight="true" outlineLevel="0" collapsed="false">
      <c r="A322" s="11" t="str">
        <f aca="false">IF($K322="","",IF(INDEX('Prospect Tracker'!$W$5:$W$554,$K322)="","",INDEX('Prospect Tracker'!$W$5:$W$554,$K322)))</f>
        <v/>
      </c>
      <c r="B322" s="11" t="str">
        <f aca="false">IF($K322="","",IF(INDEX('Prospect Tracker'!$A$5:$A$554,$K322)="","",INDEX('Prospect Tracker'!$A$5:$A$554,$K322)))</f>
        <v/>
      </c>
      <c r="C322" s="11" t="str">
        <f aca="false">IF($K322="","",IF(INDEX('Prospect Tracker'!$B$5:$B$554,$K322)="","",INDEX('Prospect Tracker'!$B$5:$B$554,$K322)))</f>
        <v/>
      </c>
      <c r="D322" s="11" t="str">
        <f aca="false">IF($K322="","",IF(INDEX('Prospect Tracker'!$M$5:$M$554,$K322)="","",INDEX('Prospect Tracker'!$M$5:$M$554,$K322)))</f>
        <v/>
      </c>
      <c r="E322" s="11" t="str">
        <f aca="false">IF($K322="","",IF(INDEX('Prospect Tracker'!$R$5:$R$554,$K322)="","",INDEX('Prospect Tracker'!$R$5:$R$554,$K322)))</f>
        <v/>
      </c>
      <c r="F322" s="11" t="str">
        <f aca="false">IF($K322="","",IF(INDEX('Prospect Tracker'!$J$5:$J$554,$K322)="","",INDEX('Prospect Tracker'!$J$5:$J$554,$K322)))</f>
        <v/>
      </c>
      <c r="G322" s="11" t="str">
        <f aca="false">IF($K322="","",IF(INDEX('Prospect Tracker'!$H$5:$H$554,$K322)="","",INDEX('Prospect Tracker'!$H$5:$H$554,$K322)))</f>
        <v/>
      </c>
      <c r="H322" s="12" t="str">
        <f aca="false">IF($K322="","",IF(INDEX('Prospect Tracker'!$K$5:$K$554,$K322)="","",INDEX('Prospect Tracker'!$K$5:$K$554,$K322)))</f>
        <v/>
      </c>
      <c r="I322" s="11" t="str">
        <f aca="false">IF($K322="","",IF(INDEX('Prospect Tracker'!$T$5:$T$554,$K322)="","",INDEX('Prospect Tracker'!$T$5:$T$554,$K322)))</f>
        <v/>
      </c>
      <c r="J322" s="11" t="str">
        <f aca="false">IF($K322="","",IF(INDEX('Prospect Tracker'!$L$5:$L$554,$K322)="","",INDEX('Prospect Tracker'!$L$5:$L$554,$K322)))</f>
        <v/>
      </c>
      <c r="K322" s="1" t="n">
        <f aca="false">IFERROR(MATCH(SMALL('Prospect Tracker'!$X$5:$X$554,ROW()-4),'Prospect Tracker'!$X$5:$X$554,0),"")</f>
        <v>318</v>
      </c>
    </row>
    <row r="323" customFormat="false" ht="15" hidden="false" customHeight="true" outlineLevel="0" collapsed="false">
      <c r="A323" s="6" t="str">
        <f aca="false">IF($K323="","",IF(INDEX('Prospect Tracker'!$W$5:$W$554,$K323)="","",INDEX('Prospect Tracker'!$W$5:$W$554,$K323)))</f>
        <v/>
      </c>
      <c r="B323" s="6" t="str">
        <f aca="false">IF($K323="","",IF(INDEX('Prospect Tracker'!$A$5:$A$554,$K323)="","",INDEX('Prospect Tracker'!$A$5:$A$554,$K323)))</f>
        <v/>
      </c>
      <c r="C323" s="6" t="str">
        <f aca="false">IF($K323="","",IF(INDEX('Prospect Tracker'!$B$5:$B$554,$K323)="","",INDEX('Prospect Tracker'!$B$5:$B$554,$K323)))</f>
        <v/>
      </c>
      <c r="D323" s="6" t="str">
        <f aca="false">IF($K323="","",IF(INDEX('Prospect Tracker'!$M$5:$M$554,$K323)="","",INDEX('Prospect Tracker'!$M$5:$M$554,$K323)))</f>
        <v/>
      </c>
      <c r="E323" s="6" t="str">
        <f aca="false">IF($K323="","",IF(INDEX('Prospect Tracker'!$R$5:$R$554,$K323)="","",INDEX('Prospect Tracker'!$R$5:$R$554,$K323)))</f>
        <v/>
      </c>
      <c r="F323" s="6" t="str">
        <f aca="false">IF($K323="","",IF(INDEX('Prospect Tracker'!$J$5:$J$554,$K323)="","",INDEX('Prospect Tracker'!$J$5:$J$554,$K323)))</f>
        <v/>
      </c>
      <c r="G323" s="6" t="str">
        <f aca="false">IF($K323="","",IF(INDEX('Prospect Tracker'!$H$5:$H$554,$K323)="","",INDEX('Prospect Tracker'!$H$5:$H$554,$K323)))</f>
        <v/>
      </c>
      <c r="H323" s="7" t="str">
        <f aca="false">IF($K323="","",IF(INDEX('Prospect Tracker'!$K$5:$K$554,$K323)="","",INDEX('Prospect Tracker'!$K$5:$K$554,$K323)))</f>
        <v/>
      </c>
      <c r="I323" s="6" t="str">
        <f aca="false">IF($K323="","",IF(INDEX('Prospect Tracker'!$T$5:$T$554,$K323)="","",INDEX('Prospect Tracker'!$T$5:$T$554,$K323)))</f>
        <v/>
      </c>
      <c r="J323" s="6" t="str">
        <f aca="false">IF($K323="","",IF(INDEX('Prospect Tracker'!$L$5:$L$554,$K323)="","",INDEX('Prospect Tracker'!$L$5:$L$554,$K323)))</f>
        <v/>
      </c>
      <c r="K323" s="1" t="n">
        <f aca="false">IFERROR(MATCH(SMALL('Prospect Tracker'!$X$5:$X$554,ROW()-4),'Prospect Tracker'!$X$5:$X$554,0),"")</f>
        <v>319</v>
      </c>
    </row>
    <row r="324" customFormat="false" ht="15" hidden="false" customHeight="true" outlineLevel="0" collapsed="false">
      <c r="A324" s="11" t="str">
        <f aca="false">IF($K324="","",IF(INDEX('Prospect Tracker'!$W$5:$W$554,$K324)="","",INDEX('Prospect Tracker'!$W$5:$W$554,$K324)))</f>
        <v/>
      </c>
      <c r="B324" s="11" t="str">
        <f aca="false">IF($K324="","",IF(INDEX('Prospect Tracker'!$A$5:$A$554,$K324)="","",INDEX('Prospect Tracker'!$A$5:$A$554,$K324)))</f>
        <v/>
      </c>
      <c r="C324" s="11" t="str">
        <f aca="false">IF($K324="","",IF(INDEX('Prospect Tracker'!$B$5:$B$554,$K324)="","",INDEX('Prospect Tracker'!$B$5:$B$554,$K324)))</f>
        <v/>
      </c>
      <c r="D324" s="11" t="str">
        <f aca="false">IF($K324="","",IF(INDEX('Prospect Tracker'!$M$5:$M$554,$K324)="","",INDEX('Prospect Tracker'!$M$5:$M$554,$K324)))</f>
        <v/>
      </c>
      <c r="E324" s="11" t="str">
        <f aca="false">IF($K324="","",IF(INDEX('Prospect Tracker'!$R$5:$R$554,$K324)="","",INDEX('Prospect Tracker'!$R$5:$R$554,$K324)))</f>
        <v/>
      </c>
      <c r="F324" s="11" t="str">
        <f aca="false">IF($K324="","",IF(INDEX('Prospect Tracker'!$J$5:$J$554,$K324)="","",INDEX('Prospect Tracker'!$J$5:$J$554,$K324)))</f>
        <v/>
      </c>
      <c r="G324" s="11" t="str">
        <f aca="false">IF($K324="","",IF(INDEX('Prospect Tracker'!$H$5:$H$554,$K324)="","",INDEX('Prospect Tracker'!$H$5:$H$554,$K324)))</f>
        <v/>
      </c>
      <c r="H324" s="12" t="str">
        <f aca="false">IF($K324="","",IF(INDEX('Prospect Tracker'!$K$5:$K$554,$K324)="","",INDEX('Prospect Tracker'!$K$5:$K$554,$K324)))</f>
        <v/>
      </c>
      <c r="I324" s="11" t="str">
        <f aca="false">IF($K324="","",IF(INDEX('Prospect Tracker'!$T$5:$T$554,$K324)="","",INDEX('Prospect Tracker'!$T$5:$T$554,$K324)))</f>
        <v/>
      </c>
      <c r="J324" s="11" t="str">
        <f aca="false">IF($K324="","",IF(INDEX('Prospect Tracker'!$L$5:$L$554,$K324)="","",INDEX('Prospect Tracker'!$L$5:$L$554,$K324)))</f>
        <v/>
      </c>
      <c r="K324" s="1" t="n">
        <f aca="false">IFERROR(MATCH(SMALL('Prospect Tracker'!$X$5:$X$554,ROW()-4),'Prospect Tracker'!$X$5:$X$554,0),"")</f>
        <v>320</v>
      </c>
    </row>
    <row r="325" customFormat="false" ht="15" hidden="false" customHeight="true" outlineLevel="0" collapsed="false">
      <c r="A325" s="6" t="str">
        <f aca="false">IF($K325="","",IF(INDEX('Prospect Tracker'!$W$5:$W$554,$K325)="","",INDEX('Prospect Tracker'!$W$5:$W$554,$K325)))</f>
        <v/>
      </c>
      <c r="B325" s="6" t="str">
        <f aca="false">IF($K325="","",IF(INDEX('Prospect Tracker'!$A$5:$A$554,$K325)="","",INDEX('Prospect Tracker'!$A$5:$A$554,$K325)))</f>
        <v/>
      </c>
      <c r="C325" s="6" t="str">
        <f aca="false">IF($K325="","",IF(INDEX('Prospect Tracker'!$B$5:$B$554,$K325)="","",INDEX('Prospect Tracker'!$B$5:$B$554,$K325)))</f>
        <v/>
      </c>
      <c r="D325" s="6" t="str">
        <f aca="false">IF($K325="","",IF(INDEX('Prospect Tracker'!$M$5:$M$554,$K325)="","",INDEX('Prospect Tracker'!$M$5:$M$554,$K325)))</f>
        <v/>
      </c>
      <c r="E325" s="6" t="str">
        <f aca="false">IF($K325="","",IF(INDEX('Prospect Tracker'!$R$5:$R$554,$K325)="","",INDEX('Prospect Tracker'!$R$5:$R$554,$K325)))</f>
        <v/>
      </c>
      <c r="F325" s="6" t="str">
        <f aca="false">IF($K325="","",IF(INDEX('Prospect Tracker'!$J$5:$J$554,$K325)="","",INDEX('Prospect Tracker'!$J$5:$J$554,$K325)))</f>
        <v/>
      </c>
      <c r="G325" s="6" t="str">
        <f aca="false">IF($K325="","",IF(INDEX('Prospect Tracker'!$H$5:$H$554,$K325)="","",INDEX('Prospect Tracker'!$H$5:$H$554,$K325)))</f>
        <v/>
      </c>
      <c r="H325" s="7" t="str">
        <f aca="false">IF($K325="","",IF(INDEX('Prospect Tracker'!$K$5:$K$554,$K325)="","",INDEX('Prospect Tracker'!$K$5:$K$554,$K325)))</f>
        <v/>
      </c>
      <c r="I325" s="6" t="str">
        <f aca="false">IF($K325="","",IF(INDEX('Prospect Tracker'!$T$5:$T$554,$K325)="","",INDEX('Prospect Tracker'!$T$5:$T$554,$K325)))</f>
        <v/>
      </c>
      <c r="J325" s="6" t="str">
        <f aca="false">IF($K325="","",IF(INDEX('Prospect Tracker'!$L$5:$L$554,$K325)="","",INDEX('Prospect Tracker'!$L$5:$L$554,$K325)))</f>
        <v/>
      </c>
      <c r="K325" s="1" t="n">
        <f aca="false">IFERROR(MATCH(SMALL('Prospect Tracker'!$X$5:$X$554,ROW()-4),'Prospect Tracker'!$X$5:$X$554,0),"")</f>
        <v>321</v>
      </c>
    </row>
    <row r="326" customFormat="false" ht="15" hidden="false" customHeight="true" outlineLevel="0" collapsed="false">
      <c r="A326" s="11" t="str">
        <f aca="false">IF($K326="","",IF(INDEX('Prospect Tracker'!$W$5:$W$554,$K326)="","",INDEX('Prospect Tracker'!$W$5:$W$554,$K326)))</f>
        <v/>
      </c>
      <c r="B326" s="11" t="str">
        <f aca="false">IF($K326="","",IF(INDEX('Prospect Tracker'!$A$5:$A$554,$K326)="","",INDEX('Prospect Tracker'!$A$5:$A$554,$K326)))</f>
        <v/>
      </c>
      <c r="C326" s="11" t="str">
        <f aca="false">IF($K326="","",IF(INDEX('Prospect Tracker'!$B$5:$B$554,$K326)="","",INDEX('Prospect Tracker'!$B$5:$B$554,$K326)))</f>
        <v/>
      </c>
      <c r="D326" s="11" t="str">
        <f aca="false">IF($K326="","",IF(INDEX('Prospect Tracker'!$M$5:$M$554,$K326)="","",INDEX('Prospect Tracker'!$M$5:$M$554,$K326)))</f>
        <v/>
      </c>
      <c r="E326" s="11" t="str">
        <f aca="false">IF($K326="","",IF(INDEX('Prospect Tracker'!$R$5:$R$554,$K326)="","",INDEX('Prospect Tracker'!$R$5:$R$554,$K326)))</f>
        <v/>
      </c>
      <c r="F326" s="11" t="str">
        <f aca="false">IF($K326="","",IF(INDEX('Prospect Tracker'!$J$5:$J$554,$K326)="","",INDEX('Prospect Tracker'!$J$5:$J$554,$K326)))</f>
        <v/>
      </c>
      <c r="G326" s="11" t="str">
        <f aca="false">IF($K326="","",IF(INDEX('Prospect Tracker'!$H$5:$H$554,$K326)="","",INDEX('Prospect Tracker'!$H$5:$H$554,$K326)))</f>
        <v/>
      </c>
      <c r="H326" s="12" t="str">
        <f aca="false">IF($K326="","",IF(INDEX('Prospect Tracker'!$K$5:$K$554,$K326)="","",INDEX('Prospect Tracker'!$K$5:$K$554,$K326)))</f>
        <v/>
      </c>
      <c r="I326" s="11" t="str">
        <f aca="false">IF($K326="","",IF(INDEX('Prospect Tracker'!$T$5:$T$554,$K326)="","",INDEX('Prospect Tracker'!$T$5:$T$554,$K326)))</f>
        <v/>
      </c>
      <c r="J326" s="11" t="str">
        <f aca="false">IF($K326="","",IF(INDEX('Prospect Tracker'!$L$5:$L$554,$K326)="","",INDEX('Prospect Tracker'!$L$5:$L$554,$K326)))</f>
        <v/>
      </c>
      <c r="K326" s="1" t="n">
        <f aca="false">IFERROR(MATCH(SMALL('Prospect Tracker'!$X$5:$X$554,ROW()-4),'Prospect Tracker'!$X$5:$X$554,0),"")</f>
        <v>322</v>
      </c>
    </row>
    <row r="327" customFormat="false" ht="15" hidden="false" customHeight="true" outlineLevel="0" collapsed="false">
      <c r="A327" s="6" t="str">
        <f aca="false">IF($K327="","",IF(INDEX('Prospect Tracker'!$W$5:$W$554,$K327)="","",INDEX('Prospect Tracker'!$W$5:$W$554,$K327)))</f>
        <v/>
      </c>
      <c r="B327" s="6" t="str">
        <f aca="false">IF($K327="","",IF(INDEX('Prospect Tracker'!$A$5:$A$554,$K327)="","",INDEX('Prospect Tracker'!$A$5:$A$554,$K327)))</f>
        <v/>
      </c>
      <c r="C327" s="6" t="str">
        <f aca="false">IF($K327="","",IF(INDEX('Prospect Tracker'!$B$5:$B$554,$K327)="","",INDEX('Prospect Tracker'!$B$5:$B$554,$K327)))</f>
        <v/>
      </c>
      <c r="D327" s="6" t="str">
        <f aca="false">IF($K327="","",IF(INDEX('Prospect Tracker'!$M$5:$M$554,$K327)="","",INDEX('Prospect Tracker'!$M$5:$M$554,$K327)))</f>
        <v/>
      </c>
      <c r="E327" s="6" t="str">
        <f aca="false">IF($K327="","",IF(INDEX('Prospect Tracker'!$R$5:$R$554,$K327)="","",INDEX('Prospect Tracker'!$R$5:$R$554,$K327)))</f>
        <v/>
      </c>
      <c r="F327" s="6" t="str">
        <f aca="false">IF($K327="","",IF(INDEX('Prospect Tracker'!$J$5:$J$554,$K327)="","",INDEX('Prospect Tracker'!$J$5:$J$554,$K327)))</f>
        <v/>
      </c>
      <c r="G327" s="6" t="str">
        <f aca="false">IF($K327="","",IF(INDEX('Prospect Tracker'!$H$5:$H$554,$K327)="","",INDEX('Prospect Tracker'!$H$5:$H$554,$K327)))</f>
        <v/>
      </c>
      <c r="H327" s="7" t="str">
        <f aca="false">IF($K327="","",IF(INDEX('Prospect Tracker'!$K$5:$K$554,$K327)="","",INDEX('Prospect Tracker'!$K$5:$K$554,$K327)))</f>
        <v/>
      </c>
      <c r="I327" s="6" t="str">
        <f aca="false">IF($K327="","",IF(INDEX('Prospect Tracker'!$T$5:$T$554,$K327)="","",INDEX('Prospect Tracker'!$T$5:$T$554,$K327)))</f>
        <v/>
      </c>
      <c r="J327" s="6" t="str">
        <f aca="false">IF($K327="","",IF(INDEX('Prospect Tracker'!$L$5:$L$554,$K327)="","",INDEX('Prospect Tracker'!$L$5:$L$554,$K327)))</f>
        <v/>
      </c>
      <c r="K327" s="1" t="n">
        <f aca="false">IFERROR(MATCH(SMALL('Prospect Tracker'!$X$5:$X$554,ROW()-4),'Prospect Tracker'!$X$5:$X$554,0),"")</f>
        <v>323</v>
      </c>
    </row>
    <row r="328" customFormat="false" ht="15" hidden="false" customHeight="true" outlineLevel="0" collapsed="false">
      <c r="A328" s="11" t="str">
        <f aca="false">IF($K328="","",IF(INDEX('Prospect Tracker'!$W$5:$W$554,$K328)="","",INDEX('Prospect Tracker'!$W$5:$W$554,$K328)))</f>
        <v/>
      </c>
      <c r="B328" s="11" t="str">
        <f aca="false">IF($K328="","",IF(INDEX('Prospect Tracker'!$A$5:$A$554,$K328)="","",INDEX('Prospect Tracker'!$A$5:$A$554,$K328)))</f>
        <v/>
      </c>
      <c r="C328" s="11" t="str">
        <f aca="false">IF($K328="","",IF(INDEX('Prospect Tracker'!$B$5:$B$554,$K328)="","",INDEX('Prospect Tracker'!$B$5:$B$554,$K328)))</f>
        <v/>
      </c>
      <c r="D328" s="11" t="str">
        <f aca="false">IF($K328="","",IF(INDEX('Prospect Tracker'!$M$5:$M$554,$K328)="","",INDEX('Prospect Tracker'!$M$5:$M$554,$K328)))</f>
        <v/>
      </c>
      <c r="E328" s="11" t="str">
        <f aca="false">IF($K328="","",IF(INDEX('Prospect Tracker'!$R$5:$R$554,$K328)="","",INDEX('Prospect Tracker'!$R$5:$R$554,$K328)))</f>
        <v/>
      </c>
      <c r="F328" s="11" t="str">
        <f aca="false">IF($K328="","",IF(INDEX('Prospect Tracker'!$J$5:$J$554,$K328)="","",INDEX('Prospect Tracker'!$J$5:$J$554,$K328)))</f>
        <v/>
      </c>
      <c r="G328" s="11" t="str">
        <f aca="false">IF($K328="","",IF(INDEX('Prospect Tracker'!$H$5:$H$554,$K328)="","",INDEX('Prospect Tracker'!$H$5:$H$554,$K328)))</f>
        <v/>
      </c>
      <c r="H328" s="12" t="str">
        <f aca="false">IF($K328="","",IF(INDEX('Prospect Tracker'!$K$5:$K$554,$K328)="","",INDEX('Prospect Tracker'!$K$5:$K$554,$K328)))</f>
        <v/>
      </c>
      <c r="I328" s="11" t="str">
        <f aca="false">IF($K328="","",IF(INDEX('Prospect Tracker'!$T$5:$T$554,$K328)="","",INDEX('Prospect Tracker'!$T$5:$T$554,$K328)))</f>
        <v/>
      </c>
      <c r="J328" s="11" t="str">
        <f aca="false">IF($K328="","",IF(INDEX('Prospect Tracker'!$L$5:$L$554,$K328)="","",INDEX('Prospect Tracker'!$L$5:$L$554,$K328)))</f>
        <v/>
      </c>
      <c r="K328" s="1" t="n">
        <f aca="false">IFERROR(MATCH(SMALL('Prospect Tracker'!$X$5:$X$554,ROW()-4),'Prospect Tracker'!$X$5:$X$554,0),"")</f>
        <v>324</v>
      </c>
    </row>
    <row r="329" customFormat="false" ht="15" hidden="false" customHeight="true" outlineLevel="0" collapsed="false">
      <c r="A329" s="6" t="str">
        <f aca="false">IF($K329="","",IF(INDEX('Prospect Tracker'!$W$5:$W$554,$K329)="","",INDEX('Prospect Tracker'!$W$5:$W$554,$K329)))</f>
        <v/>
      </c>
      <c r="B329" s="6" t="str">
        <f aca="false">IF($K329="","",IF(INDEX('Prospect Tracker'!$A$5:$A$554,$K329)="","",INDEX('Prospect Tracker'!$A$5:$A$554,$K329)))</f>
        <v/>
      </c>
      <c r="C329" s="6" t="str">
        <f aca="false">IF($K329="","",IF(INDEX('Prospect Tracker'!$B$5:$B$554,$K329)="","",INDEX('Prospect Tracker'!$B$5:$B$554,$K329)))</f>
        <v/>
      </c>
      <c r="D329" s="6" t="str">
        <f aca="false">IF($K329="","",IF(INDEX('Prospect Tracker'!$M$5:$M$554,$K329)="","",INDEX('Prospect Tracker'!$M$5:$M$554,$K329)))</f>
        <v/>
      </c>
      <c r="E329" s="6" t="str">
        <f aca="false">IF($K329="","",IF(INDEX('Prospect Tracker'!$R$5:$R$554,$K329)="","",INDEX('Prospect Tracker'!$R$5:$R$554,$K329)))</f>
        <v/>
      </c>
      <c r="F329" s="6" t="str">
        <f aca="false">IF($K329="","",IF(INDEX('Prospect Tracker'!$J$5:$J$554,$K329)="","",INDEX('Prospect Tracker'!$J$5:$J$554,$K329)))</f>
        <v/>
      </c>
      <c r="G329" s="6" t="str">
        <f aca="false">IF($K329="","",IF(INDEX('Prospect Tracker'!$H$5:$H$554,$K329)="","",INDEX('Prospect Tracker'!$H$5:$H$554,$K329)))</f>
        <v/>
      </c>
      <c r="H329" s="7" t="str">
        <f aca="false">IF($K329="","",IF(INDEX('Prospect Tracker'!$K$5:$K$554,$K329)="","",INDEX('Prospect Tracker'!$K$5:$K$554,$K329)))</f>
        <v/>
      </c>
      <c r="I329" s="6" t="str">
        <f aca="false">IF($K329="","",IF(INDEX('Prospect Tracker'!$T$5:$T$554,$K329)="","",INDEX('Prospect Tracker'!$T$5:$T$554,$K329)))</f>
        <v/>
      </c>
      <c r="J329" s="6" t="str">
        <f aca="false">IF($K329="","",IF(INDEX('Prospect Tracker'!$L$5:$L$554,$K329)="","",INDEX('Prospect Tracker'!$L$5:$L$554,$K329)))</f>
        <v/>
      </c>
      <c r="K329" s="1" t="n">
        <f aca="false">IFERROR(MATCH(SMALL('Prospect Tracker'!$X$5:$X$554,ROW()-4),'Prospect Tracker'!$X$5:$X$554,0),"")</f>
        <v>325</v>
      </c>
    </row>
    <row r="330" customFormat="false" ht="15" hidden="false" customHeight="true" outlineLevel="0" collapsed="false">
      <c r="A330" s="11" t="str">
        <f aca="false">IF($K330="","",IF(INDEX('Prospect Tracker'!$W$5:$W$554,$K330)="","",INDEX('Prospect Tracker'!$W$5:$W$554,$K330)))</f>
        <v/>
      </c>
      <c r="B330" s="11" t="str">
        <f aca="false">IF($K330="","",IF(INDEX('Prospect Tracker'!$A$5:$A$554,$K330)="","",INDEX('Prospect Tracker'!$A$5:$A$554,$K330)))</f>
        <v/>
      </c>
      <c r="C330" s="11" t="str">
        <f aca="false">IF($K330="","",IF(INDEX('Prospect Tracker'!$B$5:$B$554,$K330)="","",INDEX('Prospect Tracker'!$B$5:$B$554,$K330)))</f>
        <v/>
      </c>
      <c r="D330" s="11" t="str">
        <f aca="false">IF($K330="","",IF(INDEX('Prospect Tracker'!$M$5:$M$554,$K330)="","",INDEX('Prospect Tracker'!$M$5:$M$554,$K330)))</f>
        <v/>
      </c>
      <c r="E330" s="11" t="str">
        <f aca="false">IF($K330="","",IF(INDEX('Prospect Tracker'!$R$5:$R$554,$K330)="","",INDEX('Prospect Tracker'!$R$5:$R$554,$K330)))</f>
        <v/>
      </c>
      <c r="F330" s="11" t="str">
        <f aca="false">IF($K330="","",IF(INDEX('Prospect Tracker'!$J$5:$J$554,$K330)="","",INDEX('Prospect Tracker'!$J$5:$J$554,$K330)))</f>
        <v/>
      </c>
      <c r="G330" s="11" t="str">
        <f aca="false">IF($K330="","",IF(INDEX('Prospect Tracker'!$H$5:$H$554,$K330)="","",INDEX('Prospect Tracker'!$H$5:$H$554,$K330)))</f>
        <v/>
      </c>
      <c r="H330" s="12" t="str">
        <f aca="false">IF($K330="","",IF(INDEX('Prospect Tracker'!$K$5:$K$554,$K330)="","",INDEX('Prospect Tracker'!$K$5:$K$554,$K330)))</f>
        <v/>
      </c>
      <c r="I330" s="11" t="str">
        <f aca="false">IF($K330="","",IF(INDEX('Prospect Tracker'!$T$5:$T$554,$K330)="","",INDEX('Prospect Tracker'!$T$5:$T$554,$K330)))</f>
        <v/>
      </c>
      <c r="J330" s="11" t="str">
        <f aca="false">IF($K330="","",IF(INDEX('Prospect Tracker'!$L$5:$L$554,$K330)="","",INDEX('Prospect Tracker'!$L$5:$L$554,$K330)))</f>
        <v/>
      </c>
      <c r="K330" s="1" t="n">
        <f aca="false">IFERROR(MATCH(SMALL('Prospect Tracker'!$X$5:$X$554,ROW()-4),'Prospect Tracker'!$X$5:$X$554,0),"")</f>
        <v>326</v>
      </c>
    </row>
    <row r="331" customFormat="false" ht="15" hidden="false" customHeight="true" outlineLevel="0" collapsed="false">
      <c r="A331" s="6" t="str">
        <f aca="false">IF($K331="","",IF(INDEX('Prospect Tracker'!$W$5:$W$554,$K331)="","",INDEX('Prospect Tracker'!$W$5:$W$554,$K331)))</f>
        <v/>
      </c>
      <c r="B331" s="6" t="str">
        <f aca="false">IF($K331="","",IF(INDEX('Prospect Tracker'!$A$5:$A$554,$K331)="","",INDEX('Prospect Tracker'!$A$5:$A$554,$K331)))</f>
        <v/>
      </c>
      <c r="C331" s="6" t="str">
        <f aca="false">IF($K331="","",IF(INDEX('Prospect Tracker'!$B$5:$B$554,$K331)="","",INDEX('Prospect Tracker'!$B$5:$B$554,$K331)))</f>
        <v/>
      </c>
      <c r="D331" s="6" t="str">
        <f aca="false">IF($K331="","",IF(INDEX('Prospect Tracker'!$M$5:$M$554,$K331)="","",INDEX('Prospect Tracker'!$M$5:$M$554,$K331)))</f>
        <v/>
      </c>
      <c r="E331" s="6" t="str">
        <f aca="false">IF($K331="","",IF(INDEX('Prospect Tracker'!$R$5:$R$554,$K331)="","",INDEX('Prospect Tracker'!$R$5:$R$554,$K331)))</f>
        <v/>
      </c>
      <c r="F331" s="6" t="str">
        <f aca="false">IF($K331="","",IF(INDEX('Prospect Tracker'!$J$5:$J$554,$K331)="","",INDEX('Prospect Tracker'!$J$5:$J$554,$K331)))</f>
        <v/>
      </c>
      <c r="G331" s="6" t="str">
        <f aca="false">IF($K331="","",IF(INDEX('Prospect Tracker'!$H$5:$H$554,$K331)="","",INDEX('Prospect Tracker'!$H$5:$H$554,$K331)))</f>
        <v/>
      </c>
      <c r="H331" s="7" t="str">
        <f aca="false">IF($K331="","",IF(INDEX('Prospect Tracker'!$K$5:$K$554,$K331)="","",INDEX('Prospect Tracker'!$K$5:$K$554,$K331)))</f>
        <v/>
      </c>
      <c r="I331" s="6" t="str">
        <f aca="false">IF($K331="","",IF(INDEX('Prospect Tracker'!$T$5:$T$554,$K331)="","",INDEX('Prospect Tracker'!$T$5:$T$554,$K331)))</f>
        <v/>
      </c>
      <c r="J331" s="6" t="str">
        <f aca="false">IF($K331="","",IF(INDEX('Prospect Tracker'!$L$5:$L$554,$K331)="","",INDEX('Prospect Tracker'!$L$5:$L$554,$K331)))</f>
        <v/>
      </c>
      <c r="K331" s="1" t="n">
        <f aca="false">IFERROR(MATCH(SMALL('Prospect Tracker'!$X$5:$X$554,ROW()-4),'Prospect Tracker'!$X$5:$X$554,0),"")</f>
        <v>327</v>
      </c>
    </row>
    <row r="332" customFormat="false" ht="15" hidden="false" customHeight="true" outlineLevel="0" collapsed="false">
      <c r="A332" s="11" t="str">
        <f aca="false">IF($K332="","",IF(INDEX('Prospect Tracker'!$W$5:$W$554,$K332)="","",INDEX('Prospect Tracker'!$W$5:$W$554,$K332)))</f>
        <v/>
      </c>
      <c r="B332" s="11" t="str">
        <f aca="false">IF($K332="","",IF(INDEX('Prospect Tracker'!$A$5:$A$554,$K332)="","",INDEX('Prospect Tracker'!$A$5:$A$554,$K332)))</f>
        <v/>
      </c>
      <c r="C332" s="11" t="str">
        <f aca="false">IF($K332="","",IF(INDEX('Prospect Tracker'!$B$5:$B$554,$K332)="","",INDEX('Prospect Tracker'!$B$5:$B$554,$K332)))</f>
        <v/>
      </c>
      <c r="D332" s="11" t="str">
        <f aca="false">IF($K332="","",IF(INDEX('Prospect Tracker'!$M$5:$M$554,$K332)="","",INDEX('Prospect Tracker'!$M$5:$M$554,$K332)))</f>
        <v/>
      </c>
      <c r="E332" s="11" t="str">
        <f aca="false">IF($K332="","",IF(INDEX('Prospect Tracker'!$R$5:$R$554,$K332)="","",INDEX('Prospect Tracker'!$R$5:$R$554,$K332)))</f>
        <v/>
      </c>
      <c r="F332" s="11" t="str">
        <f aca="false">IF($K332="","",IF(INDEX('Prospect Tracker'!$J$5:$J$554,$K332)="","",INDEX('Prospect Tracker'!$J$5:$J$554,$K332)))</f>
        <v/>
      </c>
      <c r="G332" s="11" t="str">
        <f aca="false">IF($K332="","",IF(INDEX('Prospect Tracker'!$H$5:$H$554,$K332)="","",INDEX('Prospect Tracker'!$H$5:$H$554,$K332)))</f>
        <v/>
      </c>
      <c r="H332" s="12" t="str">
        <f aca="false">IF($K332="","",IF(INDEX('Prospect Tracker'!$K$5:$K$554,$K332)="","",INDEX('Prospect Tracker'!$K$5:$K$554,$K332)))</f>
        <v/>
      </c>
      <c r="I332" s="11" t="str">
        <f aca="false">IF($K332="","",IF(INDEX('Prospect Tracker'!$T$5:$T$554,$K332)="","",INDEX('Prospect Tracker'!$T$5:$T$554,$K332)))</f>
        <v/>
      </c>
      <c r="J332" s="11" t="str">
        <f aca="false">IF($K332="","",IF(INDEX('Prospect Tracker'!$L$5:$L$554,$K332)="","",INDEX('Prospect Tracker'!$L$5:$L$554,$K332)))</f>
        <v/>
      </c>
      <c r="K332" s="1" t="n">
        <f aca="false">IFERROR(MATCH(SMALL('Prospect Tracker'!$X$5:$X$554,ROW()-4),'Prospect Tracker'!$X$5:$X$554,0),"")</f>
        <v>328</v>
      </c>
    </row>
    <row r="333" customFormat="false" ht="15" hidden="false" customHeight="true" outlineLevel="0" collapsed="false">
      <c r="A333" s="6" t="str">
        <f aca="false">IF($K333="","",IF(INDEX('Prospect Tracker'!$W$5:$W$554,$K333)="","",INDEX('Prospect Tracker'!$W$5:$W$554,$K333)))</f>
        <v/>
      </c>
      <c r="B333" s="6" t="str">
        <f aca="false">IF($K333="","",IF(INDEX('Prospect Tracker'!$A$5:$A$554,$K333)="","",INDEX('Prospect Tracker'!$A$5:$A$554,$K333)))</f>
        <v/>
      </c>
      <c r="C333" s="6" t="str">
        <f aca="false">IF($K333="","",IF(INDEX('Prospect Tracker'!$B$5:$B$554,$K333)="","",INDEX('Prospect Tracker'!$B$5:$B$554,$K333)))</f>
        <v/>
      </c>
      <c r="D333" s="6" t="str">
        <f aca="false">IF($K333="","",IF(INDEX('Prospect Tracker'!$M$5:$M$554,$K333)="","",INDEX('Prospect Tracker'!$M$5:$M$554,$K333)))</f>
        <v/>
      </c>
      <c r="E333" s="6" t="str">
        <f aca="false">IF($K333="","",IF(INDEX('Prospect Tracker'!$R$5:$R$554,$K333)="","",INDEX('Prospect Tracker'!$R$5:$R$554,$K333)))</f>
        <v/>
      </c>
      <c r="F333" s="6" t="str">
        <f aca="false">IF($K333="","",IF(INDEX('Prospect Tracker'!$J$5:$J$554,$K333)="","",INDEX('Prospect Tracker'!$J$5:$J$554,$K333)))</f>
        <v/>
      </c>
      <c r="G333" s="6" t="str">
        <f aca="false">IF($K333="","",IF(INDEX('Prospect Tracker'!$H$5:$H$554,$K333)="","",INDEX('Prospect Tracker'!$H$5:$H$554,$K333)))</f>
        <v/>
      </c>
      <c r="H333" s="7" t="str">
        <f aca="false">IF($K333="","",IF(INDEX('Prospect Tracker'!$K$5:$K$554,$K333)="","",INDEX('Prospect Tracker'!$K$5:$K$554,$K333)))</f>
        <v/>
      </c>
      <c r="I333" s="6" t="str">
        <f aca="false">IF($K333="","",IF(INDEX('Prospect Tracker'!$T$5:$T$554,$K333)="","",INDEX('Prospect Tracker'!$T$5:$T$554,$K333)))</f>
        <v/>
      </c>
      <c r="J333" s="6" t="str">
        <f aca="false">IF($K333="","",IF(INDEX('Prospect Tracker'!$L$5:$L$554,$K333)="","",INDEX('Prospect Tracker'!$L$5:$L$554,$K333)))</f>
        <v/>
      </c>
      <c r="K333" s="1" t="n">
        <f aca="false">IFERROR(MATCH(SMALL('Prospect Tracker'!$X$5:$X$554,ROW()-4),'Prospect Tracker'!$X$5:$X$554,0),"")</f>
        <v>329</v>
      </c>
    </row>
    <row r="334" customFormat="false" ht="15" hidden="false" customHeight="true" outlineLevel="0" collapsed="false">
      <c r="A334" s="11" t="str">
        <f aca="false">IF($K334="","",IF(INDEX('Prospect Tracker'!$W$5:$W$554,$K334)="","",INDEX('Prospect Tracker'!$W$5:$W$554,$K334)))</f>
        <v/>
      </c>
      <c r="B334" s="11" t="str">
        <f aca="false">IF($K334="","",IF(INDEX('Prospect Tracker'!$A$5:$A$554,$K334)="","",INDEX('Prospect Tracker'!$A$5:$A$554,$K334)))</f>
        <v/>
      </c>
      <c r="C334" s="11" t="str">
        <f aca="false">IF($K334="","",IF(INDEX('Prospect Tracker'!$B$5:$B$554,$K334)="","",INDEX('Prospect Tracker'!$B$5:$B$554,$K334)))</f>
        <v/>
      </c>
      <c r="D334" s="11" t="str">
        <f aca="false">IF($K334="","",IF(INDEX('Prospect Tracker'!$M$5:$M$554,$K334)="","",INDEX('Prospect Tracker'!$M$5:$M$554,$K334)))</f>
        <v/>
      </c>
      <c r="E334" s="11" t="str">
        <f aca="false">IF($K334="","",IF(INDEX('Prospect Tracker'!$R$5:$R$554,$K334)="","",INDEX('Prospect Tracker'!$R$5:$R$554,$K334)))</f>
        <v/>
      </c>
      <c r="F334" s="11" t="str">
        <f aca="false">IF($K334="","",IF(INDEX('Prospect Tracker'!$J$5:$J$554,$K334)="","",INDEX('Prospect Tracker'!$J$5:$J$554,$K334)))</f>
        <v/>
      </c>
      <c r="G334" s="11" t="str">
        <f aca="false">IF($K334="","",IF(INDEX('Prospect Tracker'!$H$5:$H$554,$K334)="","",INDEX('Prospect Tracker'!$H$5:$H$554,$K334)))</f>
        <v/>
      </c>
      <c r="H334" s="12" t="str">
        <f aca="false">IF($K334="","",IF(INDEX('Prospect Tracker'!$K$5:$K$554,$K334)="","",INDEX('Prospect Tracker'!$K$5:$K$554,$K334)))</f>
        <v/>
      </c>
      <c r="I334" s="11" t="str">
        <f aca="false">IF($K334="","",IF(INDEX('Prospect Tracker'!$T$5:$T$554,$K334)="","",INDEX('Prospect Tracker'!$T$5:$T$554,$K334)))</f>
        <v/>
      </c>
      <c r="J334" s="11" t="str">
        <f aca="false">IF($K334="","",IF(INDEX('Prospect Tracker'!$L$5:$L$554,$K334)="","",INDEX('Prospect Tracker'!$L$5:$L$554,$K334)))</f>
        <v/>
      </c>
      <c r="K334" s="1" t="n">
        <f aca="false">IFERROR(MATCH(SMALL('Prospect Tracker'!$X$5:$X$554,ROW()-4),'Prospect Tracker'!$X$5:$X$554,0),"")</f>
        <v>330</v>
      </c>
    </row>
    <row r="335" customFormat="false" ht="15" hidden="false" customHeight="true" outlineLevel="0" collapsed="false">
      <c r="A335" s="6" t="str">
        <f aca="false">IF($K335="","",IF(INDEX('Prospect Tracker'!$W$5:$W$554,$K335)="","",INDEX('Prospect Tracker'!$W$5:$W$554,$K335)))</f>
        <v/>
      </c>
      <c r="B335" s="6" t="str">
        <f aca="false">IF($K335="","",IF(INDEX('Prospect Tracker'!$A$5:$A$554,$K335)="","",INDEX('Prospect Tracker'!$A$5:$A$554,$K335)))</f>
        <v/>
      </c>
      <c r="C335" s="6" t="str">
        <f aca="false">IF($K335="","",IF(INDEX('Prospect Tracker'!$B$5:$B$554,$K335)="","",INDEX('Prospect Tracker'!$B$5:$B$554,$K335)))</f>
        <v/>
      </c>
      <c r="D335" s="6" t="str">
        <f aca="false">IF($K335="","",IF(INDEX('Prospect Tracker'!$M$5:$M$554,$K335)="","",INDEX('Prospect Tracker'!$M$5:$M$554,$K335)))</f>
        <v/>
      </c>
      <c r="E335" s="6" t="str">
        <f aca="false">IF($K335="","",IF(INDEX('Prospect Tracker'!$R$5:$R$554,$K335)="","",INDEX('Prospect Tracker'!$R$5:$R$554,$K335)))</f>
        <v/>
      </c>
      <c r="F335" s="6" t="str">
        <f aca="false">IF($K335="","",IF(INDEX('Prospect Tracker'!$J$5:$J$554,$K335)="","",INDEX('Prospect Tracker'!$J$5:$J$554,$K335)))</f>
        <v/>
      </c>
      <c r="G335" s="6" t="str">
        <f aca="false">IF($K335="","",IF(INDEX('Prospect Tracker'!$H$5:$H$554,$K335)="","",INDEX('Prospect Tracker'!$H$5:$H$554,$K335)))</f>
        <v/>
      </c>
      <c r="H335" s="7" t="str">
        <f aca="false">IF($K335="","",IF(INDEX('Prospect Tracker'!$K$5:$K$554,$K335)="","",INDEX('Prospect Tracker'!$K$5:$K$554,$K335)))</f>
        <v/>
      </c>
      <c r="I335" s="6" t="str">
        <f aca="false">IF($K335="","",IF(INDEX('Prospect Tracker'!$T$5:$T$554,$K335)="","",INDEX('Prospect Tracker'!$T$5:$T$554,$K335)))</f>
        <v/>
      </c>
      <c r="J335" s="6" t="str">
        <f aca="false">IF($K335="","",IF(INDEX('Prospect Tracker'!$L$5:$L$554,$K335)="","",INDEX('Prospect Tracker'!$L$5:$L$554,$K335)))</f>
        <v/>
      </c>
      <c r="K335" s="1" t="n">
        <f aca="false">IFERROR(MATCH(SMALL('Prospect Tracker'!$X$5:$X$554,ROW()-4),'Prospect Tracker'!$X$5:$X$554,0),"")</f>
        <v>331</v>
      </c>
    </row>
    <row r="336" customFormat="false" ht="15" hidden="false" customHeight="true" outlineLevel="0" collapsed="false">
      <c r="A336" s="11" t="str">
        <f aca="false">IF($K336="","",IF(INDEX('Prospect Tracker'!$W$5:$W$554,$K336)="","",INDEX('Prospect Tracker'!$W$5:$W$554,$K336)))</f>
        <v/>
      </c>
      <c r="B336" s="11" t="str">
        <f aca="false">IF($K336="","",IF(INDEX('Prospect Tracker'!$A$5:$A$554,$K336)="","",INDEX('Prospect Tracker'!$A$5:$A$554,$K336)))</f>
        <v/>
      </c>
      <c r="C336" s="11" t="str">
        <f aca="false">IF($K336="","",IF(INDEX('Prospect Tracker'!$B$5:$B$554,$K336)="","",INDEX('Prospect Tracker'!$B$5:$B$554,$K336)))</f>
        <v/>
      </c>
      <c r="D336" s="11" t="str">
        <f aca="false">IF($K336="","",IF(INDEX('Prospect Tracker'!$M$5:$M$554,$K336)="","",INDEX('Prospect Tracker'!$M$5:$M$554,$K336)))</f>
        <v/>
      </c>
      <c r="E336" s="11" t="str">
        <f aca="false">IF($K336="","",IF(INDEX('Prospect Tracker'!$R$5:$R$554,$K336)="","",INDEX('Prospect Tracker'!$R$5:$R$554,$K336)))</f>
        <v/>
      </c>
      <c r="F336" s="11" t="str">
        <f aca="false">IF($K336="","",IF(INDEX('Prospect Tracker'!$J$5:$J$554,$K336)="","",INDEX('Prospect Tracker'!$J$5:$J$554,$K336)))</f>
        <v/>
      </c>
      <c r="G336" s="11" t="str">
        <f aca="false">IF($K336="","",IF(INDEX('Prospect Tracker'!$H$5:$H$554,$K336)="","",INDEX('Prospect Tracker'!$H$5:$H$554,$K336)))</f>
        <v/>
      </c>
      <c r="H336" s="12" t="str">
        <f aca="false">IF($K336="","",IF(INDEX('Prospect Tracker'!$K$5:$K$554,$K336)="","",INDEX('Prospect Tracker'!$K$5:$K$554,$K336)))</f>
        <v/>
      </c>
      <c r="I336" s="11" t="str">
        <f aca="false">IF($K336="","",IF(INDEX('Prospect Tracker'!$T$5:$T$554,$K336)="","",INDEX('Prospect Tracker'!$T$5:$T$554,$K336)))</f>
        <v/>
      </c>
      <c r="J336" s="11" t="str">
        <f aca="false">IF($K336="","",IF(INDEX('Prospect Tracker'!$L$5:$L$554,$K336)="","",INDEX('Prospect Tracker'!$L$5:$L$554,$K336)))</f>
        <v/>
      </c>
      <c r="K336" s="1" t="n">
        <f aca="false">IFERROR(MATCH(SMALL('Prospect Tracker'!$X$5:$X$554,ROW()-4),'Prospect Tracker'!$X$5:$X$554,0),"")</f>
        <v>332</v>
      </c>
    </row>
    <row r="337" customFormat="false" ht="15" hidden="false" customHeight="true" outlineLevel="0" collapsed="false">
      <c r="A337" s="6" t="str">
        <f aca="false">IF($K337="","",IF(INDEX('Prospect Tracker'!$W$5:$W$554,$K337)="","",INDEX('Prospect Tracker'!$W$5:$W$554,$K337)))</f>
        <v/>
      </c>
      <c r="B337" s="6" t="str">
        <f aca="false">IF($K337="","",IF(INDEX('Prospect Tracker'!$A$5:$A$554,$K337)="","",INDEX('Prospect Tracker'!$A$5:$A$554,$K337)))</f>
        <v/>
      </c>
      <c r="C337" s="6" t="str">
        <f aca="false">IF($K337="","",IF(INDEX('Prospect Tracker'!$B$5:$B$554,$K337)="","",INDEX('Prospect Tracker'!$B$5:$B$554,$K337)))</f>
        <v/>
      </c>
      <c r="D337" s="6" t="str">
        <f aca="false">IF($K337="","",IF(INDEX('Prospect Tracker'!$M$5:$M$554,$K337)="","",INDEX('Prospect Tracker'!$M$5:$M$554,$K337)))</f>
        <v/>
      </c>
      <c r="E337" s="6" t="str">
        <f aca="false">IF($K337="","",IF(INDEX('Prospect Tracker'!$R$5:$R$554,$K337)="","",INDEX('Prospect Tracker'!$R$5:$R$554,$K337)))</f>
        <v/>
      </c>
      <c r="F337" s="6" t="str">
        <f aca="false">IF($K337="","",IF(INDEX('Prospect Tracker'!$J$5:$J$554,$K337)="","",INDEX('Prospect Tracker'!$J$5:$J$554,$K337)))</f>
        <v/>
      </c>
      <c r="G337" s="6" t="str">
        <f aca="false">IF($K337="","",IF(INDEX('Prospect Tracker'!$H$5:$H$554,$K337)="","",INDEX('Prospect Tracker'!$H$5:$H$554,$K337)))</f>
        <v/>
      </c>
      <c r="H337" s="7" t="str">
        <f aca="false">IF($K337="","",IF(INDEX('Prospect Tracker'!$K$5:$K$554,$K337)="","",INDEX('Prospect Tracker'!$K$5:$K$554,$K337)))</f>
        <v/>
      </c>
      <c r="I337" s="6" t="str">
        <f aca="false">IF($K337="","",IF(INDEX('Prospect Tracker'!$T$5:$T$554,$K337)="","",INDEX('Prospect Tracker'!$T$5:$T$554,$K337)))</f>
        <v/>
      </c>
      <c r="J337" s="6" t="str">
        <f aca="false">IF($K337="","",IF(INDEX('Prospect Tracker'!$L$5:$L$554,$K337)="","",INDEX('Prospect Tracker'!$L$5:$L$554,$K337)))</f>
        <v/>
      </c>
      <c r="K337" s="1" t="n">
        <f aca="false">IFERROR(MATCH(SMALL('Prospect Tracker'!$X$5:$X$554,ROW()-4),'Prospect Tracker'!$X$5:$X$554,0),"")</f>
        <v>333</v>
      </c>
    </row>
    <row r="338" customFormat="false" ht="15" hidden="false" customHeight="true" outlineLevel="0" collapsed="false">
      <c r="A338" s="11" t="str">
        <f aca="false">IF($K338="","",IF(INDEX('Prospect Tracker'!$W$5:$W$554,$K338)="","",INDEX('Prospect Tracker'!$W$5:$W$554,$K338)))</f>
        <v/>
      </c>
      <c r="B338" s="11" t="str">
        <f aca="false">IF($K338="","",IF(INDEX('Prospect Tracker'!$A$5:$A$554,$K338)="","",INDEX('Prospect Tracker'!$A$5:$A$554,$K338)))</f>
        <v/>
      </c>
      <c r="C338" s="11" t="str">
        <f aca="false">IF($K338="","",IF(INDEX('Prospect Tracker'!$B$5:$B$554,$K338)="","",INDEX('Prospect Tracker'!$B$5:$B$554,$K338)))</f>
        <v/>
      </c>
      <c r="D338" s="11" t="str">
        <f aca="false">IF($K338="","",IF(INDEX('Prospect Tracker'!$M$5:$M$554,$K338)="","",INDEX('Prospect Tracker'!$M$5:$M$554,$K338)))</f>
        <v/>
      </c>
      <c r="E338" s="11" t="str">
        <f aca="false">IF($K338="","",IF(INDEX('Prospect Tracker'!$R$5:$R$554,$K338)="","",INDEX('Prospect Tracker'!$R$5:$R$554,$K338)))</f>
        <v/>
      </c>
      <c r="F338" s="11" t="str">
        <f aca="false">IF($K338="","",IF(INDEX('Prospect Tracker'!$J$5:$J$554,$K338)="","",INDEX('Prospect Tracker'!$J$5:$J$554,$K338)))</f>
        <v/>
      </c>
      <c r="G338" s="11" t="str">
        <f aca="false">IF($K338="","",IF(INDEX('Prospect Tracker'!$H$5:$H$554,$K338)="","",INDEX('Prospect Tracker'!$H$5:$H$554,$K338)))</f>
        <v/>
      </c>
      <c r="H338" s="12" t="str">
        <f aca="false">IF($K338="","",IF(INDEX('Prospect Tracker'!$K$5:$K$554,$K338)="","",INDEX('Prospect Tracker'!$K$5:$K$554,$K338)))</f>
        <v/>
      </c>
      <c r="I338" s="11" t="str">
        <f aca="false">IF($K338="","",IF(INDEX('Prospect Tracker'!$T$5:$T$554,$K338)="","",INDEX('Prospect Tracker'!$T$5:$T$554,$K338)))</f>
        <v/>
      </c>
      <c r="J338" s="11" t="str">
        <f aca="false">IF($K338="","",IF(INDEX('Prospect Tracker'!$L$5:$L$554,$K338)="","",INDEX('Prospect Tracker'!$L$5:$L$554,$K338)))</f>
        <v/>
      </c>
      <c r="K338" s="1" t="n">
        <f aca="false">IFERROR(MATCH(SMALL('Prospect Tracker'!$X$5:$X$554,ROW()-4),'Prospect Tracker'!$X$5:$X$554,0),"")</f>
        <v>334</v>
      </c>
    </row>
    <row r="339" customFormat="false" ht="15" hidden="false" customHeight="true" outlineLevel="0" collapsed="false">
      <c r="A339" s="6" t="str">
        <f aca="false">IF($K339="","",IF(INDEX('Prospect Tracker'!$W$5:$W$554,$K339)="","",INDEX('Prospect Tracker'!$W$5:$W$554,$K339)))</f>
        <v/>
      </c>
      <c r="B339" s="6" t="str">
        <f aca="false">IF($K339="","",IF(INDEX('Prospect Tracker'!$A$5:$A$554,$K339)="","",INDEX('Prospect Tracker'!$A$5:$A$554,$K339)))</f>
        <v/>
      </c>
      <c r="C339" s="6" t="str">
        <f aca="false">IF($K339="","",IF(INDEX('Prospect Tracker'!$B$5:$B$554,$K339)="","",INDEX('Prospect Tracker'!$B$5:$B$554,$K339)))</f>
        <v/>
      </c>
      <c r="D339" s="6" t="str">
        <f aca="false">IF($K339="","",IF(INDEX('Prospect Tracker'!$M$5:$M$554,$K339)="","",INDEX('Prospect Tracker'!$M$5:$M$554,$K339)))</f>
        <v/>
      </c>
      <c r="E339" s="6" t="str">
        <f aca="false">IF($K339="","",IF(INDEX('Prospect Tracker'!$R$5:$R$554,$K339)="","",INDEX('Prospect Tracker'!$R$5:$R$554,$K339)))</f>
        <v/>
      </c>
      <c r="F339" s="6" t="str">
        <f aca="false">IF($K339="","",IF(INDEX('Prospect Tracker'!$J$5:$J$554,$K339)="","",INDEX('Prospect Tracker'!$J$5:$J$554,$K339)))</f>
        <v/>
      </c>
      <c r="G339" s="6" t="str">
        <f aca="false">IF($K339="","",IF(INDEX('Prospect Tracker'!$H$5:$H$554,$K339)="","",INDEX('Prospect Tracker'!$H$5:$H$554,$K339)))</f>
        <v/>
      </c>
      <c r="H339" s="7" t="str">
        <f aca="false">IF($K339="","",IF(INDEX('Prospect Tracker'!$K$5:$K$554,$K339)="","",INDEX('Prospect Tracker'!$K$5:$K$554,$K339)))</f>
        <v/>
      </c>
      <c r="I339" s="6" t="str">
        <f aca="false">IF($K339="","",IF(INDEX('Prospect Tracker'!$T$5:$T$554,$K339)="","",INDEX('Prospect Tracker'!$T$5:$T$554,$K339)))</f>
        <v/>
      </c>
      <c r="J339" s="6" t="str">
        <f aca="false">IF($K339="","",IF(INDEX('Prospect Tracker'!$L$5:$L$554,$K339)="","",INDEX('Prospect Tracker'!$L$5:$L$554,$K339)))</f>
        <v/>
      </c>
      <c r="K339" s="1" t="n">
        <f aca="false">IFERROR(MATCH(SMALL('Prospect Tracker'!$X$5:$X$554,ROW()-4),'Prospect Tracker'!$X$5:$X$554,0),"")</f>
        <v>335</v>
      </c>
    </row>
    <row r="340" customFormat="false" ht="15" hidden="false" customHeight="true" outlineLevel="0" collapsed="false">
      <c r="A340" s="11" t="str">
        <f aca="false">IF($K340="","",IF(INDEX('Prospect Tracker'!$W$5:$W$554,$K340)="","",INDEX('Prospect Tracker'!$W$5:$W$554,$K340)))</f>
        <v/>
      </c>
      <c r="B340" s="11" t="str">
        <f aca="false">IF($K340="","",IF(INDEX('Prospect Tracker'!$A$5:$A$554,$K340)="","",INDEX('Prospect Tracker'!$A$5:$A$554,$K340)))</f>
        <v/>
      </c>
      <c r="C340" s="11" t="str">
        <f aca="false">IF($K340="","",IF(INDEX('Prospect Tracker'!$B$5:$B$554,$K340)="","",INDEX('Prospect Tracker'!$B$5:$B$554,$K340)))</f>
        <v/>
      </c>
      <c r="D340" s="11" t="str">
        <f aca="false">IF($K340="","",IF(INDEX('Prospect Tracker'!$M$5:$M$554,$K340)="","",INDEX('Prospect Tracker'!$M$5:$M$554,$K340)))</f>
        <v/>
      </c>
      <c r="E340" s="11" t="str">
        <f aca="false">IF($K340="","",IF(INDEX('Prospect Tracker'!$R$5:$R$554,$K340)="","",INDEX('Prospect Tracker'!$R$5:$R$554,$K340)))</f>
        <v/>
      </c>
      <c r="F340" s="11" t="str">
        <f aca="false">IF($K340="","",IF(INDEX('Prospect Tracker'!$J$5:$J$554,$K340)="","",INDEX('Prospect Tracker'!$J$5:$J$554,$K340)))</f>
        <v/>
      </c>
      <c r="G340" s="11" t="str">
        <f aca="false">IF($K340="","",IF(INDEX('Prospect Tracker'!$H$5:$H$554,$K340)="","",INDEX('Prospect Tracker'!$H$5:$H$554,$K340)))</f>
        <v/>
      </c>
      <c r="H340" s="12" t="str">
        <f aca="false">IF($K340="","",IF(INDEX('Prospect Tracker'!$K$5:$K$554,$K340)="","",INDEX('Prospect Tracker'!$K$5:$K$554,$K340)))</f>
        <v/>
      </c>
      <c r="I340" s="11" t="str">
        <f aca="false">IF($K340="","",IF(INDEX('Prospect Tracker'!$T$5:$T$554,$K340)="","",INDEX('Prospect Tracker'!$T$5:$T$554,$K340)))</f>
        <v/>
      </c>
      <c r="J340" s="11" t="str">
        <f aca="false">IF($K340="","",IF(INDEX('Prospect Tracker'!$L$5:$L$554,$K340)="","",INDEX('Prospect Tracker'!$L$5:$L$554,$K340)))</f>
        <v/>
      </c>
      <c r="K340" s="1" t="n">
        <f aca="false">IFERROR(MATCH(SMALL('Prospect Tracker'!$X$5:$X$554,ROW()-4),'Prospect Tracker'!$X$5:$X$554,0),"")</f>
        <v>336</v>
      </c>
    </row>
    <row r="341" customFormat="false" ht="15" hidden="false" customHeight="true" outlineLevel="0" collapsed="false">
      <c r="A341" s="6" t="str">
        <f aca="false">IF($K341="","",IF(INDEX('Prospect Tracker'!$W$5:$W$554,$K341)="","",INDEX('Prospect Tracker'!$W$5:$W$554,$K341)))</f>
        <v/>
      </c>
      <c r="B341" s="6" t="str">
        <f aca="false">IF($K341="","",IF(INDEX('Prospect Tracker'!$A$5:$A$554,$K341)="","",INDEX('Prospect Tracker'!$A$5:$A$554,$K341)))</f>
        <v/>
      </c>
      <c r="C341" s="6" t="str">
        <f aca="false">IF($K341="","",IF(INDEX('Prospect Tracker'!$B$5:$B$554,$K341)="","",INDEX('Prospect Tracker'!$B$5:$B$554,$K341)))</f>
        <v/>
      </c>
      <c r="D341" s="6" t="str">
        <f aca="false">IF($K341="","",IF(INDEX('Prospect Tracker'!$M$5:$M$554,$K341)="","",INDEX('Prospect Tracker'!$M$5:$M$554,$K341)))</f>
        <v/>
      </c>
      <c r="E341" s="6" t="str">
        <f aca="false">IF($K341="","",IF(INDEX('Prospect Tracker'!$R$5:$R$554,$K341)="","",INDEX('Prospect Tracker'!$R$5:$R$554,$K341)))</f>
        <v/>
      </c>
      <c r="F341" s="6" t="str">
        <f aca="false">IF($K341="","",IF(INDEX('Prospect Tracker'!$J$5:$J$554,$K341)="","",INDEX('Prospect Tracker'!$J$5:$J$554,$K341)))</f>
        <v/>
      </c>
      <c r="G341" s="6" t="str">
        <f aca="false">IF($K341="","",IF(INDEX('Prospect Tracker'!$H$5:$H$554,$K341)="","",INDEX('Prospect Tracker'!$H$5:$H$554,$K341)))</f>
        <v/>
      </c>
      <c r="H341" s="7" t="str">
        <f aca="false">IF($K341="","",IF(INDEX('Prospect Tracker'!$K$5:$K$554,$K341)="","",INDEX('Prospect Tracker'!$K$5:$K$554,$K341)))</f>
        <v/>
      </c>
      <c r="I341" s="6" t="str">
        <f aca="false">IF($K341="","",IF(INDEX('Prospect Tracker'!$T$5:$T$554,$K341)="","",INDEX('Prospect Tracker'!$T$5:$T$554,$K341)))</f>
        <v/>
      </c>
      <c r="J341" s="6" t="str">
        <f aca="false">IF($K341="","",IF(INDEX('Prospect Tracker'!$L$5:$L$554,$K341)="","",INDEX('Prospect Tracker'!$L$5:$L$554,$K341)))</f>
        <v/>
      </c>
      <c r="K341" s="1" t="n">
        <f aca="false">IFERROR(MATCH(SMALL('Prospect Tracker'!$X$5:$X$554,ROW()-4),'Prospect Tracker'!$X$5:$X$554,0),"")</f>
        <v>337</v>
      </c>
    </row>
    <row r="342" customFormat="false" ht="15" hidden="false" customHeight="true" outlineLevel="0" collapsed="false">
      <c r="A342" s="11" t="str">
        <f aca="false">IF($K342="","",IF(INDEX('Prospect Tracker'!$W$5:$W$554,$K342)="","",INDEX('Prospect Tracker'!$W$5:$W$554,$K342)))</f>
        <v/>
      </c>
      <c r="B342" s="11" t="str">
        <f aca="false">IF($K342="","",IF(INDEX('Prospect Tracker'!$A$5:$A$554,$K342)="","",INDEX('Prospect Tracker'!$A$5:$A$554,$K342)))</f>
        <v/>
      </c>
      <c r="C342" s="11" t="str">
        <f aca="false">IF($K342="","",IF(INDEX('Prospect Tracker'!$B$5:$B$554,$K342)="","",INDEX('Prospect Tracker'!$B$5:$B$554,$K342)))</f>
        <v/>
      </c>
      <c r="D342" s="11" t="str">
        <f aca="false">IF($K342="","",IF(INDEX('Prospect Tracker'!$M$5:$M$554,$K342)="","",INDEX('Prospect Tracker'!$M$5:$M$554,$K342)))</f>
        <v/>
      </c>
      <c r="E342" s="11" t="str">
        <f aca="false">IF($K342="","",IF(INDEX('Prospect Tracker'!$R$5:$R$554,$K342)="","",INDEX('Prospect Tracker'!$R$5:$R$554,$K342)))</f>
        <v/>
      </c>
      <c r="F342" s="11" t="str">
        <f aca="false">IF($K342="","",IF(INDEX('Prospect Tracker'!$J$5:$J$554,$K342)="","",INDEX('Prospect Tracker'!$J$5:$J$554,$K342)))</f>
        <v/>
      </c>
      <c r="G342" s="11" t="str">
        <f aca="false">IF($K342="","",IF(INDEX('Prospect Tracker'!$H$5:$H$554,$K342)="","",INDEX('Prospect Tracker'!$H$5:$H$554,$K342)))</f>
        <v/>
      </c>
      <c r="H342" s="12" t="str">
        <f aca="false">IF($K342="","",IF(INDEX('Prospect Tracker'!$K$5:$K$554,$K342)="","",INDEX('Prospect Tracker'!$K$5:$K$554,$K342)))</f>
        <v/>
      </c>
      <c r="I342" s="11" t="str">
        <f aca="false">IF($K342="","",IF(INDEX('Prospect Tracker'!$T$5:$T$554,$K342)="","",INDEX('Prospect Tracker'!$T$5:$T$554,$K342)))</f>
        <v/>
      </c>
      <c r="J342" s="11" t="str">
        <f aca="false">IF($K342="","",IF(INDEX('Prospect Tracker'!$L$5:$L$554,$K342)="","",INDEX('Prospect Tracker'!$L$5:$L$554,$K342)))</f>
        <v/>
      </c>
      <c r="K342" s="1" t="n">
        <f aca="false">IFERROR(MATCH(SMALL('Prospect Tracker'!$X$5:$X$554,ROW()-4),'Prospect Tracker'!$X$5:$X$554,0),"")</f>
        <v>338</v>
      </c>
    </row>
    <row r="343" customFormat="false" ht="15" hidden="false" customHeight="true" outlineLevel="0" collapsed="false">
      <c r="A343" s="6" t="str">
        <f aca="false">IF($K343="","",IF(INDEX('Prospect Tracker'!$W$5:$W$554,$K343)="","",INDEX('Prospect Tracker'!$W$5:$W$554,$K343)))</f>
        <v/>
      </c>
      <c r="B343" s="6" t="str">
        <f aca="false">IF($K343="","",IF(INDEX('Prospect Tracker'!$A$5:$A$554,$K343)="","",INDEX('Prospect Tracker'!$A$5:$A$554,$K343)))</f>
        <v/>
      </c>
      <c r="C343" s="6" t="str">
        <f aca="false">IF($K343="","",IF(INDEX('Prospect Tracker'!$B$5:$B$554,$K343)="","",INDEX('Prospect Tracker'!$B$5:$B$554,$K343)))</f>
        <v/>
      </c>
      <c r="D343" s="6" t="str">
        <f aca="false">IF($K343="","",IF(INDEX('Prospect Tracker'!$M$5:$M$554,$K343)="","",INDEX('Prospect Tracker'!$M$5:$M$554,$K343)))</f>
        <v/>
      </c>
      <c r="E343" s="6" t="str">
        <f aca="false">IF($K343="","",IF(INDEX('Prospect Tracker'!$R$5:$R$554,$K343)="","",INDEX('Prospect Tracker'!$R$5:$R$554,$K343)))</f>
        <v/>
      </c>
      <c r="F343" s="6" t="str">
        <f aca="false">IF($K343="","",IF(INDEX('Prospect Tracker'!$J$5:$J$554,$K343)="","",INDEX('Prospect Tracker'!$J$5:$J$554,$K343)))</f>
        <v/>
      </c>
      <c r="G343" s="6" t="str">
        <f aca="false">IF($K343="","",IF(INDEX('Prospect Tracker'!$H$5:$H$554,$K343)="","",INDEX('Prospect Tracker'!$H$5:$H$554,$K343)))</f>
        <v/>
      </c>
      <c r="H343" s="7" t="str">
        <f aca="false">IF($K343="","",IF(INDEX('Prospect Tracker'!$K$5:$K$554,$K343)="","",INDEX('Prospect Tracker'!$K$5:$K$554,$K343)))</f>
        <v/>
      </c>
      <c r="I343" s="6" t="str">
        <f aca="false">IF($K343="","",IF(INDEX('Prospect Tracker'!$T$5:$T$554,$K343)="","",INDEX('Prospect Tracker'!$T$5:$T$554,$K343)))</f>
        <v/>
      </c>
      <c r="J343" s="6" t="str">
        <f aca="false">IF($K343="","",IF(INDEX('Prospect Tracker'!$L$5:$L$554,$K343)="","",INDEX('Prospect Tracker'!$L$5:$L$554,$K343)))</f>
        <v/>
      </c>
      <c r="K343" s="1" t="n">
        <f aca="false">IFERROR(MATCH(SMALL('Prospect Tracker'!$X$5:$X$554,ROW()-4),'Prospect Tracker'!$X$5:$X$554,0),"")</f>
        <v>339</v>
      </c>
    </row>
    <row r="344" customFormat="false" ht="15" hidden="false" customHeight="true" outlineLevel="0" collapsed="false">
      <c r="A344" s="11" t="str">
        <f aca="false">IF($K344="","",IF(INDEX('Prospect Tracker'!$W$5:$W$554,$K344)="","",INDEX('Prospect Tracker'!$W$5:$W$554,$K344)))</f>
        <v/>
      </c>
      <c r="B344" s="11" t="str">
        <f aca="false">IF($K344="","",IF(INDEX('Prospect Tracker'!$A$5:$A$554,$K344)="","",INDEX('Prospect Tracker'!$A$5:$A$554,$K344)))</f>
        <v/>
      </c>
      <c r="C344" s="11" t="str">
        <f aca="false">IF($K344="","",IF(INDEX('Prospect Tracker'!$B$5:$B$554,$K344)="","",INDEX('Prospect Tracker'!$B$5:$B$554,$K344)))</f>
        <v/>
      </c>
      <c r="D344" s="11" t="str">
        <f aca="false">IF($K344="","",IF(INDEX('Prospect Tracker'!$M$5:$M$554,$K344)="","",INDEX('Prospect Tracker'!$M$5:$M$554,$K344)))</f>
        <v/>
      </c>
      <c r="E344" s="11" t="str">
        <f aca="false">IF($K344="","",IF(INDEX('Prospect Tracker'!$R$5:$R$554,$K344)="","",INDEX('Prospect Tracker'!$R$5:$R$554,$K344)))</f>
        <v/>
      </c>
      <c r="F344" s="11" t="str">
        <f aca="false">IF($K344="","",IF(INDEX('Prospect Tracker'!$J$5:$J$554,$K344)="","",INDEX('Prospect Tracker'!$J$5:$J$554,$K344)))</f>
        <v/>
      </c>
      <c r="G344" s="11" t="str">
        <f aca="false">IF($K344="","",IF(INDEX('Prospect Tracker'!$H$5:$H$554,$K344)="","",INDEX('Prospect Tracker'!$H$5:$H$554,$K344)))</f>
        <v/>
      </c>
      <c r="H344" s="12" t="str">
        <f aca="false">IF($K344="","",IF(INDEX('Prospect Tracker'!$K$5:$K$554,$K344)="","",INDEX('Prospect Tracker'!$K$5:$K$554,$K344)))</f>
        <v/>
      </c>
      <c r="I344" s="11" t="str">
        <f aca="false">IF($K344="","",IF(INDEX('Prospect Tracker'!$T$5:$T$554,$K344)="","",INDEX('Prospect Tracker'!$T$5:$T$554,$K344)))</f>
        <v/>
      </c>
      <c r="J344" s="11" t="str">
        <f aca="false">IF($K344="","",IF(INDEX('Prospect Tracker'!$L$5:$L$554,$K344)="","",INDEX('Prospect Tracker'!$L$5:$L$554,$K344)))</f>
        <v/>
      </c>
      <c r="K344" s="1" t="n">
        <f aca="false">IFERROR(MATCH(SMALL('Prospect Tracker'!$X$5:$X$554,ROW()-4),'Prospect Tracker'!$X$5:$X$554,0),"")</f>
        <v>340</v>
      </c>
    </row>
    <row r="345" customFormat="false" ht="15" hidden="false" customHeight="true" outlineLevel="0" collapsed="false">
      <c r="A345" s="6" t="str">
        <f aca="false">IF($K345="","",IF(INDEX('Prospect Tracker'!$W$5:$W$554,$K345)="","",INDEX('Prospect Tracker'!$W$5:$W$554,$K345)))</f>
        <v/>
      </c>
      <c r="B345" s="6" t="str">
        <f aca="false">IF($K345="","",IF(INDEX('Prospect Tracker'!$A$5:$A$554,$K345)="","",INDEX('Prospect Tracker'!$A$5:$A$554,$K345)))</f>
        <v/>
      </c>
      <c r="C345" s="6" t="str">
        <f aca="false">IF($K345="","",IF(INDEX('Prospect Tracker'!$B$5:$B$554,$K345)="","",INDEX('Prospect Tracker'!$B$5:$B$554,$K345)))</f>
        <v/>
      </c>
      <c r="D345" s="6" t="str">
        <f aca="false">IF($K345="","",IF(INDEX('Prospect Tracker'!$M$5:$M$554,$K345)="","",INDEX('Prospect Tracker'!$M$5:$M$554,$K345)))</f>
        <v/>
      </c>
      <c r="E345" s="6" t="str">
        <f aca="false">IF($K345="","",IF(INDEX('Prospect Tracker'!$R$5:$R$554,$K345)="","",INDEX('Prospect Tracker'!$R$5:$R$554,$K345)))</f>
        <v/>
      </c>
      <c r="F345" s="6" t="str">
        <f aca="false">IF($K345="","",IF(INDEX('Prospect Tracker'!$J$5:$J$554,$K345)="","",INDEX('Prospect Tracker'!$J$5:$J$554,$K345)))</f>
        <v/>
      </c>
      <c r="G345" s="6" t="str">
        <f aca="false">IF($K345="","",IF(INDEX('Prospect Tracker'!$H$5:$H$554,$K345)="","",INDEX('Prospect Tracker'!$H$5:$H$554,$K345)))</f>
        <v/>
      </c>
      <c r="H345" s="7" t="str">
        <f aca="false">IF($K345="","",IF(INDEX('Prospect Tracker'!$K$5:$K$554,$K345)="","",INDEX('Prospect Tracker'!$K$5:$K$554,$K345)))</f>
        <v/>
      </c>
      <c r="I345" s="6" t="str">
        <f aca="false">IF($K345="","",IF(INDEX('Prospect Tracker'!$T$5:$T$554,$K345)="","",INDEX('Prospect Tracker'!$T$5:$T$554,$K345)))</f>
        <v/>
      </c>
      <c r="J345" s="6" t="str">
        <f aca="false">IF($K345="","",IF(INDEX('Prospect Tracker'!$L$5:$L$554,$K345)="","",INDEX('Prospect Tracker'!$L$5:$L$554,$K345)))</f>
        <v/>
      </c>
      <c r="K345" s="1" t="n">
        <f aca="false">IFERROR(MATCH(SMALL('Prospect Tracker'!$X$5:$X$554,ROW()-4),'Prospect Tracker'!$X$5:$X$554,0),"")</f>
        <v>341</v>
      </c>
    </row>
    <row r="346" customFormat="false" ht="15" hidden="false" customHeight="true" outlineLevel="0" collapsed="false">
      <c r="A346" s="11" t="str">
        <f aca="false">IF($K346="","",IF(INDEX('Prospect Tracker'!$W$5:$W$554,$K346)="","",INDEX('Prospect Tracker'!$W$5:$W$554,$K346)))</f>
        <v/>
      </c>
      <c r="B346" s="11" t="str">
        <f aca="false">IF($K346="","",IF(INDEX('Prospect Tracker'!$A$5:$A$554,$K346)="","",INDEX('Prospect Tracker'!$A$5:$A$554,$K346)))</f>
        <v/>
      </c>
      <c r="C346" s="11" t="str">
        <f aca="false">IF($K346="","",IF(INDEX('Prospect Tracker'!$B$5:$B$554,$K346)="","",INDEX('Prospect Tracker'!$B$5:$B$554,$K346)))</f>
        <v/>
      </c>
      <c r="D346" s="11" t="str">
        <f aca="false">IF($K346="","",IF(INDEX('Prospect Tracker'!$M$5:$M$554,$K346)="","",INDEX('Prospect Tracker'!$M$5:$M$554,$K346)))</f>
        <v/>
      </c>
      <c r="E346" s="11" t="str">
        <f aca="false">IF($K346="","",IF(INDEX('Prospect Tracker'!$R$5:$R$554,$K346)="","",INDEX('Prospect Tracker'!$R$5:$R$554,$K346)))</f>
        <v/>
      </c>
      <c r="F346" s="11" t="str">
        <f aca="false">IF($K346="","",IF(INDEX('Prospect Tracker'!$J$5:$J$554,$K346)="","",INDEX('Prospect Tracker'!$J$5:$J$554,$K346)))</f>
        <v/>
      </c>
      <c r="G346" s="11" t="str">
        <f aca="false">IF($K346="","",IF(INDEX('Prospect Tracker'!$H$5:$H$554,$K346)="","",INDEX('Prospect Tracker'!$H$5:$H$554,$K346)))</f>
        <v/>
      </c>
      <c r="H346" s="12" t="str">
        <f aca="false">IF($K346="","",IF(INDEX('Prospect Tracker'!$K$5:$K$554,$K346)="","",INDEX('Prospect Tracker'!$K$5:$K$554,$K346)))</f>
        <v/>
      </c>
      <c r="I346" s="11" t="str">
        <f aca="false">IF($K346="","",IF(INDEX('Prospect Tracker'!$T$5:$T$554,$K346)="","",INDEX('Prospect Tracker'!$T$5:$T$554,$K346)))</f>
        <v/>
      </c>
      <c r="J346" s="11" t="str">
        <f aca="false">IF($K346="","",IF(INDEX('Prospect Tracker'!$L$5:$L$554,$K346)="","",INDEX('Prospect Tracker'!$L$5:$L$554,$K346)))</f>
        <v/>
      </c>
      <c r="K346" s="1" t="n">
        <f aca="false">IFERROR(MATCH(SMALL('Prospect Tracker'!$X$5:$X$554,ROW()-4),'Prospect Tracker'!$X$5:$X$554,0),"")</f>
        <v>342</v>
      </c>
    </row>
    <row r="347" customFormat="false" ht="15" hidden="false" customHeight="true" outlineLevel="0" collapsed="false">
      <c r="A347" s="6" t="str">
        <f aca="false">IF($K347="","",IF(INDEX('Prospect Tracker'!$W$5:$W$554,$K347)="","",INDEX('Prospect Tracker'!$W$5:$W$554,$K347)))</f>
        <v/>
      </c>
      <c r="B347" s="6" t="str">
        <f aca="false">IF($K347="","",IF(INDEX('Prospect Tracker'!$A$5:$A$554,$K347)="","",INDEX('Prospect Tracker'!$A$5:$A$554,$K347)))</f>
        <v/>
      </c>
      <c r="C347" s="6" t="str">
        <f aca="false">IF($K347="","",IF(INDEX('Prospect Tracker'!$B$5:$B$554,$K347)="","",INDEX('Prospect Tracker'!$B$5:$B$554,$K347)))</f>
        <v/>
      </c>
      <c r="D347" s="6" t="str">
        <f aca="false">IF($K347="","",IF(INDEX('Prospect Tracker'!$M$5:$M$554,$K347)="","",INDEX('Prospect Tracker'!$M$5:$M$554,$K347)))</f>
        <v/>
      </c>
      <c r="E347" s="6" t="str">
        <f aca="false">IF($K347="","",IF(INDEX('Prospect Tracker'!$R$5:$R$554,$K347)="","",INDEX('Prospect Tracker'!$R$5:$R$554,$K347)))</f>
        <v/>
      </c>
      <c r="F347" s="6" t="str">
        <f aca="false">IF($K347="","",IF(INDEX('Prospect Tracker'!$J$5:$J$554,$K347)="","",INDEX('Prospect Tracker'!$J$5:$J$554,$K347)))</f>
        <v/>
      </c>
      <c r="G347" s="6" t="str">
        <f aca="false">IF($K347="","",IF(INDEX('Prospect Tracker'!$H$5:$H$554,$K347)="","",INDEX('Prospect Tracker'!$H$5:$H$554,$K347)))</f>
        <v/>
      </c>
      <c r="H347" s="7" t="str">
        <f aca="false">IF($K347="","",IF(INDEX('Prospect Tracker'!$K$5:$K$554,$K347)="","",INDEX('Prospect Tracker'!$K$5:$K$554,$K347)))</f>
        <v/>
      </c>
      <c r="I347" s="6" t="str">
        <f aca="false">IF($K347="","",IF(INDEX('Prospect Tracker'!$T$5:$T$554,$K347)="","",INDEX('Prospect Tracker'!$T$5:$T$554,$K347)))</f>
        <v/>
      </c>
      <c r="J347" s="6" t="str">
        <f aca="false">IF($K347="","",IF(INDEX('Prospect Tracker'!$L$5:$L$554,$K347)="","",INDEX('Prospect Tracker'!$L$5:$L$554,$K347)))</f>
        <v/>
      </c>
      <c r="K347" s="1" t="n">
        <f aca="false">IFERROR(MATCH(SMALL('Prospect Tracker'!$X$5:$X$554,ROW()-4),'Prospect Tracker'!$X$5:$X$554,0),"")</f>
        <v>343</v>
      </c>
    </row>
    <row r="348" customFormat="false" ht="15" hidden="false" customHeight="true" outlineLevel="0" collapsed="false">
      <c r="A348" s="11" t="str">
        <f aca="false">IF($K348="","",IF(INDEX('Prospect Tracker'!$W$5:$W$554,$K348)="","",INDEX('Prospect Tracker'!$W$5:$W$554,$K348)))</f>
        <v/>
      </c>
      <c r="B348" s="11" t="str">
        <f aca="false">IF($K348="","",IF(INDEX('Prospect Tracker'!$A$5:$A$554,$K348)="","",INDEX('Prospect Tracker'!$A$5:$A$554,$K348)))</f>
        <v/>
      </c>
      <c r="C348" s="11" t="str">
        <f aca="false">IF($K348="","",IF(INDEX('Prospect Tracker'!$B$5:$B$554,$K348)="","",INDEX('Prospect Tracker'!$B$5:$B$554,$K348)))</f>
        <v/>
      </c>
      <c r="D348" s="11" t="str">
        <f aca="false">IF($K348="","",IF(INDEX('Prospect Tracker'!$M$5:$M$554,$K348)="","",INDEX('Prospect Tracker'!$M$5:$M$554,$K348)))</f>
        <v/>
      </c>
      <c r="E348" s="11" t="str">
        <f aca="false">IF($K348="","",IF(INDEX('Prospect Tracker'!$R$5:$R$554,$K348)="","",INDEX('Prospect Tracker'!$R$5:$R$554,$K348)))</f>
        <v/>
      </c>
      <c r="F348" s="11" t="str">
        <f aca="false">IF($K348="","",IF(INDEX('Prospect Tracker'!$J$5:$J$554,$K348)="","",INDEX('Prospect Tracker'!$J$5:$J$554,$K348)))</f>
        <v/>
      </c>
      <c r="G348" s="11" t="str">
        <f aca="false">IF($K348="","",IF(INDEX('Prospect Tracker'!$H$5:$H$554,$K348)="","",INDEX('Prospect Tracker'!$H$5:$H$554,$K348)))</f>
        <v/>
      </c>
      <c r="H348" s="12" t="str">
        <f aca="false">IF($K348="","",IF(INDEX('Prospect Tracker'!$K$5:$K$554,$K348)="","",INDEX('Prospect Tracker'!$K$5:$K$554,$K348)))</f>
        <v/>
      </c>
      <c r="I348" s="11" t="str">
        <f aca="false">IF($K348="","",IF(INDEX('Prospect Tracker'!$T$5:$T$554,$K348)="","",INDEX('Prospect Tracker'!$T$5:$T$554,$K348)))</f>
        <v/>
      </c>
      <c r="J348" s="11" t="str">
        <f aca="false">IF($K348="","",IF(INDEX('Prospect Tracker'!$L$5:$L$554,$K348)="","",INDEX('Prospect Tracker'!$L$5:$L$554,$K348)))</f>
        <v/>
      </c>
      <c r="K348" s="1" t="n">
        <f aca="false">IFERROR(MATCH(SMALL('Prospect Tracker'!$X$5:$X$554,ROW()-4),'Prospect Tracker'!$X$5:$X$554,0),"")</f>
        <v>344</v>
      </c>
    </row>
    <row r="349" customFormat="false" ht="15" hidden="false" customHeight="true" outlineLevel="0" collapsed="false">
      <c r="A349" s="6" t="str">
        <f aca="false">IF($K349="","",IF(INDEX('Prospect Tracker'!$W$5:$W$554,$K349)="","",INDEX('Prospect Tracker'!$W$5:$W$554,$K349)))</f>
        <v/>
      </c>
      <c r="B349" s="6" t="str">
        <f aca="false">IF($K349="","",IF(INDEX('Prospect Tracker'!$A$5:$A$554,$K349)="","",INDEX('Prospect Tracker'!$A$5:$A$554,$K349)))</f>
        <v/>
      </c>
      <c r="C349" s="6" t="str">
        <f aca="false">IF($K349="","",IF(INDEX('Prospect Tracker'!$B$5:$B$554,$K349)="","",INDEX('Prospect Tracker'!$B$5:$B$554,$K349)))</f>
        <v/>
      </c>
      <c r="D349" s="6" t="str">
        <f aca="false">IF($K349="","",IF(INDEX('Prospect Tracker'!$M$5:$M$554,$K349)="","",INDEX('Prospect Tracker'!$M$5:$M$554,$K349)))</f>
        <v/>
      </c>
      <c r="E349" s="6" t="str">
        <f aca="false">IF($K349="","",IF(INDEX('Prospect Tracker'!$R$5:$R$554,$K349)="","",INDEX('Prospect Tracker'!$R$5:$R$554,$K349)))</f>
        <v/>
      </c>
      <c r="F349" s="6" t="str">
        <f aca="false">IF($K349="","",IF(INDEX('Prospect Tracker'!$J$5:$J$554,$K349)="","",INDEX('Prospect Tracker'!$J$5:$J$554,$K349)))</f>
        <v/>
      </c>
      <c r="G349" s="6" t="str">
        <f aca="false">IF($K349="","",IF(INDEX('Prospect Tracker'!$H$5:$H$554,$K349)="","",INDEX('Prospect Tracker'!$H$5:$H$554,$K349)))</f>
        <v/>
      </c>
      <c r="H349" s="7" t="str">
        <f aca="false">IF($K349="","",IF(INDEX('Prospect Tracker'!$K$5:$K$554,$K349)="","",INDEX('Prospect Tracker'!$K$5:$K$554,$K349)))</f>
        <v/>
      </c>
      <c r="I349" s="6" t="str">
        <f aca="false">IF($K349="","",IF(INDEX('Prospect Tracker'!$T$5:$T$554,$K349)="","",INDEX('Prospect Tracker'!$T$5:$T$554,$K349)))</f>
        <v/>
      </c>
      <c r="J349" s="6" t="str">
        <f aca="false">IF($K349="","",IF(INDEX('Prospect Tracker'!$L$5:$L$554,$K349)="","",INDEX('Prospect Tracker'!$L$5:$L$554,$K349)))</f>
        <v/>
      </c>
      <c r="K349" s="1" t="n">
        <f aca="false">IFERROR(MATCH(SMALL('Prospect Tracker'!$X$5:$X$554,ROW()-4),'Prospect Tracker'!$X$5:$X$554,0),"")</f>
        <v>345</v>
      </c>
    </row>
    <row r="350" customFormat="false" ht="15" hidden="false" customHeight="true" outlineLevel="0" collapsed="false">
      <c r="A350" s="11" t="str">
        <f aca="false">IF($K350="","",IF(INDEX('Prospect Tracker'!$W$5:$W$554,$K350)="","",INDEX('Prospect Tracker'!$W$5:$W$554,$K350)))</f>
        <v/>
      </c>
      <c r="B350" s="11" t="str">
        <f aca="false">IF($K350="","",IF(INDEX('Prospect Tracker'!$A$5:$A$554,$K350)="","",INDEX('Prospect Tracker'!$A$5:$A$554,$K350)))</f>
        <v/>
      </c>
      <c r="C350" s="11" t="str">
        <f aca="false">IF($K350="","",IF(INDEX('Prospect Tracker'!$B$5:$B$554,$K350)="","",INDEX('Prospect Tracker'!$B$5:$B$554,$K350)))</f>
        <v/>
      </c>
      <c r="D350" s="11" t="str">
        <f aca="false">IF($K350="","",IF(INDEX('Prospect Tracker'!$M$5:$M$554,$K350)="","",INDEX('Prospect Tracker'!$M$5:$M$554,$K350)))</f>
        <v/>
      </c>
      <c r="E350" s="11" t="str">
        <f aca="false">IF($K350="","",IF(INDEX('Prospect Tracker'!$R$5:$R$554,$K350)="","",INDEX('Prospect Tracker'!$R$5:$R$554,$K350)))</f>
        <v/>
      </c>
      <c r="F350" s="11" t="str">
        <f aca="false">IF($K350="","",IF(INDEX('Prospect Tracker'!$J$5:$J$554,$K350)="","",INDEX('Prospect Tracker'!$J$5:$J$554,$K350)))</f>
        <v/>
      </c>
      <c r="G350" s="11" t="str">
        <f aca="false">IF($K350="","",IF(INDEX('Prospect Tracker'!$H$5:$H$554,$K350)="","",INDEX('Prospect Tracker'!$H$5:$H$554,$K350)))</f>
        <v/>
      </c>
      <c r="H350" s="12" t="str">
        <f aca="false">IF($K350="","",IF(INDEX('Prospect Tracker'!$K$5:$K$554,$K350)="","",INDEX('Prospect Tracker'!$K$5:$K$554,$K350)))</f>
        <v/>
      </c>
      <c r="I350" s="11" t="str">
        <f aca="false">IF($K350="","",IF(INDEX('Prospect Tracker'!$T$5:$T$554,$K350)="","",INDEX('Prospect Tracker'!$T$5:$T$554,$K350)))</f>
        <v/>
      </c>
      <c r="J350" s="11" t="str">
        <f aca="false">IF($K350="","",IF(INDEX('Prospect Tracker'!$L$5:$L$554,$K350)="","",INDEX('Prospect Tracker'!$L$5:$L$554,$K350)))</f>
        <v/>
      </c>
      <c r="K350" s="1" t="n">
        <f aca="false">IFERROR(MATCH(SMALL('Prospect Tracker'!$X$5:$X$554,ROW()-4),'Prospect Tracker'!$X$5:$X$554,0),"")</f>
        <v>346</v>
      </c>
    </row>
    <row r="351" customFormat="false" ht="15" hidden="false" customHeight="true" outlineLevel="0" collapsed="false">
      <c r="A351" s="6" t="str">
        <f aca="false">IF($K351="","",IF(INDEX('Prospect Tracker'!$W$5:$W$554,$K351)="","",INDEX('Prospect Tracker'!$W$5:$W$554,$K351)))</f>
        <v/>
      </c>
      <c r="B351" s="6" t="str">
        <f aca="false">IF($K351="","",IF(INDEX('Prospect Tracker'!$A$5:$A$554,$K351)="","",INDEX('Prospect Tracker'!$A$5:$A$554,$K351)))</f>
        <v/>
      </c>
      <c r="C351" s="6" t="str">
        <f aca="false">IF($K351="","",IF(INDEX('Prospect Tracker'!$B$5:$B$554,$K351)="","",INDEX('Prospect Tracker'!$B$5:$B$554,$K351)))</f>
        <v/>
      </c>
      <c r="D351" s="6" t="str">
        <f aca="false">IF($K351="","",IF(INDEX('Prospect Tracker'!$M$5:$M$554,$K351)="","",INDEX('Prospect Tracker'!$M$5:$M$554,$K351)))</f>
        <v/>
      </c>
      <c r="E351" s="6" t="str">
        <f aca="false">IF($K351="","",IF(INDEX('Prospect Tracker'!$R$5:$R$554,$K351)="","",INDEX('Prospect Tracker'!$R$5:$R$554,$K351)))</f>
        <v/>
      </c>
      <c r="F351" s="6" t="str">
        <f aca="false">IF($K351="","",IF(INDEX('Prospect Tracker'!$J$5:$J$554,$K351)="","",INDEX('Prospect Tracker'!$J$5:$J$554,$K351)))</f>
        <v/>
      </c>
      <c r="G351" s="6" t="str">
        <f aca="false">IF($K351="","",IF(INDEX('Prospect Tracker'!$H$5:$H$554,$K351)="","",INDEX('Prospect Tracker'!$H$5:$H$554,$K351)))</f>
        <v/>
      </c>
      <c r="H351" s="7" t="str">
        <f aca="false">IF($K351="","",IF(INDEX('Prospect Tracker'!$K$5:$K$554,$K351)="","",INDEX('Prospect Tracker'!$K$5:$K$554,$K351)))</f>
        <v/>
      </c>
      <c r="I351" s="6" t="str">
        <f aca="false">IF($K351="","",IF(INDEX('Prospect Tracker'!$T$5:$T$554,$K351)="","",INDEX('Prospect Tracker'!$T$5:$T$554,$K351)))</f>
        <v/>
      </c>
      <c r="J351" s="6" t="str">
        <f aca="false">IF($K351="","",IF(INDEX('Prospect Tracker'!$L$5:$L$554,$K351)="","",INDEX('Prospect Tracker'!$L$5:$L$554,$K351)))</f>
        <v/>
      </c>
      <c r="K351" s="1" t="n">
        <f aca="false">IFERROR(MATCH(SMALL('Prospect Tracker'!$X$5:$X$554,ROW()-4),'Prospect Tracker'!$X$5:$X$554,0),"")</f>
        <v>347</v>
      </c>
    </row>
    <row r="352" customFormat="false" ht="15" hidden="false" customHeight="true" outlineLevel="0" collapsed="false">
      <c r="A352" s="11" t="str">
        <f aca="false">IF($K352="","",IF(INDEX('Prospect Tracker'!$W$5:$W$554,$K352)="","",INDEX('Prospect Tracker'!$W$5:$W$554,$K352)))</f>
        <v/>
      </c>
      <c r="B352" s="11" t="str">
        <f aca="false">IF($K352="","",IF(INDEX('Prospect Tracker'!$A$5:$A$554,$K352)="","",INDEX('Prospect Tracker'!$A$5:$A$554,$K352)))</f>
        <v/>
      </c>
      <c r="C352" s="11" t="str">
        <f aca="false">IF($K352="","",IF(INDEX('Prospect Tracker'!$B$5:$B$554,$K352)="","",INDEX('Prospect Tracker'!$B$5:$B$554,$K352)))</f>
        <v/>
      </c>
      <c r="D352" s="11" t="str">
        <f aca="false">IF($K352="","",IF(INDEX('Prospect Tracker'!$M$5:$M$554,$K352)="","",INDEX('Prospect Tracker'!$M$5:$M$554,$K352)))</f>
        <v/>
      </c>
      <c r="E352" s="11" t="str">
        <f aca="false">IF($K352="","",IF(INDEX('Prospect Tracker'!$R$5:$R$554,$K352)="","",INDEX('Prospect Tracker'!$R$5:$R$554,$K352)))</f>
        <v/>
      </c>
      <c r="F352" s="11" t="str">
        <f aca="false">IF($K352="","",IF(INDEX('Prospect Tracker'!$J$5:$J$554,$K352)="","",INDEX('Prospect Tracker'!$J$5:$J$554,$K352)))</f>
        <v/>
      </c>
      <c r="G352" s="11" t="str">
        <f aca="false">IF($K352="","",IF(INDEX('Prospect Tracker'!$H$5:$H$554,$K352)="","",INDEX('Prospect Tracker'!$H$5:$H$554,$K352)))</f>
        <v/>
      </c>
      <c r="H352" s="12" t="str">
        <f aca="false">IF($K352="","",IF(INDEX('Prospect Tracker'!$K$5:$K$554,$K352)="","",INDEX('Prospect Tracker'!$K$5:$K$554,$K352)))</f>
        <v/>
      </c>
      <c r="I352" s="11" t="str">
        <f aca="false">IF($K352="","",IF(INDEX('Prospect Tracker'!$T$5:$T$554,$K352)="","",INDEX('Prospect Tracker'!$T$5:$T$554,$K352)))</f>
        <v/>
      </c>
      <c r="J352" s="11" t="str">
        <f aca="false">IF($K352="","",IF(INDEX('Prospect Tracker'!$L$5:$L$554,$K352)="","",INDEX('Prospect Tracker'!$L$5:$L$554,$K352)))</f>
        <v/>
      </c>
      <c r="K352" s="1" t="n">
        <f aca="false">IFERROR(MATCH(SMALL('Prospect Tracker'!$X$5:$X$554,ROW()-4),'Prospect Tracker'!$X$5:$X$554,0),"")</f>
        <v>348</v>
      </c>
    </row>
    <row r="353" customFormat="false" ht="15" hidden="false" customHeight="true" outlineLevel="0" collapsed="false">
      <c r="A353" s="6" t="str">
        <f aca="false">IF($K353="","",IF(INDEX('Prospect Tracker'!$W$5:$W$554,$K353)="","",INDEX('Prospect Tracker'!$W$5:$W$554,$K353)))</f>
        <v/>
      </c>
      <c r="B353" s="6" t="str">
        <f aca="false">IF($K353="","",IF(INDEX('Prospect Tracker'!$A$5:$A$554,$K353)="","",INDEX('Prospect Tracker'!$A$5:$A$554,$K353)))</f>
        <v/>
      </c>
      <c r="C353" s="6" t="str">
        <f aca="false">IF($K353="","",IF(INDEX('Prospect Tracker'!$B$5:$B$554,$K353)="","",INDEX('Prospect Tracker'!$B$5:$B$554,$K353)))</f>
        <v/>
      </c>
      <c r="D353" s="6" t="str">
        <f aca="false">IF($K353="","",IF(INDEX('Prospect Tracker'!$M$5:$M$554,$K353)="","",INDEX('Prospect Tracker'!$M$5:$M$554,$K353)))</f>
        <v/>
      </c>
      <c r="E353" s="6" t="str">
        <f aca="false">IF($K353="","",IF(INDEX('Prospect Tracker'!$R$5:$R$554,$K353)="","",INDEX('Prospect Tracker'!$R$5:$R$554,$K353)))</f>
        <v/>
      </c>
      <c r="F353" s="6" t="str">
        <f aca="false">IF($K353="","",IF(INDEX('Prospect Tracker'!$J$5:$J$554,$K353)="","",INDEX('Prospect Tracker'!$J$5:$J$554,$K353)))</f>
        <v/>
      </c>
      <c r="G353" s="6" t="str">
        <f aca="false">IF($K353="","",IF(INDEX('Prospect Tracker'!$H$5:$H$554,$K353)="","",INDEX('Prospect Tracker'!$H$5:$H$554,$K353)))</f>
        <v/>
      </c>
      <c r="H353" s="7" t="str">
        <f aca="false">IF($K353="","",IF(INDEX('Prospect Tracker'!$K$5:$K$554,$K353)="","",INDEX('Prospect Tracker'!$K$5:$K$554,$K353)))</f>
        <v/>
      </c>
      <c r="I353" s="6" t="str">
        <f aca="false">IF($K353="","",IF(INDEX('Prospect Tracker'!$T$5:$T$554,$K353)="","",INDEX('Prospect Tracker'!$T$5:$T$554,$K353)))</f>
        <v/>
      </c>
      <c r="J353" s="6" t="str">
        <f aca="false">IF($K353="","",IF(INDEX('Prospect Tracker'!$L$5:$L$554,$K353)="","",INDEX('Prospect Tracker'!$L$5:$L$554,$K353)))</f>
        <v/>
      </c>
      <c r="K353" s="1" t="n">
        <f aca="false">IFERROR(MATCH(SMALL('Prospect Tracker'!$X$5:$X$554,ROW()-4),'Prospect Tracker'!$X$5:$X$554,0),"")</f>
        <v>349</v>
      </c>
    </row>
    <row r="354" customFormat="false" ht="15" hidden="false" customHeight="true" outlineLevel="0" collapsed="false">
      <c r="A354" s="11" t="str">
        <f aca="false">IF($K354="","",IF(INDEX('Prospect Tracker'!$W$5:$W$554,$K354)="","",INDEX('Prospect Tracker'!$W$5:$W$554,$K354)))</f>
        <v/>
      </c>
      <c r="B354" s="11" t="str">
        <f aca="false">IF($K354="","",IF(INDEX('Prospect Tracker'!$A$5:$A$554,$K354)="","",INDEX('Prospect Tracker'!$A$5:$A$554,$K354)))</f>
        <v/>
      </c>
      <c r="C354" s="11" t="str">
        <f aca="false">IF($K354="","",IF(INDEX('Prospect Tracker'!$B$5:$B$554,$K354)="","",INDEX('Prospect Tracker'!$B$5:$B$554,$K354)))</f>
        <v/>
      </c>
      <c r="D354" s="11" t="str">
        <f aca="false">IF($K354="","",IF(INDEX('Prospect Tracker'!$M$5:$M$554,$K354)="","",INDEX('Prospect Tracker'!$M$5:$M$554,$K354)))</f>
        <v/>
      </c>
      <c r="E354" s="11" t="str">
        <f aca="false">IF($K354="","",IF(INDEX('Prospect Tracker'!$R$5:$R$554,$K354)="","",INDEX('Prospect Tracker'!$R$5:$R$554,$K354)))</f>
        <v/>
      </c>
      <c r="F354" s="11" t="str">
        <f aca="false">IF($K354="","",IF(INDEX('Prospect Tracker'!$J$5:$J$554,$K354)="","",INDEX('Prospect Tracker'!$J$5:$J$554,$K354)))</f>
        <v/>
      </c>
      <c r="G354" s="11" t="str">
        <f aca="false">IF($K354="","",IF(INDEX('Prospect Tracker'!$H$5:$H$554,$K354)="","",INDEX('Prospect Tracker'!$H$5:$H$554,$K354)))</f>
        <v/>
      </c>
      <c r="H354" s="12" t="str">
        <f aca="false">IF($K354="","",IF(INDEX('Prospect Tracker'!$K$5:$K$554,$K354)="","",INDEX('Prospect Tracker'!$K$5:$K$554,$K354)))</f>
        <v/>
      </c>
      <c r="I354" s="11" t="str">
        <f aca="false">IF($K354="","",IF(INDEX('Prospect Tracker'!$T$5:$T$554,$K354)="","",INDEX('Prospect Tracker'!$T$5:$T$554,$K354)))</f>
        <v/>
      </c>
      <c r="J354" s="11" t="str">
        <f aca="false">IF($K354="","",IF(INDEX('Prospect Tracker'!$L$5:$L$554,$K354)="","",INDEX('Prospect Tracker'!$L$5:$L$554,$K354)))</f>
        <v/>
      </c>
      <c r="K354" s="1" t="n">
        <f aca="false">IFERROR(MATCH(SMALL('Prospect Tracker'!$X$5:$X$554,ROW()-4),'Prospect Tracker'!$X$5:$X$554,0),"")</f>
        <v>350</v>
      </c>
    </row>
    <row r="355" customFormat="false" ht="15" hidden="false" customHeight="true" outlineLevel="0" collapsed="false">
      <c r="A355" s="6" t="str">
        <f aca="false">IF($K355="","",IF(INDEX('Prospect Tracker'!$W$5:$W$554,$K355)="","",INDEX('Prospect Tracker'!$W$5:$W$554,$K355)))</f>
        <v/>
      </c>
      <c r="B355" s="6" t="str">
        <f aca="false">IF($K355="","",IF(INDEX('Prospect Tracker'!$A$5:$A$554,$K355)="","",INDEX('Prospect Tracker'!$A$5:$A$554,$K355)))</f>
        <v/>
      </c>
      <c r="C355" s="6" t="str">
        <f aca="false">IF($K355="","",IF(INDEX('Prospect Tracker'!$B$5:$B$554,$K355)="","",INDEX('Prospect Tracker'!$B$5:$B$554,$K355)))</f>
        <v/>
      </c>
      <c r="D355" s="6" t="str">
        <f aca="false">IF($K355="","",IF(INDEX('Prospect Tracker'!$M$5:$M$554,$K355)="","",INDEX('Prospect Tracker'!$M$5:$M$554,$K355)))</f>
        <v/>
      </c>
      <c r="E355" s="6" t="str">
        <f aca="false">IF($K355="","",IF(INDEX('Prospect Tracker'!$R$5:$R$554,$K355)="","",INDEX('Prospect Tracker'!$R$5:$R$554,$K355)))</f>
        <v/>
      </c>
      <c r="F355" s="6" t="str">
        <f aca="false">IF($K355="","",IF(INDEX('Prospect Tracker'!$J$5:$J$554,$K355)="","",INDEX('Prospect Tracker'!$J$5:$J$554,$K355)))</f>
        <v/>
      </c>
      <c r="G355" s="6" t="str">
        <f aca="false">IF($K355="","",IF(INDEX('Prospect Tracker'!$H$5:$H$554,$K355)="","",INDEX('Prospect Tracker'!$H$5:$H$554,$K355)))</f>
        <v/>
      </c>
      <c r="H355" s="7" t="str">
        <f aca="false">IF($K355="","",IF(INDEX('Prospect Tracker'!$K$5:$K$554,$K355)="","",INDEX('Prospect Tracker'!$K$5:$K$554,$K355)))</f>
        <v/>
      </c>
      <c r="I355" s="6" t="str">
        <f aca="false">IF($K355="","",IF(INDEX('Prospect Tracker'!$T$5:$T$554,$K355)="","",INDEX('Prospect Tracker'!$T$5:$T$554,$K355)))</f>
        <v/>
      </c>
      <c r="J355" s="6" t="str">
        <f aca="false">IF($K355="","",IF(INDEX('Prospect Tracker'!$L$5:$L$554,$K355)="","",INDEX('Prospect Tracker'!$L$5:$L$554,$K355)))</f>
        <v/>
      </c>
      <c r="K355" s="1" t="n">
        <f aca="false">IFERROR(MATCH(SMALL('Prospect Tracker'!$X$5:$X$554,ROW()-4),'Prospect Tracker'!$X$5:$X$554,0),"")</f>
        <v>351</v>
      </c>
    </row>
    <row r="356" customFormat="false" ht="15" hidden="false" customHeight="true" outlineLevel="0" collapsed="false">
      <c r="A356" s="11" t="str">
        <f aca="false">IF($K356="","",IF(INDEX('Prospect Tracker'!$W$5:$W$554,$K356)="","",INDEX('Prospect Tracker'!$W$5:$W$554,$K356)))</f>
        <v/>
      </c>
      <c r="B356" s="11" t="str">
        <f aca="false">IF($K356="","",IF(INDEX('Prospect Tracker'!$A$5:$A$554,$K356)="","",INDEX('Prospect Tracker'!$A$5:$A$554,$K356)))</f>
        <v/>
      </c>
      <c r="C356" s="11" t="str">
        <f aca="false">IF($K356="","",IF(INDEX('Prospect Tracker'!$B$5:$B$554,$K356)="","",INDEX('Prospect Tracker'!$B$5:$B$554,$K356)))</f>
        <v/>
      </c>
      <c r="D356" s="11" t="str">
        <f aca="false">IF($K356="","",IF(INDEX('Prospect Tracker'!$M$5:$M$554,$K356)="","",INDEX('Prospect Tracker'!$M$5:$M$554,$K356)))</f>
        <v/>
      </c>
      <c r="E356" s="11" t="str">
        <f aca="false">IF($K356="","",IF(INDEX('Prospect Tracker'!$R$5:$R$554,$K356)="","",INDEX('Prospect Tracker'!$R$5:$R$554,$K356)))</f>
        <v/>
      </c>
      <c r="F356" s="11" t="str">
        <f aca="false">IF($K356="","",IF(INDEX('Prospect Tracker'!$J$5:$J$554,$K356)="","",INDEX('Prospect Tracker'!$J$5:$J$554,$K356)))</f>
        <v/>
      </c>
      <c r="G356" s="11" t="str">
        <f aca="false">IF($K356="","",IF(INDEX('Prospect Tracker'!$H$5:$H$554,$K356)="","",INDEX('Prospect Tracker'!$H$5:$H$554,$K356)))</f>
        <v/>
      </c>
      <c r="H356" s="12" t="str">
        <f aca="false">IF($K356="","",IF(INDEX('Prospect Tracker'!$K$5:$K$554,$K356)="","",INDEX('Prospect Tracker'!$K$5:$K$554,$K356)))</f>
        <v/>
      </c>
      <c r="I356" s="11" t="str">
        <f aca="false">IF($K356="","",IF(INDEX('Prospect Tracker'!$T$5:$T$554,$K356)="","",INDEX('Prospect Tracker'!$T$5:$T$554,$K356)))</f>
        <v/>
      </c>
      <c r="J356" s="11" t="str">
        <f aca="false">IF($K356="","",IF(INDEX('Prospect Tracker'!$L$5:$L$554,$K356)="","",INDEX('Prospect Tracker'!$L$5:$L$554,$K356)))</f>
        <v/>
      </c>
      <c r="K356" s="1" t="n">
        <f aca="false">IFERROR(MATCH(SMALL('Prospect Tracker'!$X$5:$X$554,ROW()-4),'Prospect Tracker'!$X$5:$X$554,0),"")</f>
        <v>352</v>
      </c>
    </row>
    <row r="357" customFormat="false" ht="15" hidden="false" customHeight="true" outlineLevel="0" collapsed="false">
      <c r="A357" s="6" t="str">
        <f aca="false">IF($K357="","",IF(INDEX('Prospect Tracker'!$W$5:$W$554,$K357)="","",INDEX('Prospect Tracker'!$W$5:$W$554,$K357)))</f>
        <v/>
      </c>
      <c r="B357" s="6" t="str">
        <f aca="false">IF($K357="","",IF(INDEX('Prospect Tracker'!$A$5:$A$554,$K357)="","",INDEX('Prospect Tracker'!$A$5:$A$554,$K357)))</f>
        <v/>
      </c>
      <c r="C357" s="6" t="str">
        <f aca="false">IF($K357="","",IF(INDEX('Prospect Tracker'!$B$5:$B$554,$K357)="","",INDEX('Prospect Tracker'!$B$5:$B$554,$K357)))</f>
        <v/>
      </c>
      <c r="D357" s="6" t="str">
        <f aca="false">IF($K357="","",IF(INDEX('Prospect Tracker'!$M$5:$M$554,$K357)="","",INDEX('Prospect Tracker'!$M$5:$M$554,$K357)))</f>
        <v/>
      </c>
      <c r="E357" s="6" t="str">
        <f aca="false">IF($K357="","",IF(INDEX('Prospect Tracker'!$R$5:$R$554,$K357)="","",INDEX('Prospect Tracker'!$R$5:$R$554,$K357)))</f>
        <v/>
      </c>
      <c r="F357" s="6" t="str">
        <f aca="false">IF($K357="","",IF(INDEX('Prospect Tracker'!$J$5:$J$554,$K357)="","",INDEX('Prospect Tracker'!$J$5:$J$554,$K357)))</f>
        <v/>
      </c>
      <c r="G357" s="6" t="str">
        <f aca="false">IF($K357="","",IF(INDEX('Prospect Tracker'!$H$5:$H$554,$K357)="","",INDEX('Prospect Tracker'!$H$5:$H$554,$K357)))</f>
        <v/>
      </c>
      <c r="H357" s="7" t="str">
        <f aca="false">IF($K357="","",IF(INDEX('Prospect Tracker'!$K$5:$K$554,$K357)="","",INDEX('Prospect Tracker'!$K$5:$K$554,$K357)))</f>
        <v/>
      </c>
      <c r="I357" s="6" t="str">
        <f aca="false">IF($K357="","",IF(INDEX('Prospect Tracker'!$T$5:$T$554,$K357)="","",INDEX('Prospect Tracker'!$T$5:$T$554,$K357)))</f>
        <v/>
      </c>
      <c r="J357" s="6" t="str">
        <f aca="false">IF($K357="","",IF(INDEX('Prospect Tracker'!$L$5:$L$554,$K357)="","",INDEX('Prospect Tracker'!$L$5:$L$554,$K357)))</f>
        <v/>
      </c>
      <c r="K357" s="1" t="n">
        <f aca="false">IFERROR(MATCH(SMALL('Prospect Tracker'!$X$5:$X$554,ROW()-4),'Prospect Tracker'!$X$5:$X$554,0),"")</f>
        <v>353</v>
      </c>
    </row>
    <row r="358" customFormat="false" ht="15" hidden="false" customHeight="true" outlineLevel="0" collapsed="false">
      <c r="A358" s="11" t="str">
        <f aca="false">IF($K358="","",IF(INDEX('Prospect Tracker'!$W$5:$W$554,$K358)="","",INDEX('Prospect Tracker'!$W$5:$W$554,$K358)))</f>
        <v/>
      </c>
      <c r="B358" s="11" t="str">
        <f aca="false">IF($K358="","",IF(INDEX('Prospect Tracker'!$A$5:$A$554,$K358)="","",INDEX('Prospect Tracker'!$A$5:$A$554,$K358)))</f>
        <v/>
      </c>
      <c r="C358" s="11" t="str">
        <f aca="false">IF($K358="","",IF(INDEX('Prospect Tracker'!$B$5:$B$554,$K358)="","",INDEX('Prospect Tracker'!$B$5:$B$554,$K358)))</f>
        <v/>
      </c>
      <c r="D358" s="11" t="str">
        <f aca="false">IF($K358="","",IF(INDEX('Prospect Tracker'!$M$5:$M$554,$K358)="","",INDEX('Prospect Tracker'!$M$5:$M$554,$K358)))</f>
        <v/>
      </c>
      <c r="E358" s="11" t="str">
        <f aca="false">IF($K358="","",IF(INDEX('Prospect Tracker'!$R$5:$R$554,$K358)="","",INDEX('Prospect Tracker'!$R$5:$R$554,$K358)))</f>
        <v/>
      </c>
      <c r="F358" s="11" t="str">
        <f aca="false">IF($K358="","",IF(INDEX('Prospect Tracker'!$J$5:$J$554,$K358)="","",INDEX('Prospect Tracker'!$J$5:$J$554,$K358)))</f>
        <v/>
      </c>
      <c r="G358" s="11" t="str">
        <f aca="false">IF($K358="","",IF(INDEX('Prospect Tracker'!$H$5:$H$554,$K358)="","",INDEX('Prospect Tracker'!$H$5:$H$554,$K358)))</f>
        <v/>
      </c>
      <c r="H358" s="12" t="str">
        <f aca="false">IF($K358="","",IF(INDEX('Prospect Tracker'!$K$5:$K$554,$K358)="","",INDEX('Prospect Tracker'!$K$5:$K$554,$K358)))</f>
        <v/>
      </c>
      <c r="I358" s="11" t="str">
        <f aca="false">IF($K358="","",IF(INDEX('Prospect Tracker'!$T$5:$T$554,$K358)="","",INDEX('Prospect Tracker'!$T$5:$T$554,$K358)))</f>
        <v/>
      </c>
      <c r="J358" s="11" t="str">
        <f aca="false">IF($K358="","",IF(INDEX('Prospect Tracker'!$L$5:$L$554,$K358)="","",INDEX('Prospect Tracker'!$L$5:$L$554,$K358)))</f>
        <v/>
      </c>
      <c r="K358" s="1" t="n">
        <f aca="false">IFERROR(MATCH(SMALL('Prospect Tracker'!$X$5:$X$554,ROW()-4),'Prospect Tracker'!$X$5:$X$554,0),"")</f>
        <v>354</v>
      </c>
    </row>
    <row r="359" customFormat="false" ht="15" hidden="false" customHeight="true" outlineLevel="0" collapsed="false">
      <c r="A359" s="6" t="str">
        <f aca="false">IF($K359="","",IF(INDEX('Prospect Tracker'!$W$5:$W$554,$K359)="","",INDEX('Prospect Tracker'!$W$5:$W$554,$K359)))</f>
        <v/>
      </c>
      <c r="B359" s="6" t="str">
        <f aca="false">IF($K359="","",IF(INDEX('Prospect Tracker'!$A$5:$A$554,$K359)="","",INDEX('Prospect Tracker'!$A$5:$A$554,$K359)))</f>
        <v/>
      </c>
      <c r="C359" s="6" t="str">
        <f aca="false">IF($K359="","",IF(INDEX('Prospect Tracker'!$B$5:$B$554,$K359)="","",INDEX('Prospect Tracker'!$B$5:$B$554,$K359)))</f>
        <v/>
      </c>
      <c r="D359" s="6" t="str">
        <f aca="false">IF($K359="","",IF(INDEX('Prospect Tracker'!$M$5:$M$554,$K359)="","",INDEX('Prospect Tracker'!$M$5:$M$554,$K359)))</f>
        <v/>
      </c>
      <c r="E359" s="6" t="str">
        <f aca="false">IF($K359="","",IF(INDEX('Prospect Tracker'!$R$5:$R$554,$K359)="","",INDEX('Prospect Tracker'!$R$5:$R$554,$K359)))</f>
        <v/>
      </c>
      <c r="F359" s="6" t="str">
        <f aca="false">IF($K359="","",IF(INDEX('Prospect Tracker'!$J$5:$J$554,$K359)="","",INDEX('Prospect Tracker'!$J$5:$J$554,$K359)))</f>
        <v/>
      </c>
      <c r="G359" s="6" t="str">
        <f aca="false">IF($K359="","",IF(INDEX('Prospect Tracker'!$H$5:$H$554,$K359)="","",INDEX('Prospect Tracker'!$H$5:$H$554,$K359)))</f>
        <v/>
      </c>
      <c r="H359" s="7" t="str">
        <f aca="false">IF($K359="","",IF(INDEX('Prospect Tracker'!$K$5:$K$554,$K359)="","",INDEX('Prospect Tracker'!$K$5:$K$554,$K359)))</f>
        <v/>
      </c>
      <c r="I359" s="6" t="str">
        <f aca="false">IF($K359="","",IF(INDEX('Prospect Tracker'!$T$5:$T$554,$K359)="","",INDEX('Prospect Tracker'!$T$5:$T$554,$K359)))</f>
        <v/>
      </c>
      <c r="J359" s="6" t="str">
        <f aca="false">IF($K359="","",IF(INDEX('Prospect Tracker'!$L$5:$L$554,$K359)="","",INDEX('Prospect Tracker'!$L$5:$L$554,$K359)))</f>
        <v/>
      </c>
      <c r="K359" s="1" t="n">
        <f aca="false">IFERROR(MATCH(SMALL('Prospect Tracker'!$X$5:$X$554,ROW()-4),'Prospect Tracker'!$X$5:$X$554,0),"")</f>
        <v>355</v>
      </c>
    </row>
    <row r="360" customFormat="false" ht="15" hidden="false" customHeight="true" outlineLevel="0" collapsed="false">
      <c r="A360" s="11" t="str">
        <f aca="false">IF($K360="","",IF(INDEX('Prospect Tracker'!$W$5:$W$554,$K360)="","",INDEX('Prospect Tracker'!$W$5:$W$554,$K360)))</f>
        <v/>
      </c>
      <c r="B360" s="11" t="str">
        <f aca="false">IF($K360="","",IF(INDEX('Prospect Tracker'!$A$5:$A$554,$K360)="","",INDEX('Prospect Tracker'!$A$5:$A$554,$K360)))</f>
        <v/>
      </c>
      <c r="C360" s="11" t="str">
        <f aca="false">IF($K360="","",IF(INDEX('Prospect Tracker'!$B$5:$B$554,$K360)="","",INDEX('Prospect Tracker'!$B$5:$B$554,$K360)))</f>
        <v/>
      </c>
      <c r="D360" s="11" t="str">
        <f aca="false">IF($K360="","",IF(INDEX('Prospect Tracker'!$M$5:$M$554,$K360)="","",INDEX('Prospect Tracker'!$M$5:$M$554,$K360)))</f>
        <v/>
      </c>
      <c r="E360" s="11" t="str">
        <f aca="false">IF($K360="","",IF(INDEX('Prospect Tracker'!$R$5:$R$554,$K360)="","",INDEX('Prospect Tracker'!$R$5:$R$554,$K360)))</f>
        <v/>
      </c>
      <c r="F360" s="11" t="str">
        <f aca="false">IF($K360="","",IF(INDEX('Prospect Tracker'!$J$5:$J$554,$K360)="","",INDEX('Prospect Tracker'!$J$5:$J$554,$K360)))</f>
        <v/>
      </c>
      <c r="G360" s="11" t="str">
        <f aca="false">IF($K360="","",IF(INDEX('Prospect Tracker'!$H$5:$H$554,$K360)="","",INDEX('Prospect Tracker'!$H$5:$H$554,$K360)))</f>
        <v/>
      </c>
      <c r="H360" s="12" t="str">
        <f aca="false">IF($K360="","",IF(INDEX('Prospect Tracker'!$K$5:$K$554,$K360)="","",INDEX('Prospect Tracker'!$K$5:$K$554,$K360)))</f>
        <v/>
      </c>
      <c r="I360" s="11" t="str">
        <f aca="false">IF($K360="","",IF(INDEX('Prospect Tracker'!$T$5:$T$554,$K360)="","",INDEX('Prospect Tracker'!$T$5:$T$554,$K360)))</f>
        <v/>
      </c>
      <c r="J360" s="11" t="str">
        <f aca="false">IF($K360="","",IF(INDEX('Prospect Tracker'!$L$5:$L$554,$K360)="","",INDEX('Prospect Tracker'!$L$5:$L$554,$K360)))</f>
        <v/>
      </c>
      <c r="K360" s="1" t="n">
        <f aca="false">IFERROR(MATCH(SMALL('Prospect Tracker'!$X$5:$X$554,ROW()-4),'Prospect Tracker'!$X$5:$X$554,0),"")</f>
        <v>356</v>
      </c>
    </row>
    <row r="361" customFormat="false" ht="15" hidden="false" customHeight="true" outlineLevel="0" collapsed="false">
      <c r="A361" s="6" t="str">
        <f aca="false">IF($K361="","",IF(INDEX('Prospect Tracker'!$W$5:$W$554,$K361)="","",INDEX('Prospect Tracker'!$W$5:$W$554,$K361)))</f>
        <v/>
      </c>
      <c r="B361" s="6" t="str">
        <f aca="false">IF($K361="","",IF(INDEX('Prospect Tracker'!$A$5:$A$554,$K361)="","",INDEX('Prospect Tracker'!$A$5:$A$554,$K361)))</f>
        <v/>
      </c>
      <c r="C361" s="6" t="str">
        <f aca="false">IF($K361="","",IF(INDEX('Prospect Tracker'!$B$5:$B$554,$K361)="","",INDEX('Prospect Tracker'!$B$5:$B$554,$K361)))</f>
        <v/>
      </c>
      <c r="D361" s="6" t="str">
        <f aca="false">IF($K361="","",IF(INDEX('Prospect Tracker'!$M$5:$M$554,$K361)="","",INDEX('Prospect Tracker'!$M$5:$M$554,$K361)))</f>
        <v/>
      </c>
      <c r="E361" s="6" t="str">
        <f aca="false">IF($K361="","",IF(INDEX('Prospect Tracker'!$R$5:$R$554,$K361)="","",INDEX('Prospect Tracker'!$R$5:$R$554,$K361)))</f>
        <v/>
      </c>
      <c r="F361" s="6" t="str">
        <f aca="false">IF($K361="","",IF(INDEX('Prospect Tracker'!$J$5:$J$554,$K361)="","",INDEX('Prospect Tracker'!$J$5:$J$554,$K361)))</f>
        <v/>
      </c>
      <c r="G361" s="6" t="str">
        <f aca="false">IF($K361="","",IF(INDEX('Prospect Tracker'!$H$5:$H$554,$K361)="","",INDEX('Prospect Tracker'!$H$5:$H$554,$K361)))</f>
        <v/>
      </c>
      <c r="H361" s="7" t="str">
        <f aca="false">IF($K361="","",IF(INDEX('Prospect Tracker'!$K$5:$K$554,$K361)="","",INDEX('Prospect Tracker'!$K$5:$K$554,$K361)))</f>
        <v/>
      </c>
      <c r="I361" s="6" t="str">
        <f aca="false">IF($K361="","",IF(INDEX('Prospect Tracker'!$T$5:$T$554,$K361)="","",INDEX('Prospect Tracker'!$T$5:$T$554,$K361)))</f>
        <v/>
      </c>
      <c r="J361" s="6" t="str">
        <f aca="false">IF($K361="","",IF(INDEX('Prospect Tracker'!$L$5:$L$554,$K361)="","",INDEX('Prospect Tracker'!$L$5:$L$554,$K361)))</f>
        <v/>
      </c>
      <c r="K361" s="1" t="n">
        <f aca="false">IFERROR(MATCH(SMALL('Prospect Tracker'!$X$5:$X$554,ROW()-4),'Prospect Tracker'!$X$5:$X$554,0),"")</f>
        <v>357</v>
      </c>
    </row>
    <row r="362" customFormat="false" ht="15" hidden="false" customHeight="true" outlineLevel="0" collapsed="false">
      <c r="A362" s="11" t="str">
        <f aca="false">IF($K362="","",IF(INDEX('Prospect Tracker'!$W$5:$W$554,$K362)="","",INDEX('Prospect Tracker'!$W$5:$W$554,$K362)))</f>
        <v/>
      </c>
      <c r="B362" s="11" t="str">
        <f aca="false">IF($K362="","",IF(INDEX('Prospect Tracker'!$A$5:$A$554,$K362)="","",INDEX('Prospect Tracker'!$A$5:$A$554,$K362)))</f>
        <v/>
      </c>
      <c r="C362" s="11" t="str">
        <f aca="false">IF($K362="","",IF(INDEX('Prospect Tracker'!$B$5:$B$554,$K362)="","",INDEX('Prospect Tracker'!$B$5:$B$554,$K362)))</f>
        <v/>
      </c>
      <c r="D362" s="11" t="str">
        <f aca="false">IF($K362="","",IF(INDEX('Prospect Tracker'!$M$5:$M$554,$K362)="","",INDEX('Prospect Tracker'!$M$5:$M$554,$K362)))</f>
        <v/>
      </c>
      <c r="E362" s="11" t="str">
        <f aca="false">IF($K362="","",IF(INDEX('Prospect Tracker'!$R$5:$R$554,$K362)="","",INDEX('Prospect Tracker'!$R$5:$R$554,$K362)))</f>
        <v/>
      </c>
      <c r="F362" s="11" t="str">
        <f aca="false">IF($K362="","",IF(INDEX('Prospect Tracker'!$J$5:$J$554,$K362)="","",INDEX('Prospect Tracker'!$J$5:$J$554,$K362)))</f>
        <v/>
      </c>
      <c r="G362" s="11" t="str">
        <f aca="false">IF($K362="","",IF(INDEX('Prospect Tracker'!$H$5:$H$554,$K362)="","",INDEX('Prospect Tracker'!$H$5:$H$554,$K362)))</f>
        <v/>
      </c>
      <c r="H362" s="12" t="str">
        <f aca="false">IF($K362="","",IF(INDEX('Prospect Tracker'!$K$5:$K$554,$K362)="","",INDEX('Prospect Tracker'!$K$5:$K$554,$K362)))</f>
        <v/>
      </c>
      <c r="I362" s="11" t="str">
        <f aca="false">IF($K362="","",IF(INDEX('Prospect Tracker'!$T$5:$T$554,$K362)="","",INDEX('Prospect Tracker'!$T$5:$T$554,$K362)))</f>
        <v/>
      </c>
      <c r="J362" s="11" t="str">
        <f aca="false">IF($K362="","",IF(INDEX('Prospect Tracker'!$L$5:$L$554,$K362)="","",INDEX('Prospect Tracker'!$L$5:$L$554,$K362)))</f>
        <v/>
      </c>
      <c r="K362" s="1" t="n">
        <f aca="false">IFERROR(MATCH(SMALL('Prospect Tracker'!$X$5:$X$554,ROW()-4),'Prospect Tracker'!$X$5:$X$554,0),"")</f>
        <v>358</v>
      </c>
    </row>
    <row r="363" customFormat="false" ht="15" hidden="false" customHeight="true" outlineLevel="0" collapsed="false">
      <c r="A363" s="6" t="str">
        <f aca="false">IF($K363="","",IF(INDEX('Prospect Tracker'!$W$5:$W$554,$K363)="","",INDEX('Prospect Tracker'!$W$5:$W$554,$K363)))</f>
        <v/>
      </c>
      <c r="B363" s="6" t="str">
        <f aca="false">IF($K363="","",IF(INDEX('Prospect Tracker'!$A$5:$A$554,$K363)="","",INDEX('Prospect Tracker'!$A$5:$A$554,$K363)))</f>
        <v/>
      </c>
      <c r="C363" s="6" t="str">
        <f aca="false">IF($K363="","",IF(INDEX('Prospect Tracker'!$B$5:$B$554,$K363)="","",INDEX('Prospect Tracker'!$B$5:$B$554,$K363)))</f>
        <v/>
      </c>
      <c r="D363" s="6" t="str">
        <f aca="false">IF($K363="","",IF(INDEX('Prospect Tracker'!$M$5:$M$554,$K363)="","",INDEX('Prospect Tracker'!$M$5:$M$554,$K363)))</f>
        <v/>
      </c>
      <c r="E363" s="6" t="str">
        <f aca="false">IF($K363="","",IF(INDEX('Prospect Tracker'!$R$5:$R$554,$K363)="","",INDEX('Prospect Tracker'!$R$5:$R$554,$K363)))</f>
        <v/>
      </c>
      <c r="F363" s="6" t="str">
        <f aca="false">IF($K363="","",IF(INDEX('Prospect Tracker'!$J$5:$J$554,$K363)="","",INDEX('Prospect Tracker'!$J$5:$J$554,$K363)))</f>
        <v/>
      </c>
      <c r="G363" s="6" t="str">
        <f aca="false">IF($K363="","",IF(INDEX('Prospect Tracker'!$H$5:$H$554,$K363)="","",INDEX('Prospect Tracker'!$H$5:$H$554,$K363)))</f>
        <v/>
      </c>
      <c r="H363" s="7" t="str">
        <f aca="false">IF($K363="","",IF(INDEX('Prospect Tracker'!$K$5:$K$554,$K363)="","",INDEX('Prospect Tracker'!$K$5:$K$554,$K363)))</f>
        <v/>
      </c>
      <c r="I363" s="6" t="str">
        <f aca="false">IF($K363="","",IF(INDEX('Prospect Tracker'!$T$5:$T$554,$K363)="","",INDEX('Prospect Tracker'!$T$5:$T$554,$K363)))</f>
        <v/>
      </c>
      <c r="J363" s="6" t="str">
        <f aca="false">IF($K363="","",IF(INDEX('Prospect Tracker'!$L$5:$L$554,$K363)="","",INDEX('Prospect Tracker'!$L$5:$L$554,$K363)))</f>
        <v/>
      </c>
      <c r="K363" s="1" t="n">
        <f aca="false">IFERROR(MATCH(SMALL('Prospect Tracker'!$X$5:$X$554,ROW()-4),'Prospect Tracker'!$X$5:$X$554,0),"")</f>
        <v>359</v>
      </c>
    </row>
    <row r="364" customFormat="false" ht="15" hidden="false" customHeight="true" outlineLevel="0" collapsed="false">
      <c r="A364" s="11" t="str">
        <f aca="false">IF($K364="","",IF(INDEX('Prospect Tracker'!$W$5:$W$554,$K364)="","",INDEX('Prospect Tracker'!$W$5:$W$554,$K364)))</f>
        <v/>
      </c>
      <c r="B364" s="11" t="str">
        <f aca="false">IF($K364="","",IF(INDEX('Prospect Tracker'!$A$5:$A$554,$K364)="","",INDEX('Prospect Tracker'!$A$5:$A$554,$K364)))</f>
        <v/>
      </c>
      <c r="C364" s="11" t="str">
        <f aca="false">IF($K364="","",IF(INDEX('Prospect Tracker'!$B$5:$B$554,$K364)="","",INDEX('Prospect Tracker'!$B$5:$B$554,$K364)))</f>
        <v/>
      </c>
      <c r="D364" s="11" t="str">
        <f aca="false">IF($K364="","",IF(INDEX('Prospect Tracker'!$M$5:$M$554,$K364)="","",INDEX('Prospect Tracker'!$M$5:$M$554,$K364)))</f>
        <v/>
      </c>
      <c r="E364" s="11" t="str">
        <f aca="false">IF($K364="","",IF(INDEX('Prospect Tracker'!$R$5:$R$554,$K364)="","",INDEX('Prospect Tracker'!$R$5:$R$554,$K364)))</f>
        <v/>
      </c>
      <c r="F364" s="11" t="str">
        <f aca="false">IF($K364="","",IF(INDEX('Prospect Tracker'!$J$5:$J$554,$K364)="","",INDEX('Prospect Tracker'!$J$5:$J$554,$K364)))</f>
        <v/>
      </c>
      <c r="G364" s="11" t="str">
        <f aca="false">IF($K364="","",IF(INDEX('Prospect Tracker'!$H$5:$H$554,$K364)="","",INDEX('Prospect Tracker'!$H$5:$H$554,$K364)))</f>
        <v/>
      </c>
      <c r="H364" s="12" t="str">
        <f aca="false">IF($K364="","",IF(INDEX('Prospect Tracker'!$K$5:$K$554,$K364)="","",INDEX('Prospect Tracker'!$K$5:$K$554,$K364)))</f>
        <v/>
      </c>
      <c r="I364" s="11" t="str">
        <f aca="false">IF($K364="","",IF(INDEX('Prospect Tracker'!$T$5:$T$554,$K364)="","",INDEX('Prospect Tracker'!$T$5:$T$554,$K364)))</f>
        <v/>
      </c>
      <c r="J364" s="11" t="str">
        <f aca="false">IF($K364="","",IF(INDEX('Prospect Tracker'!$L$5:$L$554,$K364)="","",INDEX('Prospect Tracker'!$L$5:$L$554,$K364)))</f>
        <v/>
      </c>
      <c r="K364" s="1" t="n">
        <f aca="false">IFERROR(MATCH(SMALL('Prospect Tracker'!$X$5:$X$554,ROW()-4),'Prospect Tracker'!$X$5:$X$554,0),"")</f>
        <v>360</v>
      </c>
    </row>
    <row r="365" customFormat="false" ht="15" hidden="false" customHeight="true" outlineLevel="0" collapsed="false">
      <c r="A365" s="6" t="str">
        <f aca="false">IF($K365="","",IF(INDEX('Prospect Tracker'!$W$5:$W$554,$K365)="","",INDEX('Prospect Tracker'!$W$5:$W$554,$K365)))</f>
        <v/>
      </c>
      <c r="B365" s="6" t="str">
        <f aca="false">IF($K365="","",IF(INDEX('Prospect Tracker'!$A$5:$A$554,$K365)="","",INDEX('Prospect Tracker'!$A$5:$A$554,$K365)))</f>
        <v/>
      </c>
      <c r="C365" s="6" t="str">
        <f aca="false">IF($K365="","",IF(INDEX('Prospect Tracker'!$B$5:$B$554,$K365)="","",INDEX('Prospect Tracker'!$B$5:$B$554,$K365)))</f>
        <v/>
      </c>
      <c r="D365" s="6" t="str">
        <f aca="false">IF($K365="","",IF(INDEX('Prospect Tracker'!$M$5:$M$554,$K365)="","",INDEX('Prospect Tracker'!$M$5:$M$554,$K365)))</f>
        <v/>
      </c>
      <c r="E365" s="6" t="str">
        <f aca="false">IF($K365="","",IF(INDEX('Prospect Tracker'!$R$5:$R$554,$K365)="","",INDEX('Prospect Tracker'!$R$5:$R$554,$K365)))</f>
        <v/>
      </c>
      <c r="F365" s="6" t="str">
        <f aca="false">IF($K365="","",IF(INDEX('Prospect Tracker'!$J$5:$J$554,$K365)="","",INDEX('Prospect Tracker'!$J$5:$J$554,$K365)))</f>
        <v/>
      </c>
      <c r="G365" s="6" t="str">
        <f aca="false">IF($K365="","",IF(INDEX('Prospect Tracker'!$H$5:$H$554,$K365)="","",INDEX('Prospect Tracker'!$H$5:$H$554,$K365)))</f>
        <v/>
      </c>
      <c r="H365" s="7" t="str">
        <f aca="false">IF($K365="","",IF(INDEX('Prospect Tracker'!$K$5:$K$554,$K365)="","",INDEX('Prospect Tracker'!$K$5:$K$554,$K365)))</f>
        <v/>
      </c>
      <c r="I365" s="6" t="str">
        <f aca="false">IF($K365="","",IF(INDEX('Prospect Tracker'!$T$5:$T$554,$K365)="","",INDEX('Prospect Tracker'!$T$5:$T$554,$K365)))</f>
        <v/>
      </c>
      <c r="J365" s="6" t="str">
        <f aca="false">IF($K365="","",IF(INDEX('Prospect Tracker'!$L$5:$L$554,$K365)="","",INDEX('Prospect Tracker'!$L$5:$L$554,$K365)))</f>
        <v/>
      </c>
      <c r="K365" s="1" t="n">
        <f aca="false">IFERROR(MATCH(SMALL('Prospect Tracker'!$X$5:$X$554,ROW()-4),'Prospect Tracker'!$X$5:$X$554,0),"")</f>
        <v>361</v>
      </c>
    </row>
    <row r="366" customFormat="false" ht="15" hidden="false" customHeight="true" outlineLevel="0" collapsed="false">
      <c r="A366" s="11" t="str">
        <f aca="false">IF($K366="","",IF(INDEX('Prospect Tracker'!$W$5:$W$554,$K366)="","",INDEX('Prospect Tracker'!$W$5:$W$554,$K366)))</f>
        <v/>
      </c>
      <c r="B366" s="11" t="str">
        <f aca="false">IF($K366="","",IF(INDEX('Prospect Tracker'!$A$5:$A$554,$K366)="","",INDEX('Prospect Tracker'!$A$5:$A$554,$K366)))</f>
        <v/>
      </c>
      <c r="C366" s="11" t="str">
        <f aca="false">IF($K366="","",IF(INDEX('Prospect Tracker'!$B$5:$B$554,$K366)="","",INDEX('Prospect Tracker'!$B$5:$B$554,$K366)))</f>
        <v/>
      </c>
      <c r="D366" s="11" t="str">
        <f aca="false">IF($K366="","",IF(INDEX('Prospect Tracker'!$M$5:$M$554,$K366)="","",INDEX('Prospect Tracker'!$M$5:$M$554,$K366)))</f>
        <v/>
      </c>
      <c r="E366" s="11" t="str">
        <f aca="false">IF($K366="","",IF(INDEX('Prospect Tracker'!$R$5:$R$554,$K366)="","",INDEX('Prospect Tracker'!$R$5:$R$554,$K366)))</f>
        <v/>
      </c>
      <c r="F366" s="11" t="str">
        <f aca="false">IF($K366="","",IF(INDEX('Prospect Tracker'!$J$5:$J$554,$K366)="","",INDEX('Prospect Tracker'!$J$5:$J$554,$K366)))</f>
        <v/>
      </c>
      <c r="G366" s="11" t="str">
        <f aca="false">IF($K366="","",IF(INDEX('Prospect Tracker'!$H$5:$H$554,$K366)="","",INDEX('Prospect Tracker'!$H$5:$H$554,$K366)))</f>
        <v/>
      </c>
      <c r="H366" s="12" t="str">
        <f aca="false">IF($K366="","",IF(INDEX('Prospect Tracker'!$K$5:$K$554,$K366)="","",INDEX('Prospect Tracker'!$K$5:$K$554,$K366)))</f>
        <v/>
      </c>
      <c r="I366" s="11" t="str">
        <f aca="false">IF($K366="","",IF(INDEX('Prospect Tracker'!$T$5:$T$554,$K366)="","",INDEX('Prospect Tracker'!$T$5:$T$554,$K366)))</f>
        <v/>
      </c>
      <c r="J366" s="11" t="str">
        <f aca="false">IF($K366="","",IF(INDEX('Prospect Tracker'!$L$5:$L$554,$K366)="","",INDEX('Prospect Tracker'!$L$5:$L$554,$K366)))</f>
        <v/>
      </c>
      <c r="K366" s="1" t="n">
        <f aca="false">IFERROR(MATCH(SMALL('Prospect Tracker'!$X$5:$X$554,ROW()-4),'Prospect Tracker'!$X$5:$X$554,0),"")</f>
        <v>362</v>
      </c>
    </row>
    <row r="367" customFormat="false" ht="15" hidden="false" customHeight="true" outlineLevel="0" collapsed="false">
      <c r="A367" s="6" t="str">
        <f aca="false">IF($K367="","",IF(INDEX('Prospect Tracker'!$W$5:$W$554,$K367)="","",INDEX('Prospect Tracker'!$W$5:$W$554,$K367)))</f>
        <v/>
      </c>
      <c r="B367" s="6" t="str">
        <f aca="false">IF($K367="","",IF(INDEX('Prospect Tracker'!$A$5:$A$554,$K367)="","",INDEX('Prospect Tracker'!$A$5:$A$554,$K367)))</f>
        <v/>
      </c>
      <c r="C367" s="6" t="str">
        <f aca="false">IF($K367="","",IF(INDEX('Prospect Tracker'!$B$5:$B$554,$K367)="","",INDEX('Prospect Tracker'!$B$5:$B$554,$K367)))</f>
        <v/>
      </c>
      <c r="D367" s="6" t="str">
        <f aca="false">IF($K367="","",IF(INDEX('Prospect Tracker'!$M$5:$M$554,$K367)="","",INDEX('Prospect Tracker'!$M$5:$M$554,$K367)))</f>
        <v/>
      </c>
      <c r="E367" s="6" t="str">
        <f aca="false">IF($K367="","",IF(INDEX('Prospect Tracker'!$R$5:$R$554,$K367)="","",INDEX('Prospect Tracker'!$R$5:$R$554,$K367)))</f>
        <v/>
      </c>
      <c r="F367" s="6" t="str">
        <f aca="false">IF($K367="","",IF(INDEX('Prospect Tracker'!$J$5:$J$554,$K367)="","",INDEX('Prospect Tracker'!$J$5:$J$554,$K367)))</f>
        <v/>
      </c>
      <c r="G367" s="6" t="str">
        <f aca="false">IF($K367="","",IF(INDEX('Prospect Tracker'!$H$5:$H$554,$K367)="","",INDEX('Prospect Tracker'!$H$5:$H$554,$K367)))</f>
        <v/>
      </c>
      <c r="H367" s="7" t="str">
        <f aca="false">IF($K367="","",IF(INDEX('Prospect Tracker'!$K$5:$K$554,$K367)="","",INDEX('Prospect Tracker'!$K$5:$K$554,$K367)))</f>
        <v/>
      </c>
      <c r="I367" s="6" t="str">
        <f aca="false">IF($K367="","",IF(INDEX('Prospect Tracker'!$T$5:$T$554,$K367)="","",INDEX('Prospect Tracker'!$T$5:$T$554,$K367)))</f>
        <v/>
      </c>
      <c r="J367" s="6" t="str">
        <f aca="false">IF($K367="","",IF(INDEX('Prospect Tracker'!$L$5:$L$554,$K367)="","",INDEX('Prospect Tracker'!$L$5:$L$554,$K367)))</f>
        <v/>
      </c>
      <c r="K367" s="1" t="n">
        <f aca="false">IFERROR(MATCH(SMALL('Prospect Tracker'!$X$5:$X$554,ROW()-4),'Prospect Tracker'!$X$5:$X$554,0),"")</f>
        <v>363</v>
      </c>
    </row>
    <row r="368" customFormat="false" ht="15" hidden="false" customHeight="true" outlineLevel="0" collapsed="false">
      <c r="A368" s="11" t="str">
        <f aca="false">IF($K368="","",IF(INDEX('Prospect Tracker'!$W$5:$W$554,$K368)="","",INDEX('Prospect Tracker'!$W$5:$W$554,$K368)))</f>
        <v/>
      </c>
      <c r="B368" s="11" t="str">
        <f aca="false">IF($K368="","",IF(INDEX('Prospect Tracker'!$A$5:$A$554,$K368)="","",INDEX('Prospect Tracker'!$A$5:$A$554,$K368)))</f>
        <v/>
      </c>
      <c r="C368" s="11" t="str">
        <f aca="false">IF($K368="","",IF(INDEX('Prospect Tracker'!$B$5:$B$554,$K368)="","",INDEX('Prospect Tracker'!$B$5:$B$554,$K368)))</f>
        <v/>
      </c>
      <c r="D368" s="11" t="str">
        <f aca="false">IF($K368="","",IF(INDEX('Prospect Tracker'!$M$5:$M$554,$K368)="","",INDEX('Prospect Tracker'!$M$5:$M$554,$K368)))</f>
        <v/>
      </c>
      <c r="E368" s="11" t="str">
        <f aca="false">IF($K368="","",IF(INDEX('Prospect Tracker'!$R$5:$R$554,$K368)="","",INDEX('Prospect Tracker'!$R$5:$R$554,$K368)))</f>
        <v/>
      </c>
      <c r="F368" s="11" t="str">
        <f aca="false">IF($K368="","",IF(INDEX('Prospect Tracker'!$J$5:$J$554,$K368)="","",INDEX('Prospect Tracker'!$J$5:$J$554,$K368)))</f>
        <v/>
      </c>
      <c r="G368" s="11" t="str">
        <f aca="false">IF($K368="","",IF(INDEX('Prospect Tracker'!$H$5:$H$554,$K368)="","",INDEX('Prospect Tracker'!$H$5:$H$554,$K368)))</f>
        <v/>
      </c>
      <c r="H368" s="12" t="str">
        <f aca="false">IF($K368="","",IF(INDEX('Prospect Tracker'!$K$5:$K$554,$K368)="","",INDEX('Prospect Tracker'!$K$5:$K$554,$K368)))</f>
        <v/>
      </c>
      <c r="I368" s="11" t="str">
        <f aca="false">IF($K368="","",IF(INDEX('Prospect Tracker'!$T$5:$T$554,$K368)="","",INDEX('Prospect Tracker'!$T$5:$T$554,$K368)))</f>
        <v/>
      </c>
      <c r="J368" s="11" t="str">
        <f aca="false">IF($K368="","",IF(INDEX('Prospect Tracker'!$L$5:$L$554,$K368)="","",INDEX('Prospect Tracker'!$L$5:$L$554,$K368)))</f>
        <v/>
      </c>
      <c r="K368" s="1" t="n">
        <f aca="false">IFERROR(MATCH(SMALL('Prospect Tracker'!$X$5:$X$554,ROW()-4),'Prospect Tracker'!$X$5:$X$554,0),"")</f>
        <v>364</v>
      </c>
    </row>
    <row r="369" customFormat="false" ht="15" hidden="false" customHeight="true" outlineLevel="0" collapsed="false">
      <c r="A369" s="6" t="str">
        <f aca="false">IF($K369="","",IF(INDEX('Prospect Tracker'!$W$5:$W$554,$K369)="","",INDEX('Prospect Tracker'!$W$5:$W$554,$K369)))</f>
        <v/>
      </c>
      <c r="B369" s="6" t="str">
        <f aca="false">IF($K369="","",IF(INDEX('Prospect Tracker'!$A$5:$A$554,$K369)="","",INDEX('Prospect Tracker'!$A$5:$A$554,$K369)))</f>
        <v/>
      </c>
      <c r="C369" s="6" t="str">
        <f aca="false">IF($K369="","",IF(INDEX('Prospect Tracker'!$B$5:$B$554,$K369)="","",INDEX('Prospect Tracker'!$B$5:$B$554,$K369)))</f>
        <v/>
      </c>
      <c r="D369" s="6" t="str">
        <f aca="false">IF($K369="","",IF(INDEX('Prospect Tracker'!$M$5:$M$554,$K369)="","",INDEX('Prospect Tracker'!$M$5:$M$554,$K369)))</f>
        <v/>
      </c>
      <c r="E369" s="6" t="str">
        <f aca="false">IF($K369="","",IF(INDEX('Prospect Tracker'!$R$5:$R$554,$K369)="","",INDEX('Prospect Tracker'!$R$5:$R$554,$K369)))</f>
        <v/>
      </c>
      <c r="F369" s="6" t="str">
        <f aca="false">IF($K369="","",IF(INDEX('Prospect Tracker'!$J$5:$J$554,$K369)="","",INDEX('Prospect Tracker'!$J$5:$J$554,$K369)))</f>
        <v/>
      </c>
      <c r="G369" s="6" t="str">
        <f aca="false">IF($K369="","",IF(INDEX('Prospect Tracker'!$H$5:$H$554,$K369)="","",INDEX('Prospect Tracker'!$H$5:$H$554,$K369)))</f>
        <v/>
      </c>
      <c r="H369" s="7" t="str">
        <f aca="false">IF($K369="","",IF(INDEX('Prospect Tracker'!$K$5:$K$554,$K369)="","",INDEX('Prospect Tracker'!$K$5:$K$554,$K369)))</f>
        <v/>
      </c>
      <c r="I369" s="6" t="str">
        <f aca="false">IF($K369="","",IF(INDEX('Prospect Tracker'!$T$5:$T$554,$K369)="","",INDEX('Prospect Tracker'!$T$5:$T$554,$K369)))</f>
        <v/>
      </c>
      <c r="J369" s="6" t="str">
        <f aca="false">IF($K369="","",IF(INDEX('Prospect Tracker'!$L$5:$L$554,$K369)="","",INDEX('Prospect Tracker'!$L$5:$L$554,$K369)))</f>
        <v/>
      </c>
      <c r="K369" s="1" t="n">
        <f aca="false">IFERROR(MATCH(SMALL('Prospect Tracker'!$X$5:$X$554,ROW()-4),'Prospect Tracker'!$X$5:$X$554,0),"")</f>
        <v>365</v>
      </c>
    </row>
    <row r="370" customFormat="false" ht="15" hidden="false" customHeight="true" outlineLevel="0" collapsed="false">
      <c r="A370" s="11" t="str">
        <f aca="false">IF($K370="","",IF(INDEX('Prospect Tracker'!$W$5:$W$554,$K370)="","",INDEX('Prospect Tracker'!$W$5:$W$554,$K370)))</f>
        <v/>
      </c>
      <c r="B370" s="11" t="str">
        <f aca="false">IF($K370="","",IF(INDEX('Prospect Tracker'!$A$5:$A$554,$K370)="","",INDEX('Prospect Tracker'!$A$5:$A$554,$K370)))</f>
        <v/>
      </c>
      <c r="C370" s="11" t="str">
        <f aca="false">IF($K370="","",IF(INDEX('Prospect Tracker'!$B$5:$B$554,$K370)="","",INDEX('Prospect Tracker'!$B$5:$B$554,$K370)))</f>
        <v/>
      </c>
      <c r="D370" s="11" t="str">
        <f aca="false">IF($K370="","",IF(INDEX('Prospect Tracker'!$M$5:$M$554,$K370)="","",INDEX('Prospect Tracker'!$M$5:$M$554,$K370)))</f>
        <v/>
      </c>
      <c r="E370" s="11" t="str">
        <f aca="false">IF($K370="","",IF(INDEX('Prospect Tracker'!$R$5:$R$554,$K370)="","",INDEX('Prospect Tracker'!$R$5:$R$554,$K370)))</f>
        <v/>
      </c>
      <c r="F370" s="11" t="str">
        <f aca="false">IF($K370="","",IF(INDEX('Prospect Tracker'!$J$5:$J$554,$K370)="","",INDEX('Prospect Tracker'!$J$5:$J$554,$K370)))</f>
        <v/>
      </c>
      <c r="G370" s="11" t="str">
        <f aca="false">IF($K370="","",IF(INDEX('Prospect Tracker'!$H$5:$H$554,$K370)="","",INDEX('Prospect Tracker'!$H$5:$H$554,$K370)))</f>
        <v/>
      </c>
      <c r="H370" s="12" t="str">
        <f aca="false">IF($K370="","",IF(INDEX('Prospect Tracker'!$K$5:$K$554,$K370)="","",INDEX('Prospect Tracker'!$K$5:$K$554,$K370)))</f>
        <v/>
      </c>
      <c r="I370" s="11" t="str">
        <f aca="false">IF($K370="","",IF(INDEX('Prospect Tracker'!$T$5:$T$554,$K370)="","",INDEX('Prospect Tracker'!$T$5:$T$554,$K370)))</f>
        <v/>
      </c>
      <c r="J370" s="11" t="str">
        <f aca="false">IF($K370="","",IF(INDEX('Prospect Tracker'!$L$5:$L$554,$K370)="","",INDEX('Prospect Tracker'!$L$5:$L$554,$K370)))</f>
        <v/>
      </c>
      <c r="K370" s="1" t="n">
        <f aca="false">IFERROR(MATCH(SMALL('Prospect Tracker'!$X$5:$X$554,ROW()-4),'Prospect Tracker'!$X$5:$X$554,0),"")</f>
        <v>366</v>
      </c>
    </row>
    <row r="371" customFormat="false" ht="15" hidden="false" customHeight="true" outlineLevel="0" collapsed="false">
      <c r="A371" s="6" t="str">
        <f aca="false">IF($K371="","",IF(INDEX('Prospect Tracker'!$W$5:$W$554,$K371)="","",INDEX('Prospect Tracker'!$W$5:$W$554,$K371)))</f>
        <v/>
      </c>
      <c r="B371" s="6" t="str">
        <f aca="false">IF($K371="","",IF(INDEX('Prospect Tracker'!$A$5:$A$554,$K371)="","",INDEX('Prospect Tracker'!$A$5:$A$554,$K371)))</f>
        <v/>
      </c>
      <c r="C371" s="6" t="str">
        <f aca="false">IF($K371="","",IF(INDEX('Prospect Tracker'!$B$5:$B$554,$K371)="","",INDEX('Prospect Tracker'!$B$5:$B$554,$K371)))</f>
        <v/>
      </c>
      <c r="D371" s="6" t="str">
        <f aca="false">IF($K371="","",IF(INDEX('Prospect Tracker'!$M$5:$M$554,$K371)="","",INDEX('Prospect Tracker'!$M$5:$M$554,$K371)))</f>
        <v/>
      </c>
      <c r="E371" s="6" t="str">
        <f aca="false">IF($K371="","",IF(INDEX('Prospect Tracker'!$R$5:$R$554,$K371)="","",INDEX('Prospect Tracker'!$R$5:$R$554,$K371)))</f>
        <v/>
      </c>
      <c r="F371" s="6" t="str">
        <f aca="false">IF($K371="","",IF(INDEX('Prospect Tracker'!$J$5:$J$554,$K371)="","",INDEX('Prospect Tracker'!$J$5:$J$554,$K371)))</f>
        <v/>
      </c>
      <c r="G371" s="6" t="str">
        <f aca="false">IF($K371="","",IF(INDEX('Prospect Tracker'!$H$5:$H$554,$K371)="","",INDEX('Prospect Tracker'!$H$5:$H$554,$K371)))</f>
        <v/>
      </c>
      <c r="H371" s="7" t="str">
        <f aca="false">IF($K371="","",IF(INDEX('Prospect Tracker'!$K$5:$K$554,$K371)="","",INDEX('Prospect Tracker'!$K$5:$K$554,$K371)))</f>
        <v/>
      </c>
      <c r="I371" s="6" t="str">
        <f aca="false">IF($K371="","",IF(INDEX('Prospect Tracker'!$T$5:$T$554,$K371)="","",INDEX('Prospect Tracker'!$T$5:$T$554,$K371)))</f>
        <v/>
      </c>
      <c r="J371" s="6" t="str">
        <f aca="false">IF($K371="","",IF(INDEX('Prospect Tracker'!$L$5:$L$554,$K371)="","",INDEX('Prospect Tracker'!$L$5:$L$554,$K371)))</f>
        <v/>
      </c>
      <c r="K371" s="1" t="n">
        <f aca="false">IFERROR(MATCH(SMALL('Prospect Tracker'!$X$5:$X$554,ROW()-4),'Prospect Tracker'!$X$5:$X$554,0),"")</f>
        <v>367</v>
      </c>
    </row>
    <row r="372" customFormat="false" ht="15" hidden="false" customHeight="true" outlineLevel="0" collapsed="false">
      <c r="A372" s="11" t="str">
        <f aca="false">IF($K372="","",IF(INDEX('Prospect Tracker'!$W$5:$W$554,$K372)="","",INDEX('Prospect Tracker'!$W$5:$W$554,$K372)))</f>
        <v/>
      </c>
      <c r="B372" s="11" t="str">
        <f aca="false">IF($K372="","",IF(INDEX('Prospect Tracker'!$A$5:$A$554,$K372)="","",INDEX('Prospect Tracker'!$A$5:$A$554,$K372)))</f>
        <v/>
      </c>
      <c r="C372" s="11" t="str">
        <f aca="false">IF($K372="","",IF(INDEX('Prospect Tracker'!$B$5:$B$554,$K372)="","",INDEX('Prospect Tracker'!$B$5:$B$554,$K372)))</f>
        <v/>
      </c>
      <c r="D372" s="11" t="str">
        <f aca="false">IF($K372="","",IF(INDEX('Prospect Tracker'!$M$5:$M$554,$K372)="","",INDEX('Prospect Tracker'!$M$5:$M$554,$K372)))</f>
        <v/>
      </c>
      <c r="E372" s="11" t="str">
        <f aca="false">IF($K372="","",IF(INDEX('Prospect Tracker'!$R$5:$R$554,$K372)="","",INDEX('Prospect Tracker'!$R$5:$R$554,$K372)))</f>
        <v/>
      </c>
      <c r="F372" s="11" t="str">
        <f aca="false">IF($K372="","",IF(INDEX('Prospect Tracker'!$J$5:$J$554,$K372)="","",INDEX('Prospect Tracker'!$J$5:$J$554,$K372)))</f>
        <v/>
      </c>
      <c r="G372" s="11" t="str">
        <f aca="false">IF($K372="","",IF(INDEX('Prospect Tracker'!$H$5:$H$554,$K372)="","",INDEX('Prospect Tracker'!$H$5:$H$554,$K372)))</f>
        <v/>
      </c>
      <c r="H372" s="12" t="str">
        <f aca="false">IF($K372="","",IF(INDEX('Prospect Tracker'!$K$5:$K$554,$K372)="","",INDEX('Prospect Tracker'!$K$5:$K$554,$K372)))</f>
        <v/>
      </c>
      <c r="I372" s="11" t="str">
        <f aca="false">IF($K372="","",IF(INDEX('Prospect Tracker'!$T$5:$T$554,$K372)="","",INDEX('Prospect Tracker'!$T$5:$T$554,$K372)))</f>
        <v/>
      </c>
      <c r="J372" s="11" t="str">
        <f aca="false">IF($K372="","",IF(INDEX('Prospect Tracker'!$L$5:$L$554,$K372)="","",INDEX('Prospect Tracker'!$L$5:$L$554,$K372)))</f>
        <v/>
      </c>
      <c r="K372" s="1" t="n">
        <f aca="false">IFERROR(MATCH(SMALL('Prospect Tracker'!$X$5:$X$554,ROW()-4),'Prospect Tracker'!$X$5:$X$554,0),"")</f>
        <v>368</v>
      </c>
    </row>
    <row r="373" customFormat="false" ht="15" hidden="false" customHeight="true" outlineLevel="0" collapsed="false">
      <c r="A373" s="6" t="str">
        <f aca="false">IF($K373="","",IF(INDEX('Prospect Tracker'!$W$5:$W$554,$K373)="","",INDEX('Prospect Tracker'!$W$5:$W$554,$K373)))</f>
        <v/>
      </c>
      <c r="B373" s="6" t="str">
        <f aca="false">IF($K373="","",IF(INDEX('Prospect Tracker'!$A$5:$A$554,$K373)="","",INDEX('Prospect Tracker'!$A$5:$A$554,$K373)))</f>
        <v/>
      </c>
      <c r="C373" s="6" t="str">
        <f aca="false">IF($K373="","",IF(INDEX('Prospect Tracker'!$B$5:$B$554,$K373)="","",INDEX('Prospect Tracker'!$B$5:$B$554,$K373)))</f>
        <v/>
      </c>
      <c r="D373" s="6" t="str">
        <f aca="false">IF($K373="","",IF(INDEX('Prospect Tracker'!$M$5:$M$554,$K373)="","",INDEX('Prospect Tracker'!$M$5:$M$554,$K373)))</f>
        <v/>
      </c>
      <c r="E373" s="6" t="str">
        <f aca="false">IF($K373="","",IF(INDEX('Prospect Tracker'!$R$5:$R$554,$K373)="","",INDEX('Prospect Tracker'!$R$5:$R$554,$K373)))</f>
        <v/>
      </c>
      <c r="F373" s="6" t="str">
        <f aca="false">IF($K373="","",IF(INDEX('Prospect Tracker'!$J$5:$J$554,$K373)="","",INDEX('Prospect Tracker'!$J$5:$J$554,$K373)))</f>
        <v/>
      </c>
      <c r="G373" s="6" t="str">
        <f aca="false">IF($K373="","",IF(INDEX('Prospect Tracker'!$H$5:$H$554,$K373)="","",INDEX('Prospect Tracker'!$H$5:$H$554,$K373)))</f>
        <v/>
      </c>
      <c r="H373" s="7" t="str">
        <f aca="false">IF($K373="","",IF(INDEX('Prospect Tracker'!$K$5:$K$554,$K373)="","",INDEX('Prospect Tracker'!$K$5:$K$554,$K373)))</f>
        <v/>
      </c>
      <c r="I373" s="6" t="str">
        <f aca="false">IF($K373="","",IF(INDEX('Prospect Tracker'!$T$5:$T$554,$K373)="","",INDEX('Prospect Tracker'!$T$5:$T$554,$K373)))</f>
        <v/>
      </c>
      <c r="J373" s="6" t="str">
        <f aca="false">IF($K373="","",IF(INDEX('Prospect Tracker'!$L$5:$L$554,$K373)="","",INDEX('Prospect Tracker'!$L$5:$L$554,$K373)))</f>
        <v/>
      </c>
      <c r="K373" s="1" t="n">
        <f aca="false">IFERROR(MATCH(SMALL('Prospect Tracker'!$X$5:$X$554,ROW()-4),'Prospect Tracker'!$X$5:$X$554,0),"")</f>
        <v>369</v>
      </c>
    </row>
    <row r="374" customFormat="false" ht="15" hidden="false" customHeight="true" outlineLevel="0" collapsed="false">
      <c r="A374" s="11" t="str">
        <f aca="false">IF($K374="","",IF(INDEX('Prospect Tracker'!$W$5:$W$554,$K374)="","",INDEX('Prospect Tracker'!$W$5:$W$554,$K374)))</f>
        <v/>
      </c>
      <c r="B374" s="11" t="str">
        <f aca="false">IF($K374="","",IF(INDEX('Prospect Tracker'!$A$5:$A$554,$K374)="","",INDEX('Prospect Tracker'!$A$5:$A$554,$K374)))</f>
        <v/>
      </c>
      <c r="C374" s="11" t="str">
        <f aca="false">IF($K374="","",IF(INDEX('Prospect Tracker'!$B$5:$B$554,$K374)="","",INDEX('Prospect Tracker'!$B$5:$B$554,$K374)))</f>
        <v/>
      </c>
      <c r="D374" s="11" t="str">
        <f aca="false">IF($K374="","",IF(INDEX('Prospect Tracker'!$M$5:$M$554,$K374)="","",INDEX('Prospect Tracker'!$M$5:$M$554,$K374)))</f>
        <v/>
      </c>
      <c r="E374" s="11" t="str">
        <f aca="false">IF($K374="","",IF(INDEX('Prospect Tracker'!$R$5:$R$554,$K374)="","",INDEX('Prospect Tracker'!$R$5:$R$554,$K374)))</f>
        <v/>
      </c>
      <c r="F374" s="11" t="str">
        <f aca="false">IF($K374="","",IF(INDEX('Prospect Tracker'!$J$5:$J$554,$K374)="","",INDEX('Prospect Tracker'!$J$5:$J$554,$K374)))</f>
        <v/>
      </c>
      <c r="G374" s="11" t="str">
        <f aca="false">IF($K374="","",IF(INDEX('Prospect Tracker'!$H$5:$H$554,$K374)="","",INDEX('Prospect Tracker'!$H$5:$H$554,$K374)))</f>
        <v/>
      </c>
      <c r="H374" s="12" t="str">
        <f aca="false">IF($K374="","",IF(INDEX('Prospect Tracker'!$K$5:$K$554,$K374)="","",INDEX('Prospect Tracker'!$K$5:$K$554,$K374)))</f>
        <v/>
      </c>
      <c r="I374" s="11" t="str">
        <f aca="false">IF($K374="","",IF(INDEX('Prospect Tracker'!$T$5:$T$554,$K374)="","",INDEX('Prospect Tracker'!$T$5:$T$554,$K374)))</f>
        <v/>
      </c>
      <c r="J374" s="11" t="str">
        <f aca="false">IF($K374="","",IF(INDEX('Prospect Tracker'!$L$5:$L$554,$K374)="","",INDEX('Prospect Tracker'!$L$5:$L$554,$K374)))</f>
        <v/>
      </c>
      <c r="K374" s="1" t="n">
        <f aca="false">IFERROR(MATCH(SMALL('Prospect Tracker'!$X$5:$X$554,ROW()-4),'Prospect Tracker'!$X$5:$X$554,0),"")</f>
        <v>370</v>
      </c>
    </row>
    <row r="375" customFormat="false" ht="15" hidden="false" customHeight="true" outlineLevel="0" collapsed="false">
      <c r="A375" s="6" t="str">
        <f aca="false">IF($K375="","",IF(INDEX('Prospect Tracker'!$W$5:$W$554,$K375)="","",INDEX('Prospect Tracker'!$W$5:$W$554,$K375)))</f>
        <v/>
      </c>
      <c r="B375" s="6" t="str">
        <f aca="false">IF($K375="","",IF(INDEX('Prospect Tracker'!$A$5:$A$554,$K375)="","",INDEX('Prospect Tracker'!$A$5:$A$554,$K375)))</f>
        <v/>
      </c>
      <c r="C375" s="6" t="str">
        <f aca="false">IF($K375="","",IF(INDEX('Prospect Tracker'!$B$5:$B$554,$K375)="","",INDEX('Prospect Tracker'!$B$5:$B$554,$K375)))</f>
        <v/>
      </c>
      <c r="D375" s="6" t="str">
        <f aca="false">IF($K375="","",IF(INDEX('Prospect Tracker'!$M$5:$M$554,$K375)="","",INDEX('Prospect Tracker'!$M$5:$M$554,$K375)))</f>
        <v/>
      </c>
      <c r="E375" s="6" t="str">
        <f aca="false">IF($K375="","",IF(INDEX('Prospect Tracker'!$R$5:$R$554,$K375)="","",INDEX('Prospect Tracker'!$R$5:$R$554,$K375)))</f>
        <v/>
      </c>
      <c r="F375" s="6" t="str">
        <f aca="false">IF($K375="","",IF(INDEX('Prospect Tracker'!$J$5:$J$554,$K375)="","",INDEX('Prospect Tracker'!$J$5:$J$554,$K375)))</f>
        <v/>
      </c>
      <c r="G375" s="6" t="str">
        <f aca="false">IF($K375="","",IF(INDEX('Prospect Tracker'!$H$5:$H$554,$K375)="","",INDEX('Prospect Tracker'!$H$5:$H$554,$K375)))</f>
        <v/>
      </c>
      <c r="H375" s="7" t="str">
        <f aca="false">IF($K375="","",IF(INDEX('Prospect Tracker'!$K$5:$K$554,$K375)="","",INDEX('Prospect Tracker'!$K$5:$K$554,$K375)))</f>
        <v/>
      </c>
      <c r="I375" s="6" t="str">
        <f aca="false">IF($K375="","",IF(INDEX('Prospect Tracker'!$T$5:$T$554,$K375)="","",INDEX('Prospect Tracker'!$T$5:$T$554,$K375)))</f>
        <v/>
      </c>
      <c r="J375" s="6" t="str">
        <f aca="false">IF($K375="","",IF(INDEX('Prospect Tracker'!$L$5:$L$554,$K375)="","",INDEX('Prospect Tracker'!$L$5:$L$554,$K375)))</f>
        <v/>
      </c>
      <c r="K375" s="1" t="n">
        <f aca="false">IFERROR(MATCH(SMALL('Prospect Tracker'!$X$5:$X$554,ROW()-4),'Prospect Tracker'!$X$5:$X$554,0),"")</f>
        <v>371</v>
      </c>
    </row>
    <row r="376" customFormat="false" ht="15" hidden="false" customHeight="true" outlineLevel="0" collapsed="false">
      <c r="A376" s="11" t="str">
        <f aca="false">IF($K376="","",IF(INDEX('Prospect Tracker'!$W$5:$W$554,$K376)="","",INDEX('Prospect Tracker'!$W$5:$W$554,$K376)))</f>
        <v/>
      </c>
      <c r="B376" s="11" t="str">
        <f aca="false">IF($K376="","",IF(INDEX('Prospect Tracker'!$A$5:$A$554,$K376)="","",INDEX('Prospect Tracker'!$A$5:$A$554,$K376)))</f>
        <v/>
      </c>
      <c r="C376" s="11" t="str">
        <f aca="false">IF($K376="","",IF(INDEX('Prospect Tracker'!$B$5:$B$554,$K376)="","",INDEX('Prospect Tracker'!$B$5:$B$554,$K376)))</f>
        <v/>
      </c>
      <c r="D376" s="11" t="str">
        <f aca="false">IF($K376="","",IF(INDEX('Prospect Tracker'!$M$5:$M$554,$K376)="","",INDEX('Prospect Tracker'!$M$5:$M$554,$K376)))</f>
        <v/>
      </c>
      <c r="E376" s="11" t="str">
        <f aca="false">IF($K376="","",IF(INDEX('Prospect Tracker'!$R$5:$R$554,$K376)="","",INDEX('Prospect Tracker'!$R$5:$R$554,$K376)))</f>
        <v/>
      </c>
      <c r="F376" s="11" t="str">
        <f aca="false">IF($K376="","",IF(INDEX('Prospect Tracker'!$J$5:$J$554,$K376)="","",INDEX('Prospect Tracker'!$J$5:$J$554,$K376)))</f>
        <v/>
      </c>
      <c r="G376" s="11" t="str">
        <f aca="false">IF($K376="","",IF(INDEX('Prospect Tracker'!$H$5:$H$554,$K376)="","",INDEX('Prospect Tracker'!$H$5:$H$554,$K376)))</f>
        <v/>
      </c>
      <c r="H376" s="12" t="str">
        <f aca="false">IF($K376="","",IF(INDEX('Prospect Tracker'!$K$5:$K$554,$K376)="","",INDEX('Prospect Tracker'!$K$5:$K$554,$K376)))</f>
        <v/>
      </c>
      <c r="I376" s="11" t="str">
        <f aca="false">IF($K376="","",IF(INDEX('Prospect Tracker'!$T$5:$T$554,$K376)="","",INDEX('Prospect Tracker'!$T$5:$T$554,$K376)))</f>
        <v/>
      </c>
      <c r="J376" s="11" t="str">
        <f aca="false">IF($K376="","",IF(INDEX('Prospect Tracker'!$L$5:$L$554,$K376)="","",INDEX('Prospect Tracker'!$L$5:$L$554,$K376)))</f>
        <v/>
      </c>
      <c r="K376" s="1" t="n">
        <f aca="false">IFERROR(MATCH(SMALL('Prospect Tracker'!$X$5:$X$554,ROW()-4),'Prospect Tracker'!$X$5:$X$554,0),"")</f>
        <v>372</v>
      </c>
    </row>
    <row r="377" customFormat="false" ht="15" hidden="false" customHeight="true" outlineLevel="0" collapsed="false">
      <c r="A377" s="6" t="str">
        <f aca="false">IF($K377="","",IF(INDEX('Prospect Tracker'!$W$5:$W$554,$K377)="","",INDEX('Prospect Tracker'!$W$5:$W$554,$K377)))</f>
        <v/>
      </c>
      <c r="B377" s="6" t="str">
        <f aca="false">IF($K377="","",IF(INDEX('Prospect Tracker'!$A$5:$A$554,$K377)="","",INDEX('Prospect Tracker'!$A$5:$A$554,$K377)))</f>
        <v/>
      </c>
      <c r="C377" s="6" t="str">
        <f aca="false">IF($K377="","",IF(INDEX('Prospect Tracker'!$B$5:$B$554,$K377)="","",INDEX('Prospect Tracker'!$B$5:$B$554,$K377)))</f>
        <v/>
      </c>
      <c r="D377" s="6" t="str">
        <f aca="false">IF($K377="","",IF(INDEX('Prospect Tracker'!$M$5:$M$554,$K377)="","",INDEX('Prospect Tracker'!$M$5:$M$554,$K377)))</f>
        <v/>
      </c>
      <c r="E377" s="6" t="str">
        <f aca="false">IF($K377="","",IF(INDEX('Prospect Tracker'!$R$5:$R$554,$K377)="","",INDEX('Prospect Tracker'!$R$5:$R$554,$K377)))</f>
        <v/>
      </c>
      <c r="F377" s="6" t="str">
        <f aca="false">IF($K377="","",IF(INDEX('Prospect Tracker'!$J$5:$J$554,$K377)="","",INDEX('Prospect Tracker'!$J$5:$J$554,$K377)))</f>
        <v/>
      </c>
      <c r="G377" s="6" t="str">
        <f aca="false">IF($K377="","",IF(INDEX('Prospect Tracker'!$H$5:$H$554,$K377)="","",INDEX('Prospect Tracker'!$H$5:$H$554,$K377)))</f>
        <v/>
      </c>
      <c r="H377" s="7" t="str">
        <f aca="false">IF($K377="","",IF(INDEX('Prospect Tracker'!$K$5:$K$554,$K377)="","",INDEX('Prospect Tracker'!$K$5:$K$554,$K377)))</f>
        <v/>
      </c>
      <c r="I377" s="6" t="str">
        <f aca="false">IF($K377="","",IF(INDEX('Prospect Tracker'!$T$5:$T$554,$K377)="","",INDEX('Prospect Tracker'!$T$5:$T$554,$K377)))</f>
        <v/>
      </c>
      <c r="J377" s="6" t="str">
        <f aca="false">IF($K377="","",IF(INDEX('Prospect Tracker'!$L$5:$L$554,$K377)="","",INDEX('Prospect Tracker'!$L$5:$L$554,$K377)))</f>
        <v/>
      </c>
      <c r="K377" s="1" t="n">
        <f aca="false">IFERROR(MATCH(SMALL('Prospect Tracker'!$X$5:$X$554,ROW()-4),'Prospect Tracker'!$X$5:$X$554,0),"")</f>
        <v>373</v>
      </c>
    </row>
    <row r="378" customFormat="false" ht="15" hidden="false" customHeight="true" outlineLevel="0" collapsed="false">
      <c r="A378" s="11" t="str">
        <f aca="false">IF($K378="","",IF(INDEX('Prospect Tracker'!$W$5:$W$554,$K378)="","",INDEX('Prospect Tracker'!$W$5:$W$554,$K378)))</f>
        <v/>
      </c>
      <c r="B378" s="11" t="str">
        <f aca="false">IF($K378="","",IF(INDEX('Prospect Tracker'!$A$5:$A$554,$K378)="","",INDEX('Prospect Tracker'!$A$5:$A$554,$K378)))</f>
        <v/>
      </c>
      <c r="C378" s="11" t="str">
        <f aca="false">IF($K378="","",IF(INDEX('Prospect Tracker'!$B$5:$B$554,$K378)="","",INDEX('Prospect Tracker'!$B$5:$B$554,$K378)))</f>
        <v/>
      </c>
      <c r="D378" s="11" t="str">
        <f aca="false">IF($K378="","",IF(INDEX('Prospect Tracker'!$M$5:$M$554,$K378)="","",INDEX('Prospect Tracker'!$M$5:$M$554,$K378)))</f>
        <v/>
      </c>
      <c r="E378" s="11" t="str">
        <f aca="false">IF($K378="","",IF(INDEX('Prospect Tracker'!$R$5:$R$554,$K378)="","",INDEX('Prospect Tracker'!$R$5:$R$554,$K378)))</f>
        <v/>
      </c>
      <c r="F378" s="11" t="str">
        <f aca="false">IF($K378="","",IF(INDEX('Prospect Tracker'!$J$5:$J$554,$K378)="","",INDEX('Prospect Tracker'!$J$5:$J$554,$K378)))</f>
        <v/>
      </c>
      <c r="G378" s="11" t="str">
        <f aca="false">IF($K378="","",IF(INDEX('Prospect Tracker'!$H$5:$H$554,$K378)="","",INDEX('Prospect Tracker'!$H$5:$H$554,$K378)))</f>
        <v/>
      </c>
      <c r="H378" s="12" t="str">
        <f aca="false">IF($K378="","",IF(INDEX('Prospect Tracker'!$K$5:$K$554,$K378)="","",INDEX('Prospect Tracker'!$K$5:$K$554,$K378)))</f>
        <v/>
      </c>
      <c r="I378" s="11" t="str">
        <f aca="false">IF($K378="","",IF(INDEX('Prospect Tracker'!$T$5:$T$554,$K378)="","",INDEX('Prospect Tracker'!$T$5:$T$554,$K378)))</f>
        <v/>
      </c>
      <c r="J378" s="11" t="str">
        <f aca="false">IF($K378="","",IF(INDEX('Prospect Tracker'!$L$5:$L$554,$K378)="","",INDEX('Prospect Tracker'!$L$5:$L$554,$K378)))</f>
        <v/>
      </c>
      <c r="K378" s="1" t="n">
        <f aca="false">IFERROR(MATCH(SMALL('Prospect Tracker'!$X$5:$X$554,ROW()-4),'Prospect Tracker'!$X$5:$X$554,0),"")</f>
        <v>374</v>
      </c>
    </row>
    <row r="379" customFormat="false" ht="15" hidden="false" customHeight="true" outlineLevel="0" collapsed="false">
      <c r="A379" s="6" t="str">
        <f aca="false">IF($K379="","",IF(INDEX('Prospect Tracker'!$W$5:$W$554,$K379)="","",INDEX('Prospect Tracker'!$W$5:$W$554,$K379)))</f>
        <v/>
      </c>
      <c r="B379" s="6" t="str">
        <f aca="false">IF($K379="","",IF(INDEX('Prospect Tracker'!$A$5:$A$554,$K379)="","",INDEX('Prospect Tracker'!$A$5:$A$554,$K379)))</f>
        <v/>
      </c>
      <c r="C379" s="6" t="str">
        <f aca="false">IF($K379="","",IF(INDEX('Prospect Tracker'!$B$5:$B$554,$K379)="","",INDEX('Prospect Tracker'!$B$5:$B$554,$K379)))</f>
        <v/>
      </c>
      <c r="D379" s="6" t="str">
        <f aca="false">IF($K379="","",IF(INDEX('Prospect Tracker'!$M$5:$M$554,$K379)="","",INDEX('Prospect Tracker'!$M$5:$M$554,$K379)))</f>
        <v/>
      </c>
      <c r="E379" s="6" t="str">
        <f aca="false">IF($K379="","",IF(INDEX('Prospect Tracker'!$R$5:$R$554,$K379)="","",INDEX('Prospect Tracker'!$R$5:$R$554,$K379)))</f>
        <v/>
      </c>
      <c r="F379" s="6" t="str">
        <f aca="false">IF($K379="","",IF(INDEX('Prospect Tracker'!$J$5:$J$554,$K379)="","",INDEX('Prospect Tracker'!$J$5:$J$554,$K379)))</f>
        <v/>
      </c>
      <c r="G379" s="6" t="str">
        <f aca="false">IF($K379="","",IF(INDEX('Prospect Tracker'!$H$5:$H$554,$K379)="","",INDEX('Prospect Tracker'!$H$5:$H$554,$K379)))</f>
        <v/>
      </c>
      <c r="H379" s="7" t="str">
        <f aca="false">IF($K379="","",IF(INDEX('Prospect Tracker'!$K$5:$K$554,$K379)="","",INDEX('Prospect Tracker'!$K$5:$K$554,$K379)))</f>
        <v/>
      </c>
      <c r="I379" s="6" t="str">
        <f aca="false">IF($K379="","",IF(INDEX('Prospect Tracker'!$T$5:$T$554,$K379)="","",INDEX('Prospect Tracker'!$T$5:$T$554,$K379)))</f>
        <v/>
      </c>
      <c r="J379" s="6" t="str">
        <f aca="false">IF($K379="","",IF(INDEX('Prospect Tracker'!$L$5:$L$554,$K379)="","",INDEX('Prospect Tracker'!$L$5:$L$554,$K379)))</f>
        <v/>
      </c>
      <c r="K379" s="1" t="n">
        <f aca="false">IFERROR(MATCH(SMALL('Prospect Tracker'!$X$5:$X$554,ROW()-4),'Prospect Tracker'!$X$5:$X$554,0),"")</f>
        <v>375</v>
      </c>
    </row>
    <row r="380" customFormat="false" ht="15" hidden="false" customHeight="true" outlineLevel="0" collapsed="false">
      <c r="A380" s="11" t="str">
        <f aca="false">IF($K380="","",IF(INDEX('Prospect Tracker'!$W$5:$W$554,$K380)="","",INDEX('Prospect Tracker'!$W$5:$W$554,$K380)))</f>
        <v/>
      </c>
      <c r="B380" s="11" t="str">
        <f aca="false">IF($K380="","",IF(INDEX('Prospect Tracker'!$A$5:$A$554,$K380)="","",INDEX('Prospect Tracker'!$A$5:$A$554,$K380)))</f>
        <v/>
      </c>
      <c r="C380" s="11" t="str">
        <f aca="false">IF($K380="","",IF(INDEX('Prospect Tracker'!$B$5:$B$554,$K380)="","",INDEX('Prospect Tracker'!$B$5:$B$554,$K380)))</f>
        <v/>
      </c>
      <c r="D380" s="11" t="str">
        <f aca="false">IF($K380="","",IF(INDEX('Prospect Tracker'!$M$5:$M$554,$K380)="","",INDEX('Prospect Tracker'!$M$5:$M$554,$K380)))</f>
        <v/>
      </c>
      <c r="E380" s="11" t="str">
        <f aca="false">IF($K380="","",IF(INDEX('Prospect Tracker'!$R$5:$R$554,$K380)="","",INDEX('Prospect Tracker'!$R$5:$R$554,$K380)))</f>
        <v/>
      </c>
      <c r="F380" s="11" t="str">
        <f aca="false">IF($K380="","",IF(INDEX('Prospect Tracker'!$J$5:$J$554,$K380)="","",INDEX('Prospect Tracker'!$J$5:$J$554,$K380)))</f>
        <v/>
      </c>
      <c r="G380" s="11" t="str">
        <f aca="false">IF($K380="","",IF(INDEX('Prospect Tracker'!$H$5:$H$554,$K380)="","",INDEX('Prospect Tracker'!$H$5:$H$554,$K380)))</f>
        <v/>
      </c>
      <c r="H380" s="12" t="str">
        <f aca="false">IF($K380="","",IF(INDEX('Prospect Tracker'!$K$5:$K$554,$K380)="","",INDEX('Prospect Tracker'!$K$5:$K$554,$K380)))</f>
        <v/>
      </c>
      <c r="I380" s="11" t="str">
        <f aca="false">IF($K380="","",IF(INDEX('Prospect Tracker'!$T$5:$T$554,$K380)="","",INDEX('Prospect Tracker'!$T$5:$T$554,$K380)))</f>
        <v/>
      </c>
      <c r="J380" s="11" t="str">
        <f aca="false">IF($K380="","",IF(INDEX('Prospect Tracker'!$L$5:$L$554,$K380)="","",INDEX('Prospect Tracker'!$L$5:$L$554,$K380)))</f>
        <v/>
      </c>
      <c r="K380" s="1" t="n">
        <f aca="false">IFERROR(MATCH(SMALL('Prospect Tracker'!$X$5:$X$554,ROW()-4),'Prospect Tracker'!$X$5:$X$554,0),"")</f>
        <v>376</v>
      </c>
    </row>
    <row r="381" customFormat="false" ht="15" hidden="false" customHeight="true" outlineLevel="0" collapsed="false">
      <c r="A381" s="6" t="str">
        <f aca="false">IF($K381="","",IF(INDEX('Prospect Tracker'!$W$5:$W$554,$K381)="","",INDEX('Prospect Tracker'!$W$5:$W$554,$K381)))</f>
        <v/>
      </c>
      <c r="B381" s="6" t="str">
        <f aca="false">IF($K381="","",IF(INDEX('Prospect Tracker'!$A$5:$A$554,$K381)="","",INDEX('Prospect Tracker'!$A$5:$A$554,$K381)))</f>
        <v/>
      </c>
      <c r="C381" s="6" t="str">
        <f aca="false">IF($K381="","",IF(INDEX('Prospect Tracker'!$B$5:$B$554,$K381)="","",INDEX('Prospect Tracker'!$B$5:$B$554,$K381)))</f>
        <v/>
      </c>
      <c r="D381" s="6" t="str">
        <f aca="false">IF($K381="","",IF(INDEX('Prospect Tracker'!$M$5:$M$554,$K381)="","",INDEX('Prospect Tracker'!$M$5:$M$554,$K381)))</f>
        <v/>
      </c>
      <c r="E381" s="6" t="str">
        <f aca="false">IF($K381="","",IF(INDEX('Prospect Tracker'!$R$5:$R$554,$K381)="","",INDEX('Prospect Tracker'!$R$5:$R$554,$K381)))</f>
        <v/>
      </c>
      <c r="F381" s="6" t="str">
        <f aca="false">IF($K381="","",IF(INDEX('Prospect Tracker'!$J$5:$J$554,$K381)="","",INDEX('Prospect Tracker'!$J$5:$J$554,$K381)))</f>
        <v/>
      </c>
      <c r="G381" s="6" t="str">
        <f aca="false">IF($K381="","",IF(INDEX('Prospect Tracker'!$H$5:$H$554,$K381)="","",INDEX('Prospect Tracker'!$H$5:$H$554,$K381)))</f>
        <v/>
      </c>
      <c r="H381" s="7" t="str">
        <f aca="false">IF($K381="","",IF(INDEX('Prospect Tracker'!$K$5:$K$554,$K381)="","",INDEX('Prospect Tracker'!$K$5:$K$554,$K381)))</f>
        <v/>
      </c>
      <c r="I381" s="6" t="str">
        <f aca="false">IF($K381="","",IF(INDEX('Prospect Tracker'!$T$5:$T$554,$K381)="","",INDEX('Prospect Tracker'!$T$5:$T$554,$K381)))</f>
        <v/>
      </c>
      <c r="J381" s="6" t="str">
        <f aca="false">IF($K381="","",IF(INDEX('Prospect Tracker'!$L$5:$L$554,$K381)="","",INDEX('Prospect Tracker'!$L$5:$L$554,$K381)))</f>
        <v/>
      </c>
      <c r="K381" s="1" t="n">
        <f aca="false">IFERROR(MATCH(SMALL('Prospect Tracker'!$X$5:$X$554,ROW()-4),'Prospect Tracker'!$X$5:$X$554,0),"")</f>
        <v>377</v>
      </c>
    </row>
    <row r="382" customFormat="false" ht="15" hidden="false" customHeight="true" outlineLevel="0" collapsed="false">
      <c r="A382" s="11" t="str">
        <f aca="false">IF($K382="","",IF(INDEX('Prospect Tracker'!$W$5:$W$554,$K382)="","",INDEX('Prospect Tracker'!$W$5:$W$554,$K382)))</f>
        <v/>
      </c>
      <c r="B382" s="11" t="str">
        <f aca="false">IF($K382="","",IF(INDEX('Prospect Tracker'!$A$5:$A$554,$K382)="","",INDEX('Prospect Tracker'!$A$5:$A$554,$K382)))</f>
        <v/>
      </c>
      <c r="C382" s="11" t="str">
        <f aca="false">IF($K382="","",IF(INDEX('Prospect Tracker'!$B$5:$B$554,$K382)="","",INDEX('Prospect Tracker'!$B$5:$B$554,$K382)))</f>
        <v/>
      </c>
      <c r="D382" s="11" t="str">
        <f aca="false">IF($K382="","",IF(INDEX('Prospect Tracker'!$M$5:$M$554,$K382)="","",INDEX('Prospect Tracker'!$M$5:$M$554,$K382)))</f>
        <v/>
      </c>
      <c r="E382" s="11" t="str">
        <f aca="false">IF($K382="","",IF(INDEX('Prospect Tracker'!$R$5:$R$554,$K382)="","",INDEX('Prospect Tracker'!$R$5:$R$554,$K382)))</f>
        <v/>
      </c>
      <c r="F382" s="11" t="str">
        <f aca="false">IF($K382="","",IF(INDEX('Prospect Tracker'!$J$5:$J$554,$K382)="","",INDEX('Prospect Tracker'!$J$5:$J$554,$K382)))</f>
        <v/>
      </c>
      <c r="G382" s="11" t="str">
        <f aca="false">IF($K382="","",IF(INDEX('Prospect Tracker'!$H$5:$H$554,$K382)="","",INDEX('Prospect Tracker'!$H$5:$H$554,$K382)))</f>
        <v/>
      </c>
      <c r="H382" s="12" t="str">
        <f aca="false">IF($K382="","",IF(INDEX('Prospect Tracker'!$K$5:$K$554,$K382)="","",INDEX('Prospect Tracker'!$K$5:$K$554,$K382)))</f>
        <v/>
      </c>
      <c r="I382" s="11" t="str">
        <f aca="false">IF($K382="","",IF(INDEX('Prospect Tracker'!$T$5:$T$554,$K382)="","",INDEX('Prospect Tracker'!$T$5:$T$554,$K382)))</f>
        <v/>
      </c>
      <c r="J382" s="11" t="str">
        <f aca="false">IF($K382="","",IF(INDEX('Prospect Tracker'!$L$5:$L$554,$K382)="","",INDEX('Prospect Tracker'!$L$5:$L$554,$K382)))</f>
        <v/>
      </c>
      <c r="K382" s="1" t="n">
        <f aca="false">IFERROR(MATCH(SMALL('Prospect Tracker'!$X$5:$X$554,ROW()-4),'Prospect Tracker'!$X$5:$X$554,0),"")</f>
        <v>378</v>
      </c>
    </row>
    <row r="383" customFormat="false" ht="15" hidden="false" customHeight="true" outlineLevel="0" collapsed="false">
      <c r="A383" s="6" t="str">
        <f aca="false">IF($K383="","",IF(INDEX('Prospect Tracker'!$W$5:$W$554,$K383)="","",INDEX('Prospect Tracker'!$W$5:$W$554,$K383)))</f>
        <v/>
      </c>
      <c r="B383" s="6" t="str">
        <f aca="false">IF($K383="","",IF(INDEX('Prospect Tracker'!$A$5:$A$554,$K383)="","",INDEX('Prospect Tracker'!$A$5:$A$554,$K383)))</f>
        <v/>
      </c>
      <c r="C383" s="6" t="str">
        <f aca="false">IF($K383="","",IF(INDEX('Prospect Tracker'!$B$5:$B$554,$K383)="","",INDEX('Prospect Tracker'!$B$5:$B$554,$K383)))</f>
        <v/>
      </c>
      <c r="D383" s="6" t="str">
        <f aca="false">IF($K383="","",IF(INDEX('Prospect Tracker'!$M$5:$M$554,$K383)="","",INDEX('Prospect Tracker'!$M$5:$M$554,$K383)))</f>
        <v/>
      </c>
      <c r="E383" s="6" t="str">
        <f aca="false">IF($K383="","",IF(INDEX('Prospect Tracker'!$R$5:$R$554,$K383)="","",INDEX('Prospect Tracker'!$R$5:$R$554,$K383)))</f>
        <v/>
      </c>
      <c r="F383" s="6" t="str">
        <f aca="false">IF($K383="","",IF(INDEX('Prospect Tracker'!$J$5:$J$554,$K383)="","",INDEX('Prospect Tracker'!$J$5:$J$554,$K383)))</f>
        <v/>
      </c>
      <c r="G383" s="6" t="str">
        <f aca="false">IF($K383="","",IF(INDEX('Prospect Tracker'!$H$5:$H$554,$K383)="","",INDEX('Prospect Tracker'!$H$5:$H$554,$K383)))</f>
        <v/>
      </c>
      <c r="H383" s="7" t="str">
        <f aca="false">IF($K383="","",IF(INDEX('Prospect Tracker'!$K$5:$K$554,$K383)="","",INDEX('Prospect Tracker'!$K$5:$K$554,$K383)))</f>
        <v/>
      </c>
      <c r="I383" s="6" t="str">
        <f aca="false">IF($K383="","",IF(INDEX('Prospect Tracker'!$T$5:$T$554,$K383)="","",INDEX('Prospect Tracker'!$T$5:$T$554,$K383)))</f>
        <v/>
      </c>
      <c r="J383" s="6" t="str">
        <f aca="false">IF($K383="","",IF(INDEX('Prospect Tracker'!$L$5:$L$554,$K383)="","",INDEX('Prospect Tracker'!$L$5:$L$554,$K383)))</f>
        <v/>
      </c>
      <c r="K383" s="1" t="n">
        <f aca="false">IFERROR(MATCH(SMALL('Prospect Tracker'!$X$5:$X$554,ROW()-4),'Prospect Tracker'!$X$5:$X$554,0),"")</f>
        <v>379</v>
      </c>
    </row>
    <row r="384" customFormat="false" ht="15" hidden="false" customHeight="true" outlineLevel="0" collapsed="false">
      <c r="A384" s="11" t="str">
        <f aca="false">IF($K384="","",IF(INDEX('Prospect Tracker'!$W$5:$W$554,$K384)="","",INDEX('Prospect Tracker'!$W$5:$W$554,$K384)))</f>
        <v/>
      </c>
      <c r="B384" s="11" t="str">
        <f aca="false">IF($K384="","",IF(INDEX('Prospect Tracker'!$A$5:$A$554,$K384)="","",INDEX('Prospect Tracker'!$A$5:$A$554,$K384)))</f>
        <v/>
      </c>
      <c r="C384" s="11" t="str">
        <f aca="false">IF($K384="","",IF(INDEX('Prospect Tracker'!$B$5:$B$554,$K384)="","",INDEX('Prospect Tracker'!$B$5:$B$554,$K384)))</f>
        <v/>
      </c>
      <c r="D384" s="11" t="str">
        <f aca="false">IF($K384="","",IF(INDEX('Prospect Tracker'!$M$5:$M$554,$K384)="","",INDEX('Prospect Tracker'!$M$5:$M$554,$K384)))</f>
        <v/>
      </c>
      <c r="E384" s="11" t="str">
        <f aca="false">IF($K384="","",IF(INDEX('Prospect Tracker'!$R$5:$R$554,$K384)="","",INDEX('Prospect Tracker'!$R$5:$R$554,$K384)))</f>
        <v/>
      </c>
      <c r="F384" s="11" t="str">
        <f aca="false">IF($K384="","",IF(INDEX('Prospect Tracker'!$J$5:$J$554,$K384)="","",INDEX('Prospect Tracker'!$J$5:$J$554,$K384)))</f>
        <v/>
      </c>
      <c r="G384" s="11" t="str">
        <f aca="false">IF($K384="","",IF(INDEX('Prospect Tracker'!$H$5:$H$554,$K384)="","",INDEX('Prospect Tracker'!$H$5:$H$554,$K384)))</f>
        <v/>
      </c>
      <c r="H384" s="12" t="str">
        <f aca="false">IF($K384="","",IF(INDEX('Prospect Tracker'!$K$5:$K$554,$K384)="","",INDEX('Prospect Tracker'!$K$5:$K$554,$K384)))</f>
        <v/>
      </c>
      <c r="I384" s="11" t="str">
        <f aca="false">IF($K384="","",IF(INDEX('Prospect Tracker'!$T$5:$T$554,$K384)="","",INDEX('Prospect Tracker'!$T$5:$T$554,$K384)))</f>
        <v/>
      </c>
      <c r="J384" s="11" t="str">
        <f aca="false">IF($K384="","",IF(INDEX('Prospect Tracker'!$L$5:$L$554,$K384)="","",INDEX('Prospect Tracker'!$L$5:$L$554,$K384)))</f>
        <v/>
      </c>
      <c r="K384" s="1" t="n">
        <f aca="false">IFERROR(MATCH(SMALL('Prospect Tracker'!$X$5:$X$554,ROW()-4),'Prospect Tracker'!$X$5:$X$554,0),"")</f>
        <v>380</v>
      </c>
    </row>
    <row r="385" customFormat="false" ht="15" hidden="false" customHeight="true" outlineLevel="0" collapsed="false">
      <c r="A385" s="6" t="str">
        <f aca="false">IF($K385="","",IF(INDEX('Prospect Tracker'!$W$5:$W$554,$K385)="","",INDEX('Prospect Tracker'!$W$5:$W$554,$K385)))</f>
        <v/>
      </c>
      <c r="B385" s="6" t="str">
        <f aca="false">IF($K385="","",IF(INDEX('Prospect Tracker'!$A$5:$A$554,$K385)="","",INDEX('Prospect Tracker'!$A$5:$A$554,$K385)))</f>
        <v/>
      </c>
      <c r="C385" s="6" t="str">
        <f aca="false">IF($K385="","",IF(INDEX('Prospect Tracker'!$B$5:$B$554,$K385)="","",INDEX('Prospect Tracker'!$B$5:$B$554,$K385)))</f>
        <v/>
      </c>
      <c r="D385" s="6" t="str">
        <f aca="false">IF($K385="","",IF(INDEX('Prospect Tracker'!$M$5:$M$554,$K385)="","",INDEX('Prospect Tracker'!$M$5:$M$554,$K385)))</f>
        <v/>
      </c>
      <c r="E385" s="6" t="str">
        <f aca="false">IF($K385="","",IF(INDEX('Prospect Tracker'!$R$5:$R$554,$K385)="","",INDEX('Prospect Tracker'!$R$5:$R$554,$K385)))</f>
        <v/>
      </c>
      <c r="F385" s="6" t="str">
        <f aca="false">IF($K385="","",IF(INDEX('Prospect Tracker'!$J$5:$J$554,$K385)="","",INDEX('Prospect Tracker'!$J$5:$J$554,$K385)))</f>
        <v/>
      </c>
      <c r="G385" s="6" t="str">
        <f aca="false">IF($K385="","",IF(INDEX('Prospect Tracker'!$H$5:$H$554,$K385)="","",INDEX('Prospect Tracker'!$H$5:$H$554,$K385)))</f>
        <v/>
      </c>
      <c r="H385" s="7" t="str">
        <f aca="false">IF($K385="","",IF(INDEX('Prospect Tracker'!$K$5:$K$554,$K385)="","",INDEX('Prospect Tracker'!$K$5:$K$554,$K385)))</f>
        <v/>
      </c>
      <c r="I385" s="6" t="str">
        <f aca="false">IF($K385="","",IF(INDEX('Prospect Tracker'!$T$5:$T$554,$K385)="","",INDEX('Prospect Tracker'!$T$5:$T$554,$K385)))</f>
        <v/>
      </c>
      <c r="J385" s="6" t="str">
        <f aca="false">IF($K385="","",IF(INDEX('Prospect Tracker'!$L$5:$L$554,$K385)="","",INDEX('Prospect Tracker'!$L$5:$L$554,$K385)))</f>
        <v/>
      </c>
      <c r="K385" s="1" t="n">
        <f aca="false">IFERROR(MATCH(SMALL('Prospect Tracker'!$X$5:$X$554,ROW()-4),'Prospect Tracker'!$X$5:$X$554,0),"")</f>
        <v>381</v>
      </c>
    </row>
    <row r="386" customFormat="false" ht="15" hidden="false" customHeight="true" outlineLevel="0" collapsed="false">
      <c r="A386" s="11" t="str">
        <f aca="false">IF($K386="","",IF(INDEX('Prospect Tracker'!$W$5:$W$554,$K386)="","",INDEX('Prospect Tracker'!$W$5:$W$554,$K386)))</f>
        <v/>
      </c>
      <c r="B386" s="11" t="str">
        <f aca="false">IF($K386="","",IF(INDEX('Prospect Tracker'!$A$5:$A$554,$K386)="","",INDEX('Prospect Tracker'!$A$5:$A$554,$K386)))</f>
        <v/>
      </c>
      <c r="C386" s="11" t="str">
        <f aca="false">IF($K386="","",IF(INDEX('Prospect Tracker'!$B$5:$B$554,$K386)="","",INDEX('Prospect Tracker'!$B$5:$B$554,$K386)))</f>
        <v/>
      </c>
      <c r="D386" s="11" t="str">
        <f aca="false">IF($K386="","",IF(INDEX('Prospect Tracker'!$M$5:$M$554,$K386)="","",INDEX('Prospect Tracker'!$M$5:$M$554,$K386)))</f>
        <v/>
      </c>
      <c r="E386" s="11" t="str">
        <f aca="false">IF($K386="","",IF(INDEX('Prospect Tracker'!$R$5:$R$554,$K386)="","",INDEX('Prospect Tracker'!$R$5:$R$554,$K386)))</f>
        <v/>
      </c>
      <c r="F386" s="11" t="str">
        <f aca="false">IF($K386="","",IF(INDEX('Prospect Tracker'!$J$5:$J$554,$K386)="","",INDEX('Prospect Tracker'!$J$5:$J$554,$K386)))</f>
        <v/>
      </c>
      <c r="G386" s="11" t="str">
        <f aca="false">IF($K386="","",IF(INDEX('Prospect Tracker'!$H$5:$H$554,$K386)="","",INDEX('Prospect Tracker'!$H$5:$H$554,$K386)))</f>
        <v/>
      </c>
      <c r="H386" s="12" t="str">
        <f aca="false">IF($K386="","",IF(INDEX('Prospect Tracker'!$K$5:$K$554,$K386)="","",INDEX('Prospect Tracker'!$K$5:$K$554,$K386)))</f>
        <v/>
      </c>
      <c r="I386" s="11" t="str">
        <f aca="false">IF($K386="","",IF(INDEX('Prospect Tracker'!$T$5:$T$554,$K386)="","",INDEX('Prospect Tracker'!$T$5:$T$554,$K386)))</f>
        <v/>
      </c>
      <c r="J386" s="11" t="str">
        <f aca="false">IF($K386="","",IF(INDEX('Prospect Tracker'!$L$5:$L$554,$K386)="","",INDEX('Prospect Tracker'!$L$5:$L$554,$K386)))</f>
        <v/>
      </c>
      <c r="K386" s="1" t="n">
        <f aca="false">IFERROR(MATCH(SMALL('Prospect Tracker'!$X$5:$X$554,ROW()-4),'Prospect Tracker'!$X$5:$X$554,0),"")</f>
        <v>382</v>
      </c>
    </row>
    <row r="387" customFormat="false" ht="15" hidden="false" customHeight="true" outlineLevel="0" collapsed="false">
      <c r="A387" s="6" t="str">
        <f aca="false">IF($K387="","",IF(INDEX('Prospect Tracker'!$W$5:$W$554,$K387)="","",INDEX('Prospect Tracker'!$W$5:$W$554,$K387)))</f>
        <v/>
      </c>
      <c r="B387" s="6" t="str">
        <f aca="false">IF($K387="","",IF(INDEX('Prospect Tracker'!$A$5:$A$554,$K387)="","",INDEX('Prospect Tracker'!$A$5:$A$554,$K387)))</f>
        <v/>
      </c>
      <c r="C387" s="6" t="str">
        <f aca="false">IF($K387="","",IF(INDEX('Prospect Tracker'!$B$5:$B$554,$K387)="","",INDEX('Prospect Tracker'!$B$5:$B$554,$K387)))</f>
        <v/>
      </c>
      <c r="D387" s="6" t="str">
        <f aca="false">IF($K387="","",IF(INDEX('Prospect Tracker'!$M$5:$M$554,$K387)="","",INDEX('Prospect Tracker'!$M$5:$M$554,$K387)))</f>
        <v/>
      </c>
      <c r="E387" s="6" t="str">
        <f aca="false">IF($K387="","",IF(INDEX('Prospect Tracker'!$R$5:$R$554,$K387)="","",INDEX('Prospect Tracker'!$R$5:$R$554,$K387)))</f>
        <v/>
      </c>
      <c r="F387" s="6" t="str">
        <f aca="false">IF($K387="","",IF(INDEX('Prospect Tracker'!$J$5:$J$554,$K387)="","",INDEX('Prospect Tracker'!$J$5:$J$554,$K387)))</f>
        <v/>
      </c>
      <c r="G387" s="6" t="str">
        <f aca="false">IF($K387="","",IF(INDEX('Prospect Tracker'!$H$5:$H$554,$K387)="","",INDEX('Prospect Tracker'!$H$5:$H$554,$K387)))</f>
        <v/>
      </c>
      <c r="H387" s="7" t="str">
        <f aca="false">IF($K387="","",IF(INDEX('Prospect Tracker'!$K$5:$K$554,$K387)="","",INDEX('Prospect Tracker'!$K$5:$K$554,$K387)))</f>
        <v/>
      </c>
      <c r="I387" s="6" t="str">
        <f aca="false">IF($K387="","",IF(INDEX('Prospect Tracker'!$T$5:$T$554,$K387)="","",INDEX('Prospect Tracker'!$T$5:$T$554,$K387)))</f>
        <v/>
      </c>
      <c r="J387" s="6" t="str">
        <f aca="false">IF($K387="","",IF(INDEX('Prospect Tracker'!$L$5:$L$554,$K387)="","",INDEX('Prospect Tracker'!$L$5:$L$554,$K387)))</f>
        <v/>
      </c>
      <c r="K387" s="1" t="n">
        <f aca="false">IFERROR(MATCH(SMALL('Prospect Tracker'!$X$5:$X$554,ROW()-4),'Prospect Tracker'!$X$5:$X$554,0),"")</f>
        <v>383</v>
      </c>
    </row>
    <row r="388" customFormat="false" ht="15" hidden="false" customHeight="true" outlineLevel="0" collapsed="false">
      <c r="A388" s="11" t="str">
        <f aca="false">IF($K388="","",IF(INDEX('Prospect Tracker'!$W$5:$W$554,$K388)="","",INDEX('Prospect Tracker'!$W$5:$W$554,$K388)))</f>
        <v/>
      </c>
      <c r="B388" s="11" t="str">
        <f aca="false">IF($K388="","",IF(INDEX('Prospect Tracker'!$A$5:$A$554,$K388)="","",INDEX('Prospect Tracker'!$A$5:$A$554,$K388)))</f>
        <v/>
      </c>
      <c r="C388" s="11" t="str">
        <f aca="false">IF($K388="","",IF(INDEX('Prospect Tracker'!$B$5:$B$554,$K388)="","",INDEX('Prospect Tracker'!$B$5:$B$554,$K388)))</f>
        <v/>
      </c>
      <c r="D388" s="11" t="str">
        <f aca="false">IF($K388="","",IF(INDEX('Prospect Tracker'!$M$5:$M$554,$K388)="","",INDEX('Prospect Tracker'!$M$5:$M$554,$K388)))</f>
        <v/>
      </c>
      <c r="E388" s="11" t="str">
        <f aca="false">IF($K388="","",IF(INDEX('Prospect Tracker'!$R$5:$R$554,$K388)="","",INDEX('Prospect Tracker'!$R$5:$R$554,$K388)))</f>
        <v/>
      </c>
      <c r="F388" s="11" t="str">
        <f aca="false">IF($K388="","",IF(INDEX('Prospect Tracker'!$J$5:$J$554,$K388)="","",INDEX('Prospect Tracker'!$J$5:$J$554,$K388)))</f>
        <v/>
      </c>
      <c r="G388" s="11" t="str">
        <f aca="false">IF($K388="","",IF(INDEX('Prospect Tracker'!$H$5:$H$554,$K388)="","",INDEX('Prospect Tracker'!$H$5:$H$554,$K388)))</f>
        <v/>
      </c>
      <c r="H388" s="12" t="str">
        <f aca="false">IF($K388="","",IF(INDEX('Prospect Tracker'!$K$5:$K$554,$K388)="","",INDEX('Prospect Tracker'!$K$5:$K$554,$K388)))</f>
        <v/>
      </c>
      <c r="I388" s="11" t="str">
        <f aca="false">IF($K388="","",IF(INDEX('Prospect Tracker'!$T$5:$T$554,$K388)="","",INDEX('Prospect Tracker'!$T$5:$T$554,$K388)))</f>
        <v/>
      </c>
      <c r="J388" s="11" t="str">
        <f aca="false">IF($K388="","",IF(INDEX('Prospect Tracker'!$L$5:$L$554,$K388)="","",INDEX('Prospect Tracker'!$L$5:$L$554,$K388)))</f>
        <v/>
      </c>
      <c r="K388" s="1" t="n">
        <f aca="false">IFERROR(MATCH(SMALL('Prospect Tracker'!$X$5:$X$554,ROW()-4),'Prospect Tracker'!$X$5:$X$554,0),"")</f>
        <v>384</v>
      </c>
    </row>
    <row r="389" customFormat="false" ht="15" hidden="false" customHeight="true" outlineLevel="0" collapsed="false">
      <c r="A389" s="6" t="str">
        <f aca="false">IF($K389="","",IF(INDEX('Prospect Tracker'!$W$5:$W$554,$K389)="","",INDEX('Prospect Tracker'!$W$5:$W$554,$K389)))</f>
        <v/>
      </c>
      <c r="B389" s="6" t="str">
        <f aca="false">IF($K389="","",IF(INDEX('Prospect Tracker'!$A$5:$A$554,$K389)="","",INDEX('Prospect Tracker'!$A$5:$A$554,$K389)))</f>
        <v/>
      </c>
      <c r="C389" s="6" t="str">
        <f aca="false">IF($K389="","",IF(INDEX('Prospect Tracker'!$B$5:$B$554,$K389)="","",INDEX('Prospect Tracker'!$B$5:$B$554,$K389)))</f>
        <v/>
      </c>
      <c r="D389" s="6" t="str">
        <f aca="false">IF($K389="","",IF(INDEX('Prospect Tracker'!$M$5:$M$554,$K389)="","",INDEX('Prospect Tracker'!$M$5:$M$554,$K389)))</f>
        <v/>
      </c>
      <c r="E389" s="6" t="str">
        <f aca="false">IF($K389="","",IF(INDEX('Prospect Tracker'!$R$5:$R$554,$K389)="","",INDEX('Prospect Tracker'!$R$5:$R$554,$K389)))</f>
        <v/>
      </c>
      <c r="F389" s="6" t="str">
        <f aca="false">IF($K389="","",IF(INDEX('Prospect Tracker'!$J$5:$J$554,$K389)="","",INDEX('Prospect Tracker'!$J$5:$J$554,$K389)))</f>
        <v/>
      </c>
      <c r="G389" s="6" t="str">
        <f aca="false">IF($K389="","",IF(INDEX('Prospect Tracker'!$H$5:$H$554,$K389)="","",INDEX('Prospect Tracker'!$H$5:$H$554,$K389)))</f>
        <v/>
      </c>
      <c r="H389" s="7" t="str">
        <f aca="false">IF($K389="","",IF(INDEX('Prospect Tracker'!$K$5:$K$554,$K389)="","",INDEX('Prospect Tracker'!$K$5:$K$554,$K389)))</f>
        <v/>
      </c>
      <c r="I389" s="6" t="str">
        <f aca="false">IF($K389="","",IF(INDEX('Prospect Tracker'!$T$5:$T$554,$K389)="","",INDEX('Prospect Tracker'!$T$5:$T$554,$K389)))</f>
        <v/>
      </c>
      <c r="J389" s="6" t="str">
        <f aca="false">IF($K389="","",IF(INDEX('Prospect Tracker'!$L$5:$L$554,$K389)="","",INDEX('Prospect Tracker'!$L$5:$L$554,$K389)))</f>
        <v/>
      </c>
      <c r="K389" s="1" t="n">
        <f aca="false">IFERROR(MATCH(SMALL('Prospect Tracker'!$X$5:$X$554,ROW()-4),'Prospect Tracker'!$X$5:$X$554,0),"")</f>
        <v>385</v>
      </c>
    </row>
    <row r="390" customFormat="false" ht="15" hidden="false" customHeight="true" outlineLevel="0" collapsed="false">
      <c r="A390" s="11" t="str">
        <f aca="false">IF($K390="","",IF(INDEX('Prospect Tracker'!$W$5:$W$554,$K390)="","",INDEX('Prospect Tracker'!$W$5:$W$554,$K390)))</f>
        <v/>
      </c>
      <c r="B390" s="11" t="str">
        <f aca="false">IF($K390="","",IF(INDEX('Prospect Tracker'!$A$5:$A$554,$K390)="","",INDEX('Prospect Tracker'!$A$5:$A$554,$K390)))</f>
        <v/>
      </c>
      <c r="C390" s="11" t="str">
        <f aca="false">IF($K390="","",IF(INDEX('Prospect Tracker'!$B$5:$B$554,$K390)="","",INDEX('Prospect Tracker'!$B$5:$B$554,$K390)))</f>
        <v/>
      </c>
      <c r="D390" s="11" t="str">
        <f aca="false">IF($K390="","",IF(INDEX('Prospect Tracker'!$M$5:$M$554,$K390)="","",INDEX('Prospect Tracker'!$M$5:$M$554,$K390)))</f>
        <v/>
      </c>
      <c r="E390" s="11" t="str">
        <f aca="false">IF($K390="","",IF(INDEX('Prospect Tracker'!$R$5:$R$554,$K390)="","",INDEX('Prospect Tracker'!$R$5:$R$554,$K390)))</f>
        <v/>
      </c>
      <c r="F390" s="11" t="str">
        <f aca="false">IF($K390="","",IF(INDEX('Prospect Tracker'!$J$5:$J$554,$K390)="","",INDEX('Prospect Tracker'!$J$5:$J$554,$K390)))</f>
        <v/>
      </c>
      <c r="G390" s="11" t="str">
        <f aca="false">IF($K390="","",IF(INDEX('Prospect Tracker'!$H$5:$H$554,$K390)="","",INDEX('Prospect Tracker'!$H$5:$H$554,$K390)))</f>
        <v/>
      </c>
      <c r="H390" s="12" t="str">
        <f aca="false">IF($K390="","",IF(INDEX('Prospect Tracker'!$K$5:$K$554,$K390)="","",INDEX('Prospect Tracker'!$K$5:$K$554,$K390)))</f>
        <v/>
      </c>
      <c r="I390" s="11" t="str">
        <f aca="false">IF($K390="","",IF(INDEX('Prospect Tracker'!$T$5:$T$554,$K390)="","",INDEX('Prospect Tracker'!$T$5:$T$554,$K390)))</f>
        <v/>
      </c>
      <c r="J390" s="11" t="str">
        <f aca="false">IF($K390="","",IF(INDEX('Prospect Tracker'!$L$5:$L$554,$K390)="","",INDEX('Prospect Tracker'!$L$5:$L$554,$K390)))</f>
        <v/>
      </c>
      <c r="K390" s="1" t="n">
        <f aca="false">IFERROR(MATCH(SMALL('Prospect Tracker'!$X$5:$X$554,ROW()-4),'Prospect Tracker'!$X$5:$X$554,0),"")</f>
        <v>386</v>
      </c>
    </row>
    <row r="391" customFormat="false" ht="15" hidden="false" customHeight="true" outlineLevel="0" collapsed="false">
      <c r="A391" s="6" t="str">
        <f aca="false">IF($K391="","",IF(INDEX('Prospect Tracker'!$W$5:$W$554,$K391)="","",INDEX('Prospect Tracker'!$W$5:$W$554,$K391)))</f>
        <v/>
      </c>
      <c r="B391" s="6" t="str">
        <f aca="false">IF($K391="","",IF(INDEX('Prospect Tracker'!$A$5:$A$554,$K391)="","",INDEX('Prospect Tracker'!$A$5:$A$554,$K391)))</f>
        <v/>
      </c>
      <c r="C391" s="6" t="str">
        <f aca="false">IF($K391="","",IF(INDEX('Prospect Tracker'!$B$5:$B$554,$K391)="","",INDEX('Prospect Tracker'!$B$5:$B$554,$K391)))</f>
        <v/>
      </c>
      <c r="D391" s="6" t="str">
        <f aca="false">IF($K391="","",IF(INDEX('Prospect Tracker'!$M$5:$M$554,$K391)="","",INDEX('Prospect Tracker'!$M$5:$M$554,$K391)))</f>
        <v/>
      </c>
      <c r="E391" s="6" t="str">
        <f aca="false">IF($K391="","",IF(INDEX('Prospect Tracker'!$R$5:$R$554,$K391)="","",INDEX('Prospect Tracker'!$R$5:$R$554,$K391)))</f>
        <v/>
      </c>
      <c r="F391" s="6" t="str">
        <f aca="false">IF($K391="","",IF(INDEX('Prospect Tracker'!$J$5:$J$554,$K391)="","",INDEX('Prospect Tracker'!$J$5:$J$554,$K391)))</f>
        <v/>
      </c>
      <c r="G391" s="6" t="str">
        <f aca="false">IF($K391="","",IF(INDEX('Prospect Tracker'!$H$5:$H$554,$K391)="","",INDEX('Prospect Tracker'!$H$5:$H$554,$K391)))</f>
        <v/>
      </c>
      <c r="H391" s="7" t="str">
        <f aca="false">IF($K391="","",IF(INDEX('Prospect Tracker'!$K$5:$K$554,$K391)="","",INDEX('Prospect Tracker'!$K$5:$K$554,$K391)))</f>
        <v/>
      </c>
      <c r="I391" s="6" t="str">
        <f aca="false">IF($K391="","",IF(INDEX('Prospect Tracker'!$T$5:$T$554,$K391)="","",INDEX('Prospect Tracker'!$T$5:$T$554,$K391)))</f>
        <v/>
      </c>
      <c r="J391" s="6" t="str">
        <f aca="false">IF($K391="","",IF(INDEX('Prospect Tracker'!$L$5:$L$554,$K391)="","",INDEX('Prospect Tracker'!$L$5:$L$554,$K391)))</f>
        <v/>
      </c>
      <c r="K391" s="1" t="n">
        <f aca="false">IFERROR(MATCH(SMALL('Prospect Tracker'!$X$5:$X$554,ROW()-4),'Prospect Tracker'!$X$5:$X$554,0),"")</f>
        <v>387</v>
      </c>
    </row>
    <row r="392" customFormat="false" ht="15" hidden="false" customHeight="true" outlineLevel="0" collapsed="false">
      <c r="A392" s="11" t="str">
        <f aca="false">IF($K392="","",IF(INDEX('Prospect Tracker'!$W$5:$W$554,$K392)="","",INDEX('Prospect Tracker'!$W$5:$W$554,$K392)))</f>
        <v/>
      </c>
      <c r="B392" s="11" t="str">
        <f aca="false">IF($K392="","",IF(INDEX('Prospect Tracker'!$A$5:$A$554,$K392)="","",INDEX('Prospect Tracker'!$A$5:$A$554,$K392)))</f>
        <v/>
      </c>
      <c r="C392" s="11" t="str">
        <f aca="false">IF($K392="","",IF(INDEX('Prospect Tracker'!$B$5:$B$554,$K392)="","",INDEX('Prospect Tracker'!$B$5:$B$554,$K392)))</f>
        <v/>
      </c>
      <c r="D392" s="11" t="str">
        <f aca="false">IF($K392="","",IF(INDEX('Prospect Tracker'!$M$5:$M$554,$K392)="","",INDEX('Prospect Tracker'!$M$5:$M$554,$K392)))</f>
        <v/>
      </c>
      <c r="E392" s="11" t="str">
        <f aca="false">IF($K392="","",IF(INDEX('Prospect Tracker'!$R$5:$R$554,$K392)="","",INDEX('Prospect Tracker'!$R$5:$R$554,$K392)))</f>
        <v/>
      </c>
      <c r="F392" s="11" t="str">
        <f aca="false">IF($K392="","",IF(INDEX('Prospect Tracker'!$J$5:$J$554,$K392)="","",INDEX('Prospect Tracker'!$J$5:$J$554,$K392)))</f>
        <v/>
      </c>
      <c r="G392" s="11" t="str">
        <f aca="false">IF($K392="","",IF(INDEX('Prospect Tracker'!$H$5:$H$554,$K392)="","",INDEX('Prospect Tracker'!$H$5:$H$554,$K392)))</f>
        <v/>
      </c>
      <c r="H392" s="12" t="str">
        <f aca="false">IF($K392="","",IF(INDEX('Prospect Tracker'!$K$5:$K$554,$K392)="","",INDEX('Prospect Tracker'!$K$5:$K$554,$K392)))</f>
        <v/>
      </c>
      <c r="I392" s="11" t="str">
        <f aca="false">IF($K392="","",IF(INDEX('Prospect Tracker'!$T$5:$T$554,$K392)="","",INDEX('Prospect Tracker'!$T$5:$T$554,$K392)))</f>
        <v/>
      </c>
      <c r="J392" s="11" t="str">
        <f aca="false">IF($K392="","",IF(INDEX('Prospect Tracker'!$L$5:$L$554,$K392)="","",INDEX('Prospect Tracker'!$L$5:$L$554,$K392)))</f>
        <v/>
      </c>
      <c r="K392" s="1" t="n">
        <f aca="false">IFERROR(MATCH(SMALL('Prospect Tracker'!$X$5:$X$554,ROW()-4),'Prospect Tracker'!$X$5:$X$554,0),"")</f>
        <v>388</v>
      </c>
    </row>
    <row r="393" customFormat="false" ht="15" hidden="false" customHeight="true" outlineLevel="0" collapsed="false">
      <c r="A393" s="6" t="str">
        <f aca="false">IF($K393="","",IF(INDEX('Prospect Tracker'!$W$5:$W$554,$K393)="","",INDEX('Prospect Tracker'!$W$5:$W$554,$K393)))</f>
        <v/>
      </c>
      <c r="B393" s="6" t="str">
        <f aca="false">IF($K393="","",IF(INDEX('Prospect Tracker'!$A$5:$A$554,$K393)="","",INDEX('Prospect Tracker'!$A$5:$A$554,$K393)))</f>
        <v/>
      </c>
      <c r="C393" s="6" t="str">
        <f aca="false">IF($K393="","",IF(INDEX('Prospect Tracker'!$B$5:$B$554,$K393)="","",INDEX('Prospect Tracker'!$B$5:$B$554,$K393)))</f>
        <v/>
      </c>
      <c r="D393" s="6" t="str">
        <f aca="false">IF($K393="","",IF(INDEX('Prospect Tracker'!$M$5:$M$554,$K393)="","",INDEX('Prospect Tracker'!$M$5:$M$554,$K393)))</f>
        <v/>
      </c>
      <c r="E393" s="6" t="str">
        <f aca="false">IF($K393="","",IF(INDEX('Prospect Tracker'!$R$5:$R$554,$K393)="","",INDEX('Prospect Tracker'!$R$5:$R$554,$K393)))</f>
        <v/>
      </c>
      <c r="F393" s="6" t="str">
        <f aca="false">IF($K393="","",IF(INDEX('Prospect Tracker'!$J$5:$J$554,$K393)="","",INDEX('Prospect Tracker'!$J$5:$J$554,$K393)))</f>
        <v/>
      </c>
      <c r="G393" s="6" t="str">
        <f aca="false">IF($K393="","",IF(INDEX('Prospect Tracker'!$H$5:$H$554,$K393)="","",INDEX('Prospect Tracker'!$H$5:$H$554,$K393)))</f>
        <v/>
      </c>
      <c r="H393" s="7" t="str">
        <f aca="false">IF($K393="","",IF(INDEX('Prospect Tracker'!$K$5:$K$554,$K393)="","",INDEX('Prospect Tracker'!$K$5:$K$554,$K393)))</f>
        <v/>
      </c>
      <c r="I393" s="6" t="str">
        <f aca="false">IF($K393="","",IF(INDEX('Prospect Tracker'!$T$5:$T$554,$K393)="","",INDEX('Prospect Tracker'!$T$5:$T$554,$K393)))</f>
        <v/>
      </c>
      <c r="J393" s="6" t="str">
        <f aca="false">IF($K393="","",IF(INDEX('Prospect Tracker'!$L$5:$L$554,$K393)="","",INDEX('Prospect Tracker'!$L$5:$L$554,$K393)))</f>
        <v/>
      </c>
      <c r="K393" s="1" t="n">
        <f aca="false">IFERROR(MATCH(SMALL('Prospect Tracker'!$X$5:$X$554,ROW()-4),'Prospect Tracker'!$X$5:$X$554,0),"")</f>
        <v>389</v>
      </c>
    </row>
    <row r="394" customFormat="false" ht="15" hidden="false" customHeight="true" outlineLevel="0" collapsed="false">
      <c r="A394" s="11" t="str">
        <f aca="false">IF($K394="","",IF(INDEX('Prospect Tracker'!$W$5:$W$554,$K394)="","",INDEX('Prospect Tracker'!$W$5:$W$554,$K394)))</f>
        <v/>
      </c>
      <c r="B394" s="11" t="str">
        <f aca="false">IF($K394="","",IF(INDEX('Prospect Tracker'!$A$5:$A$554,$K394)="","",INDEX('Prospect Tracker'!$A$5:$A$554,$K394)))</f>
        <v/>
      </c>
      <c r="C394" s="11" t="str">
        <f aca="false">IF($K394="","",IF(INDEX('Prospect Tracker'!$B$5:$B$554,$K394)="","",INDEX('Prospect Tracker'!$B$5:$B$554,$K394)))</f>
        <v/>
      </c>
      <c r="D394" s="11" t="str">
        <f aca="false">IF($K394="","",IF(INDEX('Prospect Tracker'!$M$5:$M$554,$K394)="","",INDEX('Prospect Tracker'!$M$5:$M$554,$K394)))</f>
        <v/>
      </c>
      <c r="E394" s="11" t="str">
        <f aca="false">IF($K394="","",IF(INDEX('Prospect Tracker'!$R$5:$R$554,$K394)="","",INDEX('Prospect Tracker'!$R$5:$R$554,$K394)))</f>
        <v/>
      </c>
      <c r="F394" s="11" t="str">
        <f aca="false">IF($K394="","",IF(INDEX('Prospect Tracker'!$J$5:$J$554,$K394)="","",INDEX('Prospect Tracker'!$J$5:$J$554,$K394)))</f>
        <v/>
      </c>
      <c r="G394" s="11" t="str">
        <f aca="false">IF($K394="","",IF(INDEX('Prospect Tracker'!$H$5:$H$554,$K394)="","",INDEX('Prospect Tracker'!$H$5:$H$554,$K394)))</f>
        <v/>
      </c>
      <c r="H394" s="12" t="str">
        <f aca="false">IF($K394="","",IF(INDEX('Prospect Tracker'!$K$5:$K$554,$K394)="","",INDEX('Prospect Tracker'!$K$5:$K$554,$K394)))</f>
        <v/>
      </c>
      <c r="I394" s="11" t="str">
        <f aca="false">IF($K394="","",IF(INDEX('Prospect Tracker'!$T$5:$T$554,$K394)="","",INDEX('Prospect Tracker'!$T$5:$T$554,$K394)))</f>
        <v/>
      </c>
      <c r="J394" s="11" t="str">
        <f aca="false">IF($K394="","",IF(INDEX('Prospect Tracker'!$L$5:$L$554,$K394)="","",INDEX('Prospect Tracker'!$L$5:$L$554,$K394)))</f>
        <v/>
      </c>
      <c r="K394" s="1" t="n">
        <f aca="false">IFERROR(MATCH(SMALL('Prospect Tracker'!$X$5:$X$554,ROW()-4),'Prospect Tracker'!$X$5:$X$554,0),"")</f>
        <v>390</v>
      </c>
    </row>
    <row r="395" customFormat="false" ht="15" hidden="false" customHeight="true" outlineLevel="0" collapsed="false">
      <c r="A395" s="6" t="str">
        <f aca="false">IF($K395="","",IF(INDEX('Prospect Tracker'!$W$5:$W$554,$K395)="","",INDEX('Prospect Tracker'!$W$5:$W$554,$K395)))</f>
        <v/>
      </c>
      <c r="B395" s="6" t="str">
        <f aca="false">IF($K395="","",IF(INDEX('Prospect Tracker'!$A$5:$A$554,$K395)="","",INDEX('Prospect Tracker'!$A$5:$A$554,$K395)))</f>
        <v/>
      </c>
      <c r="C395" s="6" t="str">
        <f aca="false">IF($K395="","",IF(INDEX('Prospect Tracker'!$B$5:$B$554,$K395)="","",INDEX('Prospect Tracker'!$B$5:$B$554,$K395)))</f>
        <v/>
      </c>
      <c r="D395" s="6" t="str">
        <f aca="false">IF($K395="","",IF(INDEX('Prospect Tracker'!$M$5:$M$554,$K395)="","",INDEX('Prospect Tracker'!$M$5:$M$554,$K395)))</f>
        <v/>
      </c>
      <c r="E395" s="6" t="str">
        <f aca="false">IF($K395="","",IF(INDEX('Prospect Tracker'!$R$5:$R$554,$K395)="","",INDEX('Prospect Tracker'!$R$5:$R$554,$K395)))</f>
        <v/>
      </c>
      <c r="F395" s="6" t="str">
        <f aca="false">IF($K395="","",IF(INDEX('Prospect Tracker'!$J$5:$J$554,$K395)="","",INDEX('Prospect Tracker'!$J$5:$J$554,$K395)))</f>
        <v/>
      </c>
      <c r="G395" s="6" t="str">
        <f aca="false">IF($K395="","",IF(INDEX('Prospect Tracker'!$H$5:$H$554,$K395)="","",INDEX('Prospect Tracker'!$H$5:$H$554,$K395)))</f>
        <v/>
      </c>
      <c r="H395" s="7" t="str">
        <f aca="false">IF($K395="","",IF(INDEX('Prospect Tracker'!$K$5:$K$554,$K395)="","",INDEX('Prospect Tracker'!$K$5:$K$554,$K395)))</f>
        <v/>
      </c>
      <c r="I395" s="6" t="str">
        <f aca="false">IF($K395="","",IF(INDEX('Prospect Tracker'!$T$5:$T$554,$K395)="","",INDEX('Prospect Tracker'!$T$5:$T$554,$K395)))</f>
        <v/>
      </c>
      <c r="J395" s="6" t="str">
        <f aca="false">IF($K395="","",IF(INDEX('Prospect Tracker'!$L$5:$L$554,$K395)="","",INDEX('Prospect Tracker'!$L$5:$L$554,$K395)))</f>
        <v/>
      </c>
      <c r="K395" s="1" t="n">
        <f aca="false">IFERROR(MATCH(SMALL('Prospect Tracker'!$X$5:$X$554,ROW()-4),'Prospect Tracker'!$X$5:$X$554,0),"")</f>
        <v>391</v>
      </c>
    </row>
    <row r="396" customFormat="false" ht="15" hidden="false" customHeight="true" outlineLevel="0" collapsed="false">
      <c r="A396" s="11" t="str">
        <f aca="false">IF($K396="","",IF(INDEX('Prospect Tracker'!$W$5:$W$554,$K396)="","",INDEX('Prospect Tracker'!$W$5:$W$554,$K396)))</f>
        <v/>
      </c>
      <c r="B396" s="11" t="str">
        <f aca="false">IF($K396="","",IF(INDEX('Prospect Tracker'!$A$5:$A$554,$K396)="","",INDEX('Prospect Tracker'!$A$5:$A$554,$K396)))</f>
        <v/>
      </c>
      <c r="C396" s="11" t="str">
        <f aca="false">IF($K396="","",IF(INDEX('Prospect Tracker'!$B$5:$B$554,$K396)="","",INDEX('Prospect Tracker'!$B$5:$B$554,$K396)))</f>
        <v/>
      </c>
      <c r="D396" s="11" t="str">
        <f aca="false">IF($K396="","",IF(INDEX('Prospect Tracker'!$M$5:$M$554,$K396)="","",INDEX('Prospect Tracker'!$M$5:$M$554,$K396)))</f>
        <v/>
      </c>
      <c r="E396" s="11" t="str">
        <f aca="false">IF($K396="","",IF(INDEX('Prospect Tracker'!$R$5:$R$554,$K396)="","",INDEX('Prospect Tracker'!$R$5:$R$554,$K396)))</f>
        <v/>
      </c>
      <c r="F396" s="11" t="str">
        <f aca="false">IF($K396="","",IF(INDEX('Prospect Tracker'!$J$5:$J$554,$K396)="","",INDEX('Prospect Tracker'!$J$5:$J$554,$K396)))</f>
        <v/>
      </c>
      <c r="G396" s="11" t="str">
        <f aca="false">IF($K396="","",IF(INDEX('Prospect Tracker'!$H$5:$H$554,$K396)="","",INDEX('Prospect Tracker'!$H$5:$H$554,$K396)))</f>
        <v/>
      </c>
      <c r="H396" s="12" t="str">
        <f aca="false">IF($K396="","",IF(INDEX('Prospect Tracker'!$K$5:$K$554,$K396)="","",INDEX('Prospect Tracker'!$K$5:$K$554,$K396)))</f>
        <v/>
      </c>
      <c r="I396" s="11" t="str">
        <f aca="false">IF($K396="","",IF(INDEX('Prospect Tracker'!$T$5:$T$554,$K396)="","",INDEX('Prospect Tracker'!$T$5:$T$554,$K396)))</f>
        <v/>
      </c>
      <c r="J396" s="11" t="str">
        <f aca="false">IF($K396="","",IF(INDEX('Prospect Tracker'!$L$5:$L$554,$K396)="","",INDEX('Prospect Tracker'!$L$5:$L$554,$K396)))</f>
        <v/>
      </c>
      <c r="K396" s="1" t="n">
        <f aca="false">IFERROR(MATCH(SMALL('Prospect Tracker'!$X$5:$X$554,ROW()-4),'Prospect Tracker'!$X$5:$X$554,0),"")</f>
        <v>392</v>
      </c>
    </row>
    <row r="397" customFormat="false" ht="15" hidden="false" customHeight="true" outlineLevel="0" collapsed="false">
      <c r="A397" s="6" t="str">
        <f aca="false">IF($K397="","",IF(INDEX('Prospect Tracker'!$W$5:$W$554,$K397)="","",INDEX('Prospect Tracker'!$W$5:$W$554,$K397)))</f>
        <v/>
      </c>
      <c r="B397" s="6" t="str">
        <f aca="false">IF($K397="","",IF(INDEX('Prospect Tracker'!$A$5:$A$554,$K397)="","",INDEX('Prospect Tracker'!$A$5:$A$554,$K397)))</f>
        <v/>
      </c>
      <c r="C397" s="6" t="str">
        <f aca="false">IF($K397="","",IF(INDEX('Prospect Tracker'!$B$5:$B$554,$K397)="","",INDEX('Prospect Tracker'!$B$5:$B$554,$K397)))</f>
        <v/>
      </c>
      <c r="D397" s="6" t="str">
        <f aca="false">IF($K397="","",IF(INDEX('Prospect Tracker'!$M$5:$M$554,$K397)="","",INDEX('Prospect Tracker'!$M$5:$M$554,$K397)))</f>
        <v/>
      </c>
      <c r="E397" s="6" t="str">
        <f aca="false">IF($K397="","",IF(INDEX('Prospect Tracker'!$R$5:$R$554,$K397)="","",INDEX('Prospect Tracker'!$R$5:$R$554,$K397)))</f>
        <v/>
      </c>
      <c r="F397" s="6" t="str">
        <f aca="false">IF($K397="","",IF(INDEX('Prospect Tracker'!$J$5:$J$554,$K397)="","",INDEX('Prospect Tracker'!$J$5:$J$554,$K397)))</f>
        <v/>
      </c>
      <c r="G397" s="6" t="str">
        <f aca="false">IF($K397="","",IF(INDEX('Prospect Tracker'!$H$5:$H$554,$K397)="","",INDEX('Prospect Tracker'!$H$5:$H$554,$K397)))</f>
        <v/>
      </c>
      <c r="H397" s="7" t="str">
        <f aca="false">IF($K397="","",IF(INDEX('Prospect Tracker'!$K$5:$K$554,$K397)="","",INDEX('Prospect Tracker'!$K$5:$K$554,$K397)))</f>
        <v/>
      </c>
      <c r="I397" s="6" t="str">
        <f aca="false">IF($K397="","",IF(INDEX('Prospect Tracker'!$T$5:$T$554,$K397)="","",INDEX('Prospect Tracker'!$T$5:$T$554,$K397)))</f>
        <v/>
      </c>
      <c r="J397" s="6" t="str">
        <f aca="false">IF($K397="","",IF(INDEX('Prospect Tracker'!$L$5:$L$554,$K397)="","",INDEX('Prospect Tracker'!$L$5:$L$554,$K397)))</f>
        <v/>
      </c>
      <c r="K397" s="1" t="n">
        <f aca="false">IFERROR(MATCH(SMALL('Prospect Tracker'!$X$5:$X$554,ROW()-4),'Prospect Tracker'!$X$5:$X$554,0),"")</f>
        <v>393</v>
      </c>
    </row>
    <row r="398" customFormat="false" ht="15" hidden="false" customHeight="true" outlineLevel="0" collapsed="false">
      <c r="A398" s="11" t="str">
        <f aca="false">IF($K398="","",IF(INDEX('Prospect Tracker'!$W$5:$W$554,$K398)="","",INDEX('Prospect Tracker'!$W$5:$W$554,$K398)))</f>
        <v/>
      </c>
      <c r="B398" s="11" t="str">
        <f aca="false">IF($K398="","",IF(INDEX('Prospect Tracker'!$A$5:$A$554,$K398)="","",INDEX('Prospect Tracker'!$A$5:$A$554,$K398)))</f>
        <v/>
      </c>
      <c r="C398" s="11" t="str">
        <f aca="false">IF($K398="","",IF(INDEX('Prospect Tracker'!$B$5:$B$554,$K398)="","",INDEX('Prospect Tracker'!$B$5:$B$554,$K398)))</f>
        <v/>
      </c>
      <c r="D398" s="11" t="str">
        <f aca="false">IF($K398="","",IF(INDEX('Prospect Tracker'!$M$5:$M$554,$K398)="","",INDEX('Prospect Tracker'!$M$5:$M$554,$K398)))</f>
        <v/>
      </c>
      <c r="E398" s="11" t="str">
        <f aca="false">IF($K398="","",IF(INDEX('Prospect Tracker'!$R$5:$R$554,$K398)="","",INDEX('Prospect Tracker'!$R$5:$R$554,$K398)))</f>
        <v/>
      </c>
      <c r="F398" s="11" t="str">
        <f aca="false">IF($K398="","",IF(INDEX('Prospect Tracker'!$J$5:$J$554,$K398)="","",INDEX('Prospect Tracker'!$J$5:$J$554,$K398)))</f>
        <v/>
      </c>
      <c r="G398" s="11" t="str">
        <f aca="false">IF($K398="","",IF(INDEX('Prospect Tracker'!$H$5:$H$554,$K398)="","",INDEX('Prospect Tracker'!$H$5:$H$554,$K398)))</f>
        <v/>
      </c>
      <c r="H398" s="12" t="str">
        <f aca="false">IF($K398="","",IF(INDEX('Prospect Tracker'!$K$5:$K$554,$K398)="","",INDEX('Prospect Tracker'!$K$5:$K$554,$K398)))</f>
        <v/>
      </c>
      <c r="I398" s="11" t="str">
        <f aca="false">IF($K398="","",IF(INDEX('Prospect Tracker'!$T$5:$T$554,$K398)="","",INDEX('Prospect Tracker'!$T$5:$T$554,$K398)))</f>
        <v/>
      </c>
      <c r="J398" s="11" t="str">
        <f aca="false">IF($K398="","",IF(INDEX('Prospect Tracker'!$L$5:$L$554,$K398)="","",INDEX('Prospect Tracker'!$L$5:$L$554,$K398)))</f>
        <v/>
      </c>
      <c r="K398" s="1" t="n">
        <f aca="false">IFERROR(MATCH(SMALL('Prospect Tracker'!$X$5:$X$554,ROW()-4),'Prospect Tracker'!$X$5:$X$554,0),"")</f>
        <v>394</v>
      </c>
    </row>
    <row r="399" customFormat="false" ht="15" hidden="false" customHeight="true" outlineLevel="0" collapsed="false">
      <c r="A399" s="6" t="str">
        <f aca="false">IF($K399="","",IF(INDEX('Prospect Tracker'!$W$5:$W$554,$K399)="","",INDEX('Prospect Tracker'!$W$5:$W$554,$K399)))</f>
        <v/>
      </c>
      <c r="B399" s="6" t="str">
        <f aca="false">IF($K399="","",IF(INDEX('Prospect Tracker'!$A$5:$A$554,$K399)="","",INDEX('Prospect Tracker'!$A$5:$A$554,$K399)))</f>
        <v/>
      </c>
      <c r="C399" s="6" t="str">
        <f aca="false">IF($K399="","",IF(INDEX('Prospect Tracker'!$B$5:$B$554,$K399)="","",INDEX('Prospect Tracker'!$B$5:$B$554,$K399)))</f>
        <v/>
      </c>
      <c r="D399" s="6" t="str">
        <f aca="false">IF($K399="","",IF(INDEX('Prospect Tracker'!$M$5:$M$554,$K399)="","",INDEX('Prospect Tracker'!$M$5:$M$554,$K399)))</f>
        <v/>
      </c>
      <c r="E399" s="6" t="str">
        <f aca="false">IF($K399="","",IF(INDEX('Prospect Tracker'!$R$5:$R$554,$K399)="","",INDEX('Prospect Tracker'!$R$5:$R$554,$K399)))</f>
        <v/>
      </c>
      <c r="F399" s="6" t="str">
        <f aca="false">IF($K399="","",IF(INDEX('Prospect Tracker'!$J$5:$J$554,$K399)="","",INDEX('Prospect Tracker'!$J$5:$J$554,$K399)))</f>
        <v/>
      </c>
      <c r="G399" s="6" t="str">
        <f aca="false">IF($K399="","",IF(INDEX('Prospect Tracker'!$H$5:$H$554,$K399)="","",INDEX('Prospect Tracker'!$H$5:$H$554,$K399)))</f>
        <v/>
      </c>
      <c r="H399" s="7" t="str">
        <f aca="false">IF($K399="","",IF(INDEX('Prospect Tracker'!$K$5:$K$554,$K399)="","",INDEX('Prospect Tracker'!$K$5:$K$554,$K399)))</f>
        <v/>
      </c>
      <c r="I399" s="6" t="str">
        <f aca="false">IF($K399="","",IF(INDEX('Prospect Tracker'!$T$5:$T$554,$K399)="","",INDEX('Prospect Tracker'!$T$5:$T$554,$K399)))</f>
        <v/>
      </c>
      <c r="J399" s="6" t="str">
        <f aca="false">IF($K399="","",IF(INDEX('Prospect Tracker'!$L$5:$L$554,$K399)="","",INDEX('Prospect Tracker'!$L$5:$L$554,$K399)))</f>
        <v/>
      </c>
      <c r="K399" s="1" t="n">
        <f aca="false">IFERROR(MATCH(SMALL('Prospect Tracker'!$X$5:$X$554,ROW()-4),'Prospect Tracker'!$X$5:$X$554,0),"")</f>
        <v>395</v>
      </c>
    </row>
    <row r="400" customFormat="false" ht="15" hidden="false" customHeight="true" outlineLevel="0" collapsed="false">
      <c r="A400" s="11" t="str">
        <f aca="false">IF($K400="","",IF(INDEX('Prospect Tracker'!$W$5:$W$554,$K400)="","",INDEX('Prospect Tracker'!$W$5:$W$554,$K400)))</f>
        <v/>
      </c>
      <c r="B400" s="11" t="str">
        <f aca="false">IF($K400="","",IF(INDEX('Prospect Tracker'!$A$5:$A$554,$K400)="","",INDEX('Prospect Tracker'!$A$5:$A$554,$K400)))</f>
        <v/>
      </c>
      <c r="C400" s="11" t="str">
        <f aca="false">IF($K400="","",IF(INDEX('Prospect Tracker'!$B$5:$B$554,$K400)="","",INDEX('Prospect Tracker'!$B$5:$B$554,$K400)))</f>
        <v/>
      </c>
      <c r="D400" s="11" t="str">
        <f aca="false">IF($K400="","",IF(INDEX('Prospect Tracker'!$M$5:$M$554,$K400)="","",INDEX('Prospect Tracker'!$M$5:$M$554,$K400)))</f>
        <v/>
      </c>
      <c r="E400" s="11" t="str">
        <f aca="false">IF($K400="","",IF(INDEX('Prospect Tracker'!$R$5:$R$554,$K400)="","",INDEX('Prospect Tracker'!$R$5:$R$554,$K400)))</f>
        <v/>
      </c>
      <c r="F400" s="11" t="str">
        <f aca="false">IF($K400="","",IF(INDEX('Prospect Tracker'!$J$5:$J$554,$K400)="","",INDEX('Prospect Tracker'!$J$5:$J$554,$K400)))</f>
        <v/>
      </c>
      <c r="G400" s="11" t="str">
        <f aca="false">IF($K400="","",IF(INDEX('Prospect Tracker'!$H$5:$H$554,$K400)="","",INDEX('Prospect Tracker'!$H$5:$H$554,$K400)))</f>
        <v/>
      </c>
      <c r="H400" s="12" t="str">
        <f aca="false">IF($K400="","",IF(INDEX('Prospect Tracker'!$K$5:$K$554,$K400)="","",INDEX('Prospect Tracker'!$K$5:$K$554,$K400)))</f>
        <v/>
      </c>
      <c r="I400" s="11" t="str">
        <f aca="false">IF($K400="","",IF(INDEX('Prospect Tracker'!$T$5:$T$554,$K400)="","",INDEX('Prospect Tracker'!$T$5:$T$554,$K400)))</f>
        <v/>
      </c>
      <c r="J400" s="11" t="str">
        <f aca="false">IF($K400="","",IF(INDEX('Prospect Tracker'!$L$5:$L$554,$K400)="","",INDEX('Prospect Tracker'!$L$5:$L$554,$K400)))</f>
        <v/>
      </c>
      <c r="K400" s="1" t="n">
        <f aca="false">IFERROR(MATCH(SMALL('Prospect Tracker'!$X$5:$X$554,ROW()-4),'Prospect Tracker'!$X$5:$X$554,0),"")</f>
        <v>396</v>
      </c>
    </row>
    <row r="401" customFormat="false" ht="15" hidden="false" customHeight="true" outlineLevel="0" collapsed="false">
      <c r="A401" s="6" t="str">
        <f aca="false">IF($K401="","",IF(INDEX('Prospect Tracker'!$W$5:$W$554,$K401)="","",INDEX('Prospect Tracker'!$W$5:$W$554,$K401)))</f>
        <v/>
      </c>
      <c r="B401" s="6" t="str">
        <f aca="false">IF($K401="","",IF(INDEX('Prospect Tracker'!$A$5:$A$554,$K401)="","",INDEX('Prospect Tracker'!$A$5:$A$554,$K401)))</f>
        <v/>
      </c>
      <c r="C401" s="6" t="str">
        <f aca="false">IF($K401="","",IF(INDEX('Prospect Tracker'!$B$5:$B$554,$K401)="","",INDEX('Prospect Tracker'!$B$5:$B$554,$K401)))</f>
        <v/>
      </c>
      <c r="D401" s="6" t="str">
        <f aca="false">IF($K401="","",IF(INDEX('Prospect Tracker'!$M$5:$M$554,$K401)="","",INDEX('Prospect Tracker'!$M$5:$M$554,$K401)))</f>
        <v/>
      </c>
      <c r="E401" s="6" t="str">
        <f aca="false">IF($K401="","",IF(INDEX('Prospect Tracker'!$R$5:$R$554,$K401)="","",INDEX('Prospect Tracker'!$R$5:$R$554,$K401)))</f>
        <v/>
      </c>
      <c r="F401" s="6" t="str">
        <f aca="false">IF($K401="","",IF(INDEX('Prospect Tracker'!$J$5:$J$554,$K401)="","",INDEX('Prospect Tracker'!$J$5:$J$554,$K401)))</f>
        <v/>
      </c>
      <c r="G401" s="6" t="str">
        <f aca="false">IF($K401="","",IF(INDEX('Prospect Tracker'!$H$5:$H$554,$K401)="","",INDEX('Prospect Tracker'!$H$5:$H$554,$K401)))</f>
        <v/>
      </c>
      <c r="H401" s="7" t="str">
        <f aca="false">IF($K401="","",IF(INDEX('Prospect Tracker'!$K$5:$K$554,$K401)="","",INDEX('Prospect Tracker'!$K$5:$K$554,$K401)))</f>
        <v/>
      </c>
      <c r="I401" s="6" t="str">
        <f aca="false">IF($K401="","",IF(INDEX('Prospect Tracker'!$T$5:$T$554,$K401)="","",INDEX('Prospect Tracker'!$T$5:$T$554,$K401)))</f>
        <v/>
      </c>
      <c r="J401" s="6" t="str">
        <f aca="false">IF($K401="","",IF(INDEX('Prospect Tracker'!$L$5:$L$554,$K401)="","",INDEX('Prospect Tracker'!$L$5:$L$554,$K401)))</f>
        <v/>
      </c>
      <c r="K401" s="1" t="n">
        <f aca="false">IFERROR(MATCH(SMALL('Prospect Tracker'!$X$5:$X$554,ROW()-4),'Prospect Tracker'!$X$5:$X$554,0),"")</f>
        <v>397</v>
      </c>
    </row>
    <row r="402" customFormat="false" ht="15" hidden="false" customHeight="true" outlineLevel="0" collapsed="false">
      <c r="A402" s="11" t="str">
        <f aca="false">IF($K402="","",IF(INDEX('Prospect Tracker'!$W$5:$W$554,$K402)="","",INDEX('Prospect Tracker'!$W$5:$W$554,$K402)))</f>
        <v/>
      </c>
      <c r="B402" s="11" t="str">
        <f aca="false">IF($K402="","",IF(INDEX('Prospect Tracker'!$A$5:$A$554,$K402)="","",INDEX('Prospect Tracker'!$A$5:$A$554,$K402)))</f>
        <v/>
      </c>
      <c r="C402" s="11" t="str">
        <f aca="false">IF($K402="","",IF(INDEX('Prospect Tracker'!$B$5:$B$554,$K402)="","",INDEX('Prospect Tracker'!$B$5:$B$554,$K402)))</f>
        <v/>
      </c>
      <c r="D402" s="11" t="str">
        <f aca="false">IF($K402="","",IF(INDEX('Prospect Tracker'!$M$5:$M$554,$K402)="","",INDEX('Prospect Tracker'!$M$5:$M$554,$K402)))</f>
        <v/>
      </c>
      <c r="E402" s="11" t="str">
        <f aca="false">IF($K402="","",IF(INDEX('Prospect Tracker'!$R$5:$R$554,$K402)="","",INDEX('Prospect Tracker'!$R$5:$R$554,$K402)))</f>
        <v/>
      </c>
      <c r="F402" s="11" t="str">
        <f aca="false">IF($K402="","",IF(INDEX('Prospect Tracker'!$J$5:$J$554,$K402)="","",INDEX('Prospect Tracker'!$J$5:$J$554,$K402)))</f>
        <v/>
      </c>
      <c r="G402" s="11" t="str">
        <f aca="false">IF($K402="","",IF(INDEX('Prospect Tracker'!$H$5:$H$554,$K402)="","",INDEX('Prospect Tracker'!$H$5:$H$554,$K402)))</f>
        <v/>
      </c>
      <c r="H402" s="12" t="str">
        <f aca="false">IF($K402="","",IF(INDEX('Prospect Tracker'!$K$5:$K$554,$K402)="","",INDEX('Prospect Tracker'!$K$5:$K$554,$K402)))</f>
        <v/>
      </c>
      <c r="I402" s="11" t="str">
        <f aca="false">IF($K402="","",IF(INDEX('Prospect Tracker'!$T$5:$T$554,$K402)="","",INDEX('Prospect Tracker'!$T$5:$T$554,$K402)))</f>
        <v/>
      </c>
      <c r="J402" s="11" t="str">
        <f aca="false">IF($K402="","",IF(INDEX('Prospect Tracker'!$L$5:$L$554,$K402)="","",INDEX('Prospect Tracker'!$L$5:$L$554,$K402)))</f>
        <v/>
      </c>
      <c r="K402" s="1" t="n">
        <f aca="false">IFERROR(MATCH(SMALL('Prospect Tracker'!$X$5:$X$554,ROW()-4),'Prospect Tracker'!$X$5:$X$554,0),"")</f>
        <v>398</v>
      </c>
    </row>
    <row r="403" customFormat="false" ht="15" hidden="false" customHeight="true" outlineLevel="0" collapsed="false">
      <c r="A403" s="6" t="str">
        <f aca="false">IF($K403="","",IF(INDEX('Prospect Tracker'!$W$5:$W$554,$K403)="","",INDEX('Prospect Tracker'!$W$5:$W$554,$K403)))</f>
        <v/>
      </c>
      <c r="B403" s="6" t="str">
        <f aca="false">IF($K403="","",IF(INDEX('Prospect Tracker'!$A$5:$A$554,$K403)="","",INDEX('Prospect Tracker'!$A$5:$A$554,$K403)))</f>
        <v/>
      </c>
      <c r="C403" s="6" t="str">
        <f aca="false">IF($K403="","",IF(INDEX('Prospect Tracker'!$B$5:$B$554,$K403)="","",INDEX('Prospect Tracker'!$B$5:$B$554,$K403)))</f>
        <v/>
      </c>
      <c r="D403" s="6" t="str">
        <f aca="false">IF($K403="","",IF(INDEX('Prospect Tracker'!$M$5:$M$554,$K403)="","",INDEX('Prospect Tracker'!$M$5:$M$554,$K403)))</f>
        <v/>
      </c>
      <c r="E403" s="6" t="str">
        <f aca="false">IF($K403="","",IF(INDEX('Prospect Tracker'!$R$5:$R$554,$K403)="","",INDEX('Prospect Tracker'!$R$5:$R$554,$K403)))</f>
        <v/>
      </c>
      <c r="F403" s="6" t="str">
        <f aca="false">IF($K403="","",IF(INDEX('Prospect Tracker'!$J$5:$J$554,$K403)="","",INDEX('Prospect Tracker'!$J$5:$J$554,$K403)))</f>
        <v/>
      </c>
      <c r="G403" s="6" t="str">
        <f aca="false">IF($K403="","",IF(INDEX('Prospect Tracker'!$H$5:$H$554,$K403)="","",INDEX('Prospect Tracker'!$H$5:$H$554,$K403)))</f>
        <v/>
      </c>
      <c r="H403" s="7" t="str">
        <f aca="false">IF($K403="","",IF(INDEX('Prospect Tracker'!$K$5:$K$554,$K403)="","",INDEX('Prospect Tracker'!$K$5:$K$554,$K403)))</f>
        <v/>
      </c>
      <c r="I403" s="6" t="str">
        <f aca="false">IF($K403="","",IF(INDEX('Prospect Tracker'!$T$5:$T$554,$K403)="","",INDEX('Prospect Tracker'!$T$5:$T$554,$K403)))</f>
        <v/>
      </c>
      <c r="J403" s="6" t="str">
        <f aca="false">IF($K403="","",IF(INDEX('Prospect Tracker'!$L$5:$L$554,$K403)="","",INDEX('Prospect Tracker'!$L$5:$L$554,$K403)))</f>
        <v/>
      </c>
      <c r="K403" s="1" t="n">
        <f aca="false">IFERROR(MATCH(SMALL('Prospect Tracker'!$X$5:$X$554,ROW()-4),'Prospect Tracker'!$X$5:$X$554,0),"")</f>
        <v>399</v>
      </c>
    </row>
    <row r="404" customFormat="false" ht="15" hidden="false" customHeight="true" outlineLevel="0" collapsed="false">
      <c r="A404" s="11" t="str">
        <f aca="false">IF($K404="","",IF(INDEX('Prospect Tracker'!$W$5:$W$554,$K404)="","",INDEX('Prospect Tracker'!$W$5:$W$554,$K404)))</f>
        <v/>
      </c>
      <c r="B404" s="11" t="str">
        <f aca="false">IF($K404="","",IF(INDEX('Prospect Tracker'!$A$5:$A$554,$K404)="","",INDEX('Prospect Tracker'!$A$5:$A$554,$K404)))</f>
        <v/>
      </c>
      <c r="C404" s="11" t="str">
        <f aca="false">IF($K404="","",IF(INDEX('Prospect Tracker'!$B$5:$B$554,$K404)="","",INDEX('Prospect Tracker'!$B$5:$B$554,$K404)))</f>
        <v/>
      </c>
      <c r="D404" s="11" t="str">
        <f aca="false">IF($K404="","",IF(INDEX('Prospect Tracker'!$M$5:$M$554,$K404)="","",INDEX('Prospect Tracker'!$M$5:$M$554,$K404)))</f>
        <v/>
      </c>
      <c r="E404" s="11" t="str">
        <f aca="false">IF($K404="","",IF(INDEX('Prospect Tracker'!$R$5:$R$554,$K404)="","",INDEX('Prospect Tracker'!$R$5:$R$554,$K404)))</f>
        <v/>
      </c>
      <c r="F404" s="11" t="str">
        <f aca="false">IF($K404="","",IF(INDEX('Prospect Tracker'!$J$5:$J$554,$K404)="","",INDEX('Prospect Tracker'!$J$5:$J$554,$K404)))</f>
        <v/>
      </c>
      <c r="G404" s="11" t="str">
        <f aca="false">IF($K404="","",IF(INDEX('Prospect Tracker'!$H$5:$H$554,$K404)="","",INDEX('Prospect Tracker'!$H$5:$H$554,$K404)))</f>
        <v/>
      </c>
      <c r="H404" s="12" t="str">
        <f aca="false">IF($K404="","",IF(INDEX('Prospect Tracker'!$K$5:$K$554,$K404)="","",INDEX('Prospect Tracker'!$K$5:$K$554,$K404)))</f>
        <v/>
      </c>
      <c r="I404" s="11" t="str">
        <f aca="false">IF($K404="","",IF(INDEX('Prospect Tracker'!$T$5:$T$554,$K404)="","",INDEX('Prospect Tracker'!$T$5:$T$554,$K404)))</f>
        <v/>
      </c>
      <c r="J404" s="11" t="str">
        <f aca="false">IF($K404="","",IF(INDEX('Prospect Tracker'!$L$5:$L$554,$K404)="","",INDEX('Prospect Tracker'!$L$5:$L$554,$K404)))</f>
        <v/>
      </c>
      <c r="K404" s="1" t="n">
        <f aca="false">IFERROR(MATCH(SMALL('Prospect Tracker'!$X$5:$X$554,ROW()-4),'Prospect Tracker'!$X$5:$X$554,0),"")</f>
        <v>400</v>
      </c>
    </row>
    <row r="405" customFormat="false" ht="15" hidden="false" customHeight="true" outlineLevel="0" collapsed="false">
      <c r="A405" s="6" t="str">
        <f aca="false">IF($K405="","",IF(INDEX('Prospect Tracker'!$W$5:$W$554,$K405)="","",INDEX('Prospect Tracker'!$W$5:$W$554,$K405)))</f>
        <v/>
      </c>
      <c r="B405" s="6" t="str">
        <f aca="false">IF($K405="","",IF(INDEX('Prospect Tracker'!$A$5:$A$554,$K405)="","",INDEX('Prospect Tracker'!$A$5:$A$554,$K405)))</f>
        <v/>
      </c>
      <c r="C405" s="6" t="str">
        <f aca="false">IF($K405="","",IF(INDEX('Prospect Tracker'!$B$5:$B$554,$K405)="","",INDEX('Prospect Tracker'!$B$5:$B$554,$K405)))</f>
        <v/>
      </c>
      <c r="D405" s="6" t="str">
        <f aca="false">IF($K405="","",IF(INDEX('Prospect Tracker'!$M$5:$M$554,$K405)="","",INDEX('Prospect Tracker'!$M$5:$M$554,$K405)))</f>
        <v/>
      </c>
      <c r="E405" s="6" t="str">
        <f aca="false">IF($K405="","",IF(INDEX('Prospect Tracker'!$R$5:$R$554,$K405)="","",INDEX('Prospect Tracker'!$R$5:$R$554,$K405)))</f>
        <v/>
      </c>
      <c r="F405" s="6" t="str">
        <f aca="false">IF($K405="","",IF(INDEX('Prospect Tracker'!$J$5:$J$554,$K405)="","",INDEX('Prospect Tracker'!$J$5:$J$554,$K405)))</f>
        <v/>
      </c>
      <c r="G405" s="6" t="str">
        <f aca="false">IF($K405="","",IF(INDEX('Prospect Tracker'!$H$5:$H$554,$K405)="","",INDEX('Prospect Tracker'!$H$5:$H$554,$K405)))</f>
        <v/>
      </c>
      <c r="H405" s="7" t="str">
        <f aca="false">IF($K405="","",IF(INDEX('Prospect Tracker'!$K$5:$K$554,$K405)="","",INDEX('Prospect Tracker'!$K$5:$K$554,$K405)))</f>
        <v/>
      </c>
      <c r="I405" s="6" t="str">
        <f aca="false">IF($K405="","",IF(INDEX('Prospect Tracker'!$T$5:$T$554,$K405)="","",INDEX('Prospect Tracker'!$T$5:$T$554,$K405)))</f>
        <v/>
      </c>
      <c r="J405" s="6" t="str">
        <f aca="false">IF($K405="","",IF(INDEX('Prospect Tracker'!$L$5:$L$554,$K405)="","",INDEX('Prospect Tracker'!$L$5:$L$554,$K405)))</f>
        <v/>
      </c>
      <c r="K405" s="1" t="n">
        <f aca="false">IFERROR(MATCH(SMALL('Prospect Tracker'!$X$5:$X$554,ROW()-4),'Prospect Tracker'!$X$5:$X$554,0),"")</f>
        <v>401</v>
      </c>
    </row>
    <row r="406" customFormat="false" ht="15" hidden="false" customHeight="true" outlineLevel="0" collapsed="false">
      <c r="A406" s="11" t="str">
        <f aca="false">IF($K406="","",IF(INDEX('Prospect Tracker'!$W$5:$W$554,$K406)="","",INDEX('Prospect Tracker'!$W$5:$W$554,$K406)))</f>
        <v/>
      </c>
      <c r="B406" s="11" t="str">
        <f aca="false">IF($K406="","",IF(INDEX('Prospect Tracker'!$A$5:$A$554,$K406)="","",INDEX('Prospect Tracker'!$A$5:$A$554,$K406)))</f>
        <v/>
      </c>
      <c r="C406" s="11" t="str">
        <f aca="false">IF($K406="","",IF(INDEX('Prospect Tracker'!$B$5:$B$554,$K406)="","",INDEX('Prospect Tracker'!$B$5:$B$554,$K406)))</f>
        <v/>
      </c>
      <c r="D406" s="11" t="str">
        <f aca="false">IF($K406="","",IF(INDEX('Prospect Tracker'!$M$5:$M$554,$K406)="","",INDEX('Prospect Tracker'!$M$5:$M$554,$K406)))</f>
        <v/>
      </c>
      <c r="E406" s="11" t="str">
        <f aca="false">IF($K406="","",IF(INDEX('Prospect Tracker'!$R$5:$R$554,$K406)="","",INDEX('Prospect Tracker'!$R$5:$R$554,$K406)))</f>
        <v/>
      </c>
      <c r="F406" s="11" t="str">
        <f aca="false">IF($K406="","",IF(INDEX('Prospect Tracker'!$J$5:$J$554,$K406)="","",INDEX('Prospect Tracker'!$J$5:$J$554,$K406)))</f>
        <v/>
      </c>
      <c r="G406" s="11" t="str">
        <f aca="false">IF($K406="","",IF(INDEX('Prospect Tracker'!$H$5:$H$554,$K406)="","",INDEX('Prospect Tracker'!$H$5:$H$554,$K406)))</f>
        <v/>
      </c>
      <c r="H406" s="12" t="str">
        <f aca="false">IF($K406="","",IF(INDEX('Prospect Tracker'!$K$5:$K$554,$K406)="","",INDEX('Prospect Tracker'!$K$5:$K$554,$K406)))</f>
        <v/>
      </c>
      <c r="I406" s="11" t="str">
        <f aca="false">IF($K406="","",IF(INDEX('Prospect Tracker'!$T$5:$T$554,$K406)="","",INDEX('Prospect Tracker'!$T$5:$T$554,$K406)))</f>
        <v/>
      </c>
      <c r="J406" s="11" t="str">
        <f aca="false">IF($K406="","",IF(INDEX('Prospect Tracker'!$L$5:$L$554,$K406)="","",INDEX('Prospect Tracker'!$L$5:$L$554,$K406)))</f>
        <v/>
      </c>
      <c r="K406" s="1" t="n">
        <f aca="false">IFERROR(MATCH(SMALL('Prospect Tracker'!$X$5:$X$554,ROW()-4),'Prospect Tracker'!$X$5:$X$554,0),"")</f>
        <v>402</v>
      </c>
    </row>
    <row r="407" customFormat="false" ht="15" hidden="false" customHeight="true" outlineLevel="0" collapsed="false">
      <c r="A407" s="6" t="str">
        <f aca="false">IF($K407="","",IF(INDEX('Prospect Tracker'!$W$5:$W$554,$K407)="","",INDEX('Prospect Tracker'!$W$5:$W$554,$K407)))</f>
        <v/>
      </c>
      <c r="B407" s="6" t="str">
        <f aca="false">IF($K407="","",IF(INDEX('Prospect Tracker'!$A$5:$A$554,$K407)="","",INDEX('Prospect Tracker'!$A$5:$A$554,$K407)))</f>
        <v/>
      </c>
      <c r="C407" s="6" t="str">
        <f aca="false">IF($K407="","",IF(INDEX('Prospect Tracker'!$B$5:$B$554,$K407)="","",INDEX('Prospect Tracker'!$B$5:$B$554,$K407)))</f>
        <v/>
      </c>
      <c r="D407" s="6" t="str">
        <f aca="false">IF($K407="","",IF(INDEX('Prospect Tracker'!$M$5:$M$554,$K407)="","",INDEX('Prospect Tracker'!$M$5:$M$554,$K407)))</f>
        <v/>
      </c>
      <c r="E407" s="6" t="str">
        <f aca="false">IF($K407="","",IF(INDEX('Prospect Tracker'!$R$5:$R$554,$K407)="","",INDEX('Prospect Tracker'!$R$5:$R$554,$K407)))</f>
        <v/>
      </c>
      <c r="F407" s="6" t="str">
        <f aca="false">IF($K407="","",IF(INDEX('Prospect Tracker'!$J$5:$J$554,$K407)="","",INDEX('Prospect Tracker'!$J$5:$J$554,$K407)))</f>
        <v/>
      </c>
      <c r="G407" s="6" t="str">
        <f aca="false">IF($K407="","",IF(INDEX('Prospect Tracker'!$H$5:$H$554,$K407)="","",INDEX('Prospect Tracker'!$H$5:$H$554,$K407)))</f>
        <v/>
      </c>
      <c r="H407" s="7" t="str">
        <f aca="false">IF($K407="","",IF(INDEX('Prospect Tracker'!$K$5:$K$554,$K407)="","",INDEX('Prospect Tracker'!$K$5:$K$554,$K407)))</f>
        <v/>
      </c>
      <c r="I407" s="6" t="str">
        <f aca="false">IF($K407="","",IF(INDEX('Prospect Tracker'!$T$5:$T$554,$K407)="","",INDEX('Prospect Tracker'!$T$5:$T$554,$K407)))</f>
        <v/>
      </c>
      <c r="J407" s="6" t="str">
        <f aca="false">IF($K407="","",IF(INDEX('Prospect Tracker'!$L$5:$L$554,$K407)="","",INDEX('Prospect Tracker'!$L$5:$L$554,$K407)))</f>
        <v/>
      </c>
      <c r="K407" s="1" t="n">
        <f aca="false">IFERROR(MATCH(SMALL('Prospect Tracker'!$X$5:$X$554,ROW()-4),'Prospect Tracker'!$X$5:$X$554,0),"")</f>
        <v>403</v>
      </c>
    </row>
    <row r="408" customFormat="false" ht="15" hidden="false" customHeight="true" outlineLevel="0" collapsed="false">
      <c r="A408" s="11" t="str">
        <f aca="false">IF($K408="","",IF(INDEX('Prospect Tracker'!$W$5:$W$554,$K408)="","",INDEX('Prospect Tracker'!$W$5:$W$554,$K408)))</f>
        <v/>
      </c>
      <c r="B408" s="11" t="str">
        <f aca="false">IF($K408="","",IF(INDEX('Prospect Tracker'!$A$5:$A$554,$K408)="","",INDEX('Prospect Tracker'!$A$5:$A$554,$K408)))</f>
        <v/>
      </c>
      <c r="C408" s="11" t="str">
        <f aca="false">IF($K408="","",IF(INDEX('Prospect Tracker'!$B$5:$B$554,$K408)="","",INDEX('Prospect Tracker'!$B$5:$B$554,$K408)))</f>
        <v/>
      </c>
      <c r="D408" s="11" t="str">
        <f aca="false">IF($K408="","",IF(INDEX('Prospect Tracker'!$M$5:$M$554,$K408)="","",INDEX('Prospect Tracker'!$M$5:$M$554,$K408)))</f>
        <v/>
      </c>
      <c r="E408" s="11" t="str">
        <f aca="false">IF($K408="","",IF(INDEX('Prospect Tracker'!$R$5:$R$554,$K408)="","",INDEX('Prospect Tracker'!$R$5:$R$554,$K408)))</f>
        <v/>
      </c>
      <c r="F408" s="11" t="str">
        <f aca="false">IF($K408="","",IF(INDEX('Prospect Tracker'!$J$5:$J$554,$K408)="","",INDEX('Prospect Tracker'!$J$5:$J$554,$K408)))</f>
        <v/>
      </c>
      <c r="G408" s="11" t="str">
        <f aca="false">IF($K408="","",IF(INDEX('Prospect Tracker'!$H$5:$H$554,$K408)="","",INDEX('Prospect Tracker'!$H$5:$H$554,$K408)))</f>
        <v/>
      </c>
      <c r="H408" s="12" t="str">
        <f aca="false">IF($K408="","",IF(INDEX('Prospect Tracker'!$K$5:$K$554,$K408)="","",INDEX('Prospect Tracker'!$K$5:$K$554,$K408)))</f>
        <v/>
      </c>
      <c r="I408" s="11" t="str">
        <f aca="false">IF($K408="","",IF(INDEX('Prospect Tracker'!$T$5:$T$554,$K408)="","",INDEX('Prospect Tracker'!$T$5:$T$554,$K408)))</f>
        <v/>
      </c>
      <c r="J408" s="11" t="str">
        <f aca="false">IF($K408="","",IF(INDEX('Prospect Tracker'!$L$5:$L$554,$K408)="","",INDEX('Prospect Tracker'!$L$5:$L$554,$K408)))</f>
        <v/>
      </c>
      <c r="K408" s="1" t="n">
        <f aca="false">IFERROR(MATCH(SMALL('Prospect Tracker'!$X$5:$X$554,ROW()-4),'Prospect Tracker'!$X$5:$X$554,0),"")</f>
        <v>404</v>
      </c>
    </row>
    <row r="409" customFormat="false" ht="15" hidden="false" customHeight="true" outlineLevel="0" collapsed="false">
      <c r="A409" s="6" t="str">
        <f aca="false">IF($K409="","",IF(INDEX('Prospect Tracker'!$W$5:$W$554,$K409)="","",INDEX('Prospect Tracker'!$W$5:$W$554,$K409)))</f>
        <v/>
      </c>
      <c r="B409" s="6" t="str">
        <f aca="false">IF($K409="","",IF(INDEX('Prospect Tracker'!$A$5:$A$554,$K409)="","",INDEX('Prospect Tracker'!$A$5:$A$554,$K409)))</f>
        <v/>
      </c>
      <c r="C409" s="6" t="str">
        <f aca="false">IF($K409="","",IF(INDEX('Prospect Tracker'!$B$5:$B$554,$K409)="","",INDEX('Prospect Tracker'!$B$5:$B$554,$K409)))</f>
        <v/>
      </c>
      <c r="D409" s="6" t="str">
        <f aca="false">IF($K409="","",IF(INDEX('Prospect Tracker'!$M$5:$M$554,$K409)="","",INDEX('Prospect Tracker'!$M$5:$M$554,$K409)))</f>
        <v/>
      </c>
      <c r="E409" s="6" t="str">
        <f aca="false">IF($K409="","",IF(INDEX('Prospect Tracker'!$R$5:$R$554,$K409)="","",INDEX('Prospect Tracker'!$R$5:$R$554,$K409)))</f>
        <v/>
      </c>
      <c r="F409" s="6" t="str">
        <f aca="false">IF($K409="","",IF(INDEX('Prospect Tracker'!$J$5:$J$554,$K409)="","",INDEX('Prospect Tracker'!$J$5:$J$554,$K409)))</f>
        <v/>
      </c>
      <c r="G409" s="6" t="str">
        <f aca="false">IF($K409="","",IF(INDEX('Prospect Tracker'!$H$5:$H$554,$K409)="","",INDEX('Prospect Tracker'!$H$5:$H$554,$K409)))</f>
        <v/>
      </c>
      <c r="H409" s="7" t="str">
        <f aca="false">IF($K409="","",IF(INDEX('Prospect Tracker'!$K$5:$K$554,$K409)="","",INDEX('Prospect Tracker'!$K$5:$K$554,$K409)))</f>
        <v/>
      </c>
      <c r="I409" s="6" t="str">
        <f aca="false">IF($K409="","",IF(INDEX('Prospect Tracker'!$T$5:$T$554,$K409)="","",INDEX('Prospect Tracker'!$T$5:$T$554,$K409)))</f>
        <v/>
      </c>
      <c r="J409" s="6" t="str">
        <f aca="false">IF($K409="","",IF(INDEX('Prospect Tracker'!$L$5:$L$554,$K409)="","",INDEX('Prospect Tracker'!$L$5:$L$554,$K409)))</f>
        <v/>
      </c>
      <c r="K409" s="1" t="n">
        <f aca="false">IFERROR(MATCH(SMALL('Prospect Tracker'!$X$5:$X$554,ROW()-4),'Prospect Tracker'!$X$5:$X$554,0),"")</f>
        <v>405</v>
      </c>
    </row>
    <row r="410" customFormat="false" ht="15" hidden="false" customHeight="true" outlineLevel="0" collapsed="false">
      <c r="A410" s="11" t="str">
        <f aca="false">IF($K410="","",IF(INDEX('Prospect Tracker'!$W$5:$W$554,$K410)="","",INDEX('Prospect Tracker'!$W$5:$W$554,$K410)))</f>
        <v/>
      </c>
      <c r="B410" s="11" t="str">
        <f aca="false">IF($K410="","",IF(INDEX('Prospect Tracker'!$A$5:$A$554,$K410)="","",INDEX('Prospect Tracker'!$A$5:$A$554,$K410)))</f>
        <v/>
      </c>
      <c r="C410" s="11" t="str">
        <f aca="false">IF($K410="","",IF(INDEX('Prospect Tracker'!$B$5:$B$554,$K410)="","",INDEX('Prospect Tracker'!$B$5:$B$554,$K410)))</f>
        <v/>
      </c>
      <c r="D410" s="11" t="str">
        <f aca="false">IF($K410="","",IF(INDEX('Prospect Tracker'!$M$5:$M$554,$K410)="","",INDEX('Prospect Tracker'!$M$5:$M$554,$K410)))</f>
        <v/>
      </c>
      <c r="E410" s="11" t="str">
        <f aca="false">IF($K410="","",IF(INDEX('Prospect Tracker'!$R$5:$R$554,$K410)="","",INDEX('Prospect Tracker'!$R$5:$R$554,$K410)))</f>
        <v/>
      </c>
      <c r="F410" s="11" t="str">
        <f aca="false">IF($K410="","",IF(INDEX('Prospect Tracker'!$J$5:$J$554,$K410)="","",INDEX('Prospect Tracker'!$J$5:$J$554,$K410)))</f>
        <v/>
      </c>
      <c r="G410" s="11" t="str">
        <f aca="false">IF($K410="","",IF(INDEX('Prospect Tracker'!$H$5:$H$554,$K410)="","",INDEX('Prospect Tracker'!$H$5:$H$554,$K410)))</f>
        <v/>
      </c>
      <c r="H410" s="12" t="str">
        <f aca="false">IF($K410="","",IF(INDEX('Prospect Tracker'!$K$5:$K$554,$K410)="","",INDEX('Prospect Tracker'!$K$5:$K$554,$K410)))</f>
        <v/>
      </c>
      <c r="I410" s="11" t="str">
        <f aca="false">IF($K410="","",IF(INDEX('Prospect Tracker'!$T$5:$T$554,$K410)="","",INDEX('Prospect Tracker'!$T$5:$T$554,$K410)))</f>
        <v/>
      </c>
      <c r="J410" s="11" t="str">
        <f aca="false">IF($K410="","",IF(INDEX('Prospect Tracker'!$L$5:$L$554,$K410)="","",INDEX('Prospect Tracker'!$L$5:$L$554,$K410)))</f>
        <v/>
      </c>
      <c r="K410" s="1" t="n">
        <f aca="false">IFERROR(MATCH(SMALL('Prospect Tracker'!$X$5:$X$554,ROW()-4),'Prospect Tracker'!$X$5:$X$554,0),"")</f>
        <v>406</v>
      </c>
    </row>
    <row r="411" customFormat="false" ht="15" hidden="false" customHeight="true" outlineLevel="0" collapsed="false">
      <c r="A411" s="6" t="str">
        <f aca="false">IF($K411="","",IF(INDEX('Prospect Tracker'!$W$5:$W$554,$K411)="","",INDEX('Prospect Tracker'!$W$5:$W$554,$K411)))</f>
        <v/>
      </c>
      <c r="B411" s="6" t="str">
        <f aca="false">IF($K411="","",IF(INDEX('Prospect Tracker'!$A$5:$A$554,$K411)="","",INDEX('Prospect Tracker'!$A$5:$A$554,$K411)))</f>
        <v/>
      </c>
      <c r="C411" s="6" t="str">
        <f aca="false">IF($K411="","",IF(INDEX('Prospect Tracker'!$B$5:$B$554,$K411)="","",INDEX('Prospect Tracker'!$B$5:$B$554,$K411)))</f>
        <v/>
      </c>
      <c r="D411" s="6" t="str">
        <f aca="false">IF($K411="","",IF(INDEX('Prospect Tracker'!$M$5:$M$554,$K411)="","",INDEX('Prospect Tracker'!$M$5:$M$554,$K411)))</f>
        <v/>
      </c>
      <c r="E411" s="6" t="str">
        <f aca="false">IF($K411="","",IF(INDEX('Prospect Tracker'!$R$5:$R$554,$K411)="","",INDEX('Prospect Tracker'!$R$5:$R$554,$K411)))</f>
        <v/>
      </c>
      <c r="F411" s="6" t="str">
        <f aca="false">IF($K411="","",IF(INDEX('Prospect Tracker'!$J$5:$J$554,$K411)="","",INDEX('Prospect Tracker'!$J$5:$J$554,$K411)))</f>
        <v/>
      </c>
      <c r="G411" s="6" t="str">
        <f aca="false">IF($K411="","",IF(INDEX('Prospect Tracker'!$H$5:$H$554,$K411)="","",INDEX('Prospect Tracker'!$H$5:$H$554,$K411)))</f>
        <v/>
      </c>
      <c r="H411" s="7" t="str">
        <f aca="false">IF($K411="","",IF(INDEX('Prospect Tracker'!$K$5:$K$554,$K411)="","",INDEX('Prospect Tracker'!$K$5:$K$554,$K411)))</f>
        <v/>
      </c>
      <c r="I411" s="6" t="str">
        <f aca="false">IF($K411="","",IF(INDEX('Prospect Tracker'!$T$5:$T$554,$K411)="","",INDEX('Prospect Tracker'!$T$5:$T$554,$K411)))</f>
        <v/>
      </c>
      <c r="J411" s="6" t="str">
        <f aca="false">IF($K411="","",IF(INDEX('Prospect Tracker'!$L$5:$L$554,$K411)="","",INDEX('Prospect Tracker'!$L$5:$L$554,$K411)))</f>
        <v/>
      </c>
      <c r="K411" s="1" t="n">
        <f aca="false">IFERROR(MATCH(SMALL('Prospect Tracker'!$X$5:$X$554,ROW()-4),'Prospect Tracker'!$X$5:$X$554,0),"")</f>
        <v>407</v>
      </c>
    </row>
    <row r="412" customFormat="false" ht="15" hidden="false" customHeight="true" outlineLevel="0" collapsed="false">
      <c r="A412" s="11" t="str">
        <f aca="false">IF($K412="","",IF(INDEX('Prospect Tracker'!$W$5:$W$554,$K412)="","",INDEX('Prospect Tracker'!$W$5:$W$554,$K412)))</f>
        <v/>
      </c>
      <c r="B412" s="11" t="str">
        <f aca="false">IF($K412="","",IF(INDEX('Prospect Tracker'!$A$5:$A$554,$K412)="","",INDEX('Prospect Tracker'!$A$5:$A$554,$K412)))</f>
        <v/>
      </c>
      <c r="C412" s="11" t="str">
        <f aca="false">IF($K412="","",IF(INDEX('Prospect Tracker'!$B$5:$B$554,$K412)="","",INDEX('Prospect Tracker'!$B$5:$B$554,$K412)))</f>
        <v/>
      </c>
      <c r="D412" s="11" t="str">
        <f aca="false">IF($K412="","",IF(INDEX('Prospect Tracker'!$M$5:$M$554,$K412)="","",INDEX('Prospect Tracker'!$M$5:$M$554,$K412)))</f>
        <v/>
      </c>
      <c r="E412" s="11" t="str">
        <f aca="false">IF($K412="","",IF(INDEX('Prospect Tracker'!$R$5:$R$554,$K412)="","",INDEX('Prospect Tracker'!$R$5:$R$554,$K412)))</f>
        <v/>
      </c>
      <c r="F412" s="11" t="str">
        <f aca="false">IF($K412="","",IF(INDEX('Prospect Tracker'!$J$5:$J$554,$K412)="","",INDEX('Prospect Tracker'!$J$5:$J$554,$K412)))</f>
        <v/>
      </c>
      <c r="G412" s="11" t="str">
        <f aca="false">IF($K412="","",IF(INDEX('Prospect Tracker'!$H$5:$H$554,$K412)="","",INDEX('Prospect Tracker'!$H$5:$H$554,$K412)))</f>
        <v/>
      </c>
      <c r="H412" s="12" t="str">
        <f aca="false">IF($K412="","",IF(INDEX('Prospect Tracker'!$K$5:$K$554,$K412)="","",INDEX('Prospect Tracker'!$K$5:$K$554,$K412)))</f>
        <v/>
      </c>
      <c r="I412" s="11" t="str">
        <f aca="false">IF($K412="","",IF(INDEX('Prospect Tracker'!$T$5:$T$554,$K412)="","",INDEX('Prospect Tracker'!$T$5:$T$554,$K412)))</f>
        <v/>
      </c>
      <c r="J412" s="11" t="str">
        <f aca="false">IF($K412="","",IF(INDEX('Prospect Tracker'!$L$5:$L$554,$K412)="","",INDEX('Prospect Tracker'!$L$5:$L$554,$K412)))</f>
        <v/>
      </c>
      <c r="K412" s="1" t="n">
        <f aca="false">IFERROR(MATCH(SMALL('Prospect Tracker'!$X$5:$X$554,ROW()-4),'Prospect Tracker'!$X$5:$X$554,0),"")</f>
        <v>408</v>
      </c>
    </row>
    <row r="413" customFormat="false" ht="15" hidden="false" customHeight="true" outlineLevel="0" collapsed="false">
      <c r="A413" s="6" t="str">
        <f aca="false">IF($K413="","",IF(INDEX('Prospect Tracker'!$W$5:$W$554,$K413)="","",INDEX('Prospect Tracker'!$W$5:$W$554,$K413)))</f>
        <v/>
      </c>
      <c r="B413" s="6" t="str">
        <f aca="false">IF($K413="","",IF(INDEX('Prospect Tracker'!$A$5:$A$554,$K413)="","",INDEX('Prospect Tracker'!$A$5:$A$554,$K413)))</f>
        <v/>
      </c>
      <c r="C413" s="6" t="str">
        <f aca="false">IF($K413="","",IF(INDEX('Prospect Tracker'!$B$5:$B$554,$K413)="","",INDEX('Prospect Tracker'!$B$5:$B$554,$K413)))</f>
        <v/>
      </c>
      <c r="D413" s="6" t="str">
        <f aca="false">IF($K413="","",IF(INDEX('Prospect Tracker'!$M$5:$M$554,$K413)="","",INDEX('Prospect Tracker'!$M$5:$M$554,$K413)))</f>
        <v/>
      </c>
      <c r="E413" s="6" t="str">
        <f aca="false">IF($K413="","",IF(INDEX('Prospect Tracker'!$R$5:$R$554,$K413)="","",INDEX('Prospect Tracker'!$R$5:$R$554,$K413)))</f>
        <v/>
      </c>
      <c r="F413" s="6" t="str">
        <f aca="false">IF($K413="","",IF(INDEX('Prospect Tracker'!$J$5:$J$554,$K413)="","",INDEX('Prospect Tracker'!$J$5:$J$554,$K413)))</f>
        <v/>
      </c>
      <c r="G413" s="6" t="str">
        <f aca="false">IF($K413="","",IF(INDEX('Prospect Tracker'!$H$5:$H$554,$K413)="","",INDEX('Prospect Tracker'!$H$5:$H$554,$K413)))</f>
        <v/>
      </c>
      <c r="H413" s="7" t="str">
        <f aca="false">IF($K413="","",IF(INDEX('Prospect Tracker'!$K$5:$K$554,$K413)="","",INDEX('Prospect Tracker'!$K$5:$K$554,$K413)))</f>
        <v/>
      </c>
      <c r="I413" s="6" t="str">
        <f aca="false">IF($K413="","",IF(INDEX('Prospect Tracker'!$T$5:$T$554,$K413)="","",INDEX('Prospect Tracker'!$T$5:$T$554,$K413)))</f>
        <v/>
      </c>
      <c r="J413" s="6" t="str">
        <f aca="false">IF($K413="","",IF(INDEX('Prospect Tracker'!$L$5:$L$554,$K413)="","",INDEX('Prospect Tracker'!$L$5:$L$554,$K413)))</f>
        <v/>
      </c>
      <c r="K413" s="1" t="n">
        <f aca="false">IFERROR(MATCH(SMALL('Prospect Tracker'!$X$5:$X$554,ROW()-4),'Prospect Tracker'!$X$5:$X$554,0),"")</f>
        <v>409</v>
      </c>
    </row>
    <row r="414" customFormat="false" ht="15" hidden="false" customHeight="true" outlineLevel="0" collapsed="false">
      <c r="A414" s="11" t="str">
        <f aca="false">IF($K414="","",IF(INDEX('Prospect Tracker'!$W$5:$W$554,$K414)="","",INDEX('Prospect Tracker'!$W$5:$W$554,$K414)))</f>
        <v/>
      </c>
      <c r="B414" s="11" t="str">
        <f aca="false">IF($K414="","",IF(INDEX('Prospect Tracker'!$A$5:$A$554,$K414)="","",INDEX('Prospect Tracker'!$A$5:$A$554,$K414)))</f>
        <v/>
      </c>
      <c r="C414" s="11" t="str">
        <f aca="false">IF($K414="","",IF(INDEX('Prospect Tracker'!$B$5:$B$554,$K414)="","",INDEX('Prospect Tracker'!$B$5:$B$554,$K414)))</f>
        <v/>
      </c>
      <c r="D414" s="11" t="str">
        <f aca="false">IF($K414="","",IF(INDEX('Prospect Tracker'!$M$5:$M$554,$K414)="","",INDEX('Prospect Tracker'!$M$5:$M$554,$K414)))</f>
        <v/>
      </c>
      <c r="E414" s="11" t="str">
        <f aca="false">IF($K414="","",IF(INDEX('Prospect Tracker'!$R$5:$R$554,$K414)="","",INDEX('Prospect Tracker'!$R$5:$R$554,$K414)))</f>
        <v/>
      </c>
      <c r="F414" s="11" t="str">
        <f aca="false">IF($K414="","",IF(INDEX('Prospect Tracker'!$J$5:$J$554,$K414)="","",INDEX('Prospect Tracker'!$J$5:$J$554,$K414)))</f>
        <v/>
      </c>
      <c r="G414" s="11" t="str">
        <f aca="false">IF($K414="","",IF(INDEX('Prospect Tracker'!$H$5:$H$554,$K414)="","",INDEX('Prospect Tracker'!$H$5:$H$554,$K414)))</f>
        <v/>
      </c>
      <c r="H414" s="12" t="str">
        <f aca="false">IF($K414="","",IF(INDEX('Prospect Tracker'!$K$5:$K$554,$K414)="","",INDEX('Prospect Tracker'!$K$5:$K$554,$K414)))</f>
        <v/>
      </c>
      <c r="I414" s="11" t="str">
        <f aca="false">IF($K414="","",IF(INDEX('Prospect Tracker'!$T$5:$T$554,$K414)="","",INDEX('Prospect Tracker'!$T$5:$T$554,$K414)))</f>
        <v/>
      </c>
      <c r="J414" s="11" t="str">
        <f aca="false">IF($K414="","",IF(INDEX('Prospect Tracker'!$L$5:$L$554,$K414)="","",INDEX('Prospect Tracker'!$L$5:$L$554,$K414)))</f>
        <v/>
      </c>
      <c r="K414" s="1" t="n">
        <f aca="false">IFERROR(MATCH(SMALL('Prospect Tracker'!$X$5:$X$554,ROW()-4),'Prospect Tracker'!$X$5:$X$554,0),"")</f>
        <v>410</v>
      </c>
    </row>
    <row r="415" customFormat="false" ht="15" hidden="false" customHeight="true" outlineLevel="0" collapsed="false">
      <c r="A415" s="6" t="str">
        <f aca="false">IF($K415="","",IF(INDEX('Prospect Tracker'!$W$5:$W$554,$K415)="","",INDEX('Prospect Tracker'!$W$5:$W$554,$K415)))</f>
        <v/>
      </c>
      <c r="B415" s="6" t="str">
        <f aca="false">IF($K415="","",IF(INDEX('Prospect Tracker'!$A$5:$A$554,$K415)="","",INDEX('Prospect Tracker'!$A$5:$A$554,$K415)))</f>
        <v/>
      </c>
      <c r="C415" s="6" t="str">
        <f aca="false">IF($K415="","",IF(INDEX('Prospect Tracker'!$B$5:$B$554,$K415)="","",INDEX('Prospect Tracker'!$B$5:$B$554,$K415)))</f>
        <v/>
      </c>
      <c r="D415" s="6" t="str">
        <f aca="false">IF($K415="","",IF(INDEX('Prospect Tracker'!$M$5:$M$554,$K415)="","",INDEX('Prospect Tracker'!$M$5:$M$554,$K415)))</f>
        <v/>
      </c>
      <c r="E415" s="6" t="str">
        <f aca="false">IF($K415="","",IF(INDEX('Prospect Tracker'!$R$5:$R$554,$K415)="","",INDEX('Prospect Tracker'!$R$5:$R$554,$K415)))</f>
        <v/>
      </c>
      <c r="F415" s="6" t="str">
        <f aca="false">IF($K415="","",IF(INDEX('Prospect Tracker'!$J$5:$J$554,$K415)="","",INDEX('Prospect Tracker'!$J$5:$J$554,$K415)))</f>
        <v/>
      </c>
      <c r="G415" s="6" t="str">
        <f aca="false">IF($K415="","",IF(INDEX('Prospect Tracker'!$H$5:$H$554,$K415)="","",INDEX('Prospect Tracker'!$H$5:$H$554,$K415)))</f>
        <v/>
      </c>
      <c r="H415" s="7" t="str">
        <f aca="false">IF($K415="","",IF(INDEX('Prospect Tracker'!$K$5:$K$554,$K415)="","",INDEX('Prospect Tracker'!$K$5:$K$554,$K415)))</f>
        <v/>
      </c>
      <c r="I415" s="6" t="str">
        <f aca="false">IF($K415="","",IF(INDEX('Prospect Tracker'!$T$5:$T$554,$K415)="","",INDEX('Prospect Tracker'!$T$5:$T$554,$K415)))</f>
        <v/>
      </c>
      <c r="J415" s="6" t="str">
        <f aca="false">IF($K415="","",IF(INDEX('Prospect Tracker'!$L$5:$L$554,$K415)="","",INDEX('Prospect Tracker'!$L$5:$L$554,$K415)))</f>
        <v/>
      </c>
      <c r="K415" s="1" t="n">
        <f aca="false">IFERROR(MATCH(SMALL('Prospect Tracker'!$X$5:$X$554,ROW()-4),'Prospect Tracker'!$X$5:$X$554,0),"")</f>
        <v>411</v>
      </c>
    </row>
    <row r="416" customFormat="false" ht="15" hidden="false" customHeight="true" outlineLevel="0" collapsed="false">
      <c r="A416" s="11" t="str">
        <f aca="false">IF($K416="","",IF(INDEX('Prospect Tracker'!$W$5:$W$554,$K416)="","",INDEX('Prospect Tracker'!$W$5:$W$554,$K416)))</f>
        <v/>
      </c>
      <c r="B416" s="11" t="str">
        <f aca="false">IF($K416="","",IF(INDEX('Prospect Tracker'!$A$5:$A$554,$K416)="","",INDEX('Prospect Tracker'!$A$5:$A$554,$K416)))</f>
        <v/>
      </c>
      <c r="C416" s="11" t="str">
        <f aca="false">IF($K416="","",IF(INDEX('Prospect Tracker'!$B$5:$B$554,$K416)="","",INDEX('Prospect Tracker'!$B$5:$B$554,$K416)))</f>
        <v/>
      </c>
      <c r="D416" s="11" t="str">
        <f aca="false">IF($K416="","",IF(INDEX('Prospect Tracker'!$M$5:$M$554,$K416)="","",INDEX('Prospect Tracker'!$M$5:$M$554,$K416)))</f>
        <v/>
      </c>
      <c r="E416" s="11" t="str">
        <f aca="false">IF($K416="","",IF(INDEX('Prospect Tracker'!$R$5:$R$554,$K416)="","",INDEX('Prospect Tracker'!$R$5:$R$554,$K416)))</f>
        <v/>
      </c>
      <c r="F416" s="11" t="str">
        <f aca="false">IF($K416="","",IF(INDEX('Prospect Tracker'!$J$5:$J$554,$K416)="","",INDEX('Prospect Tracker'!$J$5:$J$554,$K416)))</f>
        <v/>
      </c>
      <c r="G416" s="11" t="str">
        <f aca="false">IF($K416="","",IF(INDEX('Prospect Tracker'!$H$5:$H$554,$K416)="","",INDEX('Prospect Tracker'!$H$5:$H$554,$K416)))</f>
        <v/>
      </c>
      <c r="H416" s="12" t="str">
        <f aca="false">IF($K416="","",IF(INDEX('Prospect Tracker'!$K$5:$K$554,$K416)="","",INDEX('Prospect Tracker'!$K$5:$K$554,$K416)))</f>
        <v/>
      </c>
      <c r="I416" s="11" t="str">
        <f aca="false">IF($K416="","",IF(INDEX('Prospect Tracker'!$T$5:$T$554,$K416)="","",INDEX('Prospect Tracker'!$T$5:$T$554,$K416)))</f>
        <v/>
      </c>
      <c r="J416" s="11" t="str">
        <f aca="false">IF($K416="","",IF(INDEX('Prospect Tracker'!$L$5:$L$554,$K416)="","",INDEX('Prospect Tracker'!$L$5:$L$554,$K416)))</f>
        <v/>
      </c>
      <c r="K416" s="1" t="n">
        <f aca="false">IFERROR(MATCH(SMALL('Prospect Tracker'!$X$5:$X$554,ROW()-4),'Prospect Tracker'!$X$5:$X$554,0),"")</f>
        <v>412</v>
      </c>
    </row>
    <row r="417" customFormat="false" ht="15" hidden="false" customHeight="true" outlineLevel="0" collapsed="false">
      <c r="A417" s="6" t="str">
        <f aca="false">IF($K417="","",IF(INDEX('Prospect Tracker'!$W$5:$W$554,$K417)="","",INDEX('Prospect Tracker'!$W$5:$W$554,$K417)))</f>
        <v/>
      </c>
      <c r="B417" s="6" t="str">
        <f aca="false">IF($K417="","",IF(INDEX('Prospect Tracker'!$A$5:$A$554,$K417)="","",INDEX('Prospect Tracker'!$A$5:$A$554,$K417)))</f>
        <v/>
      </c>
      <c r="C417" s="6" t="str">
        <f aca="false">IF($K417="","",IF(INDEX('Prospect Tracker'!$B$5:$B$554,$K417)="","",INDEX('Prospect Tracker'!$B$5:$B$554,$K417)))</f>
        <v/>
      </c>
      <c r="D417" s="6" t="str">
        <f aca="false">IF($K417="","",IF(INDEX('Prospect Tracker'!$M$5:$M$554,$K417)="","",INDEX('Prospect Tracker'!$M$5:$M$554,$K417)))</f>
        <v/>
      </c>
      <c r="E417" s="6" t="str">
        <f aca="false">IF($K417="","",IF(INDEX('Prospect Tracker'!$R$5:$R$554,$K417)="","",INDEX('Prospect Tracker'!$R$5:$R$554,$K417)))</f>
        <v/>
      </c>
      <c r="F417" s="6" t="str">
        <f aca="false">IF($K417="","",IF(INDEX('Prospect Tracker'!$J$5:$J$554,$K417)="","",INDEX('Prospect Tracker'!$J$5:$J$554,$K417)))</f>
        <v/>
      </c>
      <c r="G417" s="6" t="str">
        <f aca="false">IF($K417="","",IF(INDEX('Prospect Tracker'!$H$5:$H$554,$K417)="","",INDEX('Prospect Tracker'!$H$5:$H$554,$K417)))</f>
        <v/>
      </c>
      <c r="H417" s="7" t="str">
        <f aca="false">IF($K417="","",IF(INDEX('Prospect Tracker'!$K$5:$K$554,$K417)="","",INDEX('Prospect Tracker'!$K$5:$K$554,$K417)))</f>
        <v/>
      </c>
      <c r="I417" s="6" t="str">
        <f aca="false">IF($K417="","",IF(INDEX('Prospect Tracker'!$T$5:$T$554,$K417)="","",INDEX('Prospect Tracker'!$T$5:$T$554,$K417)))</f>
        <v/>
      </c>
      <c r="J417" s="6" t="str">
        <f aca="false">IF($K417="","",IF(INDEX('Prospect Tracker'!$L$5:$L$554,$K417)="","",INDEX('Prospect Tracker'!$L$5:$L$554,$K417)))</f>
        <v/>
      </c>
      <c r="K417" s="1" t="n">
        <f aca="false">IFERROR(MATCH(SMALL('Prospect Tracker'!$X$5:$X$554,ROW()-4),'Prospect Tracker'!$X$5:$X$554,0),"")</f>
        <v>413</v>
      </c>
    </row>
    <row r="418" customFormat="false" ht="15" hidden="false" customHeight="true" outlineLevel="0" collapsed="false">
      <c r="A418" s="11" t="str">
        <f aca="false">IF($K418="","",IF(INDEX('Prospect Tracker'!$W$5:$W$554,$K418)="","",INDEX('Prospect Tracker'!$W$5:$W$554,$K418)))</f>
        <v/>
      </c>
      <c r="B418" s="11" t="str">
        <f aca="false">IF($K418="","",IF(INDEX('Prospect Tracker'!$A$5:$A$554,$K418)="","",INDEX('Prospect Tracker'!$A$5:$A$554,$K418)))</f>
        <v/>
      </c>
      <c r="C418" s="11" t="str">
        <f aca="false">IF($K418="","",IF(INDEX('Prospect Tracker'!$B$5:$B$554,$K418)="","",INDEX('Prospect Tracker'!$B$5:$B$554,$K418)))</f>
        <v/>
      </c>
      <c r="D418" s="11" t="str">
        <f aca="false">IF($K418="","",IF(INDEX('Prospect Tracker'!$M$5:$M$554,$K418)="","",INDEX('Prospect Tracker'!$M$5:$M$554,$K418)))</f>
        <v/>
      </c>
      <c r="E418" s="11" t="str">
        <f aca="false">IF($K418="","",IF(INDEX('Prospect Tracker'!$R$5:$R$554,$K418)="","",INDEX('Prospect Tracker'!$R$5:$R$554,$K418)))</f>
        <v/>
      </c>
      <c r="F418" s="11" t="str">
        <f aca="false">IF($K418="","",IF(INDEX('Prospect Tracker'!$J$5:$J$554,$K418)="","",INDEX('Prospect Tracker'!$J$5:$J$554,$K418)))</f>
        <v/>
      </c>
      <c r="G418" s="11" t="str">
        <f aca="false">IF($K418="","",IF(INDEX('Prospect Tracker'!$H$5:$H$554,$K418)="","",INDEX('Prospect Tracker'!$H$5:$H$554,$K418)))</f>
        <v/>
      </c>
      <c r="H418" s="12" t="str">
        <f aca="false">IF($K418="","",IF(INDEX('Prospect Tracker'!$K$5:$K$554,$K418)="","",INDEX('Prospect Tracker'!$K$5:$K$554,$K418)))</f>
        <v/>
      </c>
      <c r="I418" s="11" t="str">
        <f aca="false">IF($K418="","",IF(INDEX('Prospect Tracker'!$T$5:$T$554,$K418)="","",INDEX('Prospect Tracker'!$T$5:$T$554,$K418)))</f>
        <v/>
      </c>
      <c r="J418" s="11" t="str">
        <f aca="false">IF($K418="","",IF(INDEX('Prospect Tracker'!$L$5:$L$554,$K418)="","",INDEX('Prospect Tracker'!$L$5:$L$554,$K418)))</f>
        <v/>
      </c>
      <c r="K418" s="1" t="n">
        <f aca="false">IFERROR(MATCH(SMALL('Prospect Tracker'!$X$5:$X$554,ROW()-4),'Prospect Tracker'!$X$5:$X$554,0),"")</f>
        <v>414</v>
      </c>
    </row>
    <row r="419" customFormat="false" ht="15" hidden="false" customHeight="true" outlineLevel="0" collapsed="false">
      <c r="A419" s="6" t="str">
        <f aca="false">IF($K419="","",IF(INDEX('Prospect Tracker'!$W$5:$W$554,$K419)="","",INDEX('Prospect Tracker'!$W$5:$W$554,$K419)))</f>
        <v/>
      </c>
      <c r="B419" s="6" t="str">
        <f aca="false">IF($K419="","",IF(INDEX('Prospect Tracker'!$A$5:$A$554,$K419)="","",INDEX('Prospect Tracker'!$A$5:$A$554,$K419)))</f>
        <v/>
      </c>
      <c r="C419" s="6" t="str">
        <f aca="false">IF($K419="","",IF(INDEX('Prospect Tracker'!$B$5:$B$554,$K419)="","",INDEX('Prospect Tracker'!$B$5:$B$554,$K419)))</f>
        <v/>
      </c>
      <c r="D419" s="6" t="str">
        <f aca="false">IF($K419="","",IF(INDEX('Prospect Tracker'!$M$5:$M$554,$K419)="","",INDEX('Prospect Tracker'!$M$5:$M$554,$K419)))</f>
        <v/>
      </c>
      <c r="E419" s="6" t="str">
        <f aca="false">IF($K419="","",IF(INDEX('Prospect Tracker'!$R$5:$R$554,$K419)="","",INDEX('Prospect Tracker'!$R$5:$R$554,$K419)))</f>
        <v/>
      </c>
      <c r="F419" s="6" t="str">
        <f aca="false">IF($K419="","",IF(INDEX('Prospect Tracker'!$J$5:$J$554,$K419)="","",INDEX('Prospect Tracker'!$J$5:$J$554,$K419)))</f>
        <v/>
      </c>
      <c r="G419" s="6" t="str">
        <f aca="false">IF($K419="","",IF(INDEX('Prospect Tracker'!$H$5:$H$554,$K419)="","",INDEX('Prospect Tracker'!$H$5:$H$554,$K419)))</f>
        <v/>
      </c>
      <c r="H419" s="7" t="str">
        <f aca="false">IF($K419="","",IF(INDEX('Prospect Tracker'!$K$5:$K$554,$K419)="","",INDEX('Prospect Tracker'!$K$5:$K$554,$K419)))</f>
        <v/>
      </c>
      <c r="I419" s="6" t="str">
        <f aca="false">IF($K419="","",IF(INDEX('Prospect Tracker'!$T$5:$T$554,$K419)="","",INDEX('Prospect Tracker'!$T$5:$T$554,$K419)))</f>
        <v/>
      </c>
      <c r="J419" s="6" t="str">
        <f aca="false">IF($K419="","",IF(INDEX('Prospect Tracker'!$L$5:$L$554,$K419)="","",INDEX('Prospect Tracker'!$L$5:$L$554,$K419)))</f>
        <v/>
      </c>
      <c r="K419" s="1" t="n">
        <f aca="false">IFERROR(MATCH(SMALL('Prospect Tracker'!$X$5:$X$554,ROW()-4),'Prospect Tracker'!$X$5:$X$554,0),"")</f>
        <v>415</v>
      </c>
    </row>
    <row r="420" customFormat="false" ht="15" hidden="false" customHeight="true" outlineLevel="0" collapsed="false">
      <c r="A420" s="11" t="str">
        <f aca="false">IF($K420="","",IF(INDEX('Prospect Tracker'!$W$5:$W$554,$K420)="","",INDEX('Prospect Tracker'!$W$5:$W$554,$K420)))</f>
        <v/>
      </c>
      <c r="B420" s="11" t="str">
        <f aca="false">IF($K420="","",IF(INDEX('Prospect Tracker'!$A$5:$A$554,$K420)="","",INDEX('Prospect Tracker'!$A$5:$A$554,$K420)))</f>
        <v/>
      </c>
      <c r="C420" s="11" t="str">
        <f aca="false">IF($K420="","",IF(INDEX('Prospect Tracker'!$B$5:$B$554,$K420)="","",INDEX('Prospect Tracker'!$B$5:$B$554,$K420)))</f>
        <v/>
      </c>
      <c r="D420" s="11" t="str">
        <f aca="false">IF($K420="","",IF(INDEX('Prospect Tracker'!$M$5:$M$554,$K420)="","",INDEX('Prospect Tracker'!$M$5:$M$554,$K420)))</f>
        <v/>
      </c>
      <c r="E420" s="11" t="str">
        <f aca="false">IF($K420="","",IF(INDEX('Prospect Tracker'!$R$5:$R$554,$K420)="","",INDEX('Prospect Tracker'!$R$5:$R$554,$K420)))</f>
        <v/>
      </c>
      <c r="F420" s="11" t="str">
        <f aca="false">IF($K420="","",IF(INDEX('Prospect Tracker'!$J$5:$J$554,$K420)="","",INDEX('Prospect Tracker'!$J$5:$J$554,$K420)))</f>
        <v/>
      </c>
      <c r="G420" s="11" t="str">
        <f aca="false">IF($K420="","",IF(INDEX('Prospect Tracker'!$H$5:$H$554,$K420)="","",INDEX('Prospect Tracker'!$H$5:$H$554,$K420)))</f>
        <v/>
      </c>
      <c r="H420" s="12" t="str">
        <f aca="false">IF($K420="","",IF(INDEX('Prospect Tracker'!$K$5:$K$554,$K420)="","",INDEX('Prospect Tracker'!$K$5:$K$554,$K420)))</f>
        <v/>
      </c>
      <c r="I420" s="11" t="str">
        <f aca="false">IF($K420="","",IF(INDEX('Prospect Tracker'!$T$5:$T$554,$K420)="","",INDEX('Prospect Tracker'!$T$5:$T$554,$K420)))</f>
        <v/>
      </c>
      <c r="J420" s="11" t="str">
        <f aca="false">IF($K420="","",IF(INDEX('Prospect Tracker'!$L$5:$L$554,$K420)="","",INDEX('Prospect Tracker'!$L$5:$L$554,$K420)))</f>
        <v/>
      </c>
      <c r="K420" s="1" t="n">
        <f aca="false">IFERROR(MATCH(SMALL('Prospect Tracker'!$X$5:$X$554,ROW()-4),'Prospect Tracker'!$X$5:$X$554,0),"")</f>
        <v>416</v>
      </c>
    </row>
    <row r="421" customFormat="false" ht="15" hidden="false" customHeight="true" outlineLevel="0" collapsed="false">
      <c r="A421" s="6" t="str">
        <f aca="false">IF($K421="","",IF(INDEX('Prospect Tracker'!$W$5:$W$554,$K421)="","",INDEX('Prospect Tracker'!$W$5:$W$554,$K421)))</f>
        <v/>
      </c>
      <c r="B421" s="6" t="str">
        <f aca="false">IF($K421="","",IF(INDEX('Prospect Tracker'!$A$5:$A$554,$K421)="","",INDEX('Prospect Tracker'!$A$5:$A$554,$K421)))</f>
        <v/>
      </c>
      <c r="C421" s="6" t="str">
        <f aca="false">IF($K421="","",IF(INDEX('Prospect Tracker'!$B$5:$B$554,$K421)="","",INDEX('Prospect Tracker'!$B$5:$B$554,$K421)))</f>
        <v/>
      </c>
      <c r="D421" s="6" t="str">
        <f aca="false">IF($K421="","",IF(INDEX('Prospect Tracker'!$M$5:$M$554,$K421)="","",INDEX('Prospect Tracker'!$M$5:$M$554,$K421)))</f>
        <v/>
      </c>
      <c r="E421" s="6" t="str">
        <f aca="false">IF($K421="","",IF(INDEX('Prospect Tracker'!$R$5:$R$554,$K421)="","",INDEX('Prospect Tracker'!$R$5:$R$554,$K421)))</f>
        <v/>
      </c>
      <c r="F421" s="6" t="str">
        <f aca="false">IF($K421="","",IF(INDEX('Prospect Tracker'!$J$5:$J$554,$K421)="","",INDEX('Prospect Tracker'!$J$5:$J$554,$K421)))</f>
        <v/>
      </c>
      <c r="G421" s="6" t="str">
        <f aca="false">IF($K421="","",IF(INDEX('Prospect Tracker'!$H$5:$H$554,$K421)="","",INDEX('Prospect Tracker'!$H$5:$H$554,$K421)))</f>
        <v/>
      </c>
      <c r="H421" s="7" t="str">
        <f aca="false">IF($K421="","",IF(INDEX('Prospect Tracker'!$K$5:$K$554,$K421)="","",INDEX('Prospect Tracker'!$K$5:$K$554,$K421)))</f>
        <v/>
      </c>
      <c r="I421" s="6" t="str">
        <f aca="false">IF($K421="","",IF(INDEX('Prospect Tracker'!$T$5:$T$554,$K421)="","",INDEX('Prospect Tracker'!$T$5:$T$554,$K421)))</f>
        <v/>
      </c>
      <c r="J421" s="6" t="str">
        <f aca="false">IF($K421="","",IF(INDEX('Prospect Tracker'!$L$5:$L$554,$K421)="","",INDEX('Prospect Tracker'!$L$5:$L$554,$K421)))</f>
        <v/>
      </c>
      <c r="K421" s="1" t="n">
        <f aca="false">IFERROR(MATCH(SMALL('Prospect Tracker'!$X$5:$X$554,ROW()-4),'Prospect Tracker'!$X$5:$X$554,0),"")</f>
        <v>417</v>
      </c>
    </row>
    <row r="422" customFormat="false" ht="15" hidden="false" customHeight="true" outlineLevel="0" collapsed="false">
      <c r="A422" s="11" t="str">
        <f aca="false">IF($K422="","",IF(INDEX('Prospect Tracker'!$W$5:$W$554,$K422)="","",INDEX('Prospect Tracker'!$W$5:$W$554,$K422)))</f>
        <v/>
      </c>
      <c r="B422" s="11" t="str">
        <f aca="false">IF($K422="","",IF(INDEX('Prospect Tracker'!$A$5:$A$554,$K422)="","",INDEX('Prospect Tracker'!$A$5:$A$554,$K422)))</f>
        <v/>
      </c>
      <c r="C422" s="11" t="str">
        <f aca="false">IF($K422="","",IF(INDEX('Prospect Tracker'!$B$5:$B$554,$K422)="","",INDEX('Prospect Tracker'!$B$5:$B$554,$K422)))</f>
        <v/>
      </c>
      <c r="D422" s="11" t="str">
        <f aca="false">IF($K422="","",IF(INDEX('Prospect Tracker'!$M$5:$M$554,$K422)="","",INDEX('Prospect Tracker'!$M$5:$M$554,$K422)))</f>
        <v/>
      </c>
      <c r="E422" s="11" t="str">
        <f aca="false">IF($K422="","",IF(INDEX('Prospect Tracker'!$R$5:$R$554,$K422)="","",INDEX('Prospect Tracker'!$R$5:$R$554,$K422)))</f>
        <v/>
      </c>
      <c r="F422" s="11" t="str">
        <f aca="false">IF($K422="","",IF(INDEX('Prospect Tracker'!$J$5:$J$554,$K422)="","",INDEX('Prospect Tracker'!$J$5:$J$554,$K422)))</f>
        <v/>
      </c>
      <c r="G422" s="11" t="str">
        <f aca="false">IF($K422="","",IF(INDEX('Prospect Tracker'!$H$5:$H$554,$K422)="","",INDEX('Prospect Tracker'!$H$5:$H$554,$K422)))</f>
        <v/>
      </c>
      <c r="H422" s="12" t="str">
        <f aca="false">IF($K422="","",IF(INDEX('Prospect Tracker'!$K$5:$K$554,$K422)="","",INDEX('Prospect Tracker'!$K$5:$K$554,$K422)))</f>
        <v/>
      </c>
      <c r="I422" s="11" t="str">
        <f aca="false">IF($K422="","",IF(INDEX('Prospect Tracker'!$T$5:$T$554,$K422)="","",INDEX('Prospect Tracker'!$T$5:$T$554,$K422)))</f>
        <v/>
      </c>
      <c r="J422" s="11" t="str">
        <f aca="false">IF($K422="","",IF(INDEX('Prospect Tracker'!$L$5:$L$554,$K422)="","",INDEX('Prospect Tracker'!$L$5:$L$554,$K422)))</f>
        <v/>
      </c>
      <c r="K422" s="1" t="n">
        <f aca="false">IFERROR(MATCH(SMALL('Prospect Tracker'!$X$5:$X$554,ROW()-4),'Prospect Tracker'!$X$5:$X$554,0),"")</f>
        <v>418</v>
      </c>
    </row>
    <row r="423" customFormat="false" ht="15" hidden="false" customHeight="true" outlineLevel="0" collapsed="false">
      <c r="A423" s="6" t="str">
        <f aca="false">IF($K423="","",IF(INDEX('Prospect Tracker'!$W$5:$W$554,$K423)="","",INDEX('Prospect Tracker'!$W$5:$W$554,$K423)))</f>
        <v/>
      </c>
      <c r="B423" s="6" t="str">
        <f aca="false">IF($K423="","",IF(INDEX('Prospect Tracker'!$A$5:$A$554,$K423)="","",INDEX('Prospect Tracker'!$A$5:$A$554,$K423)))</f>
        <v/>
      </c>
      <c r="C423" s="6" t="str">
        <f aca="false">IF($K423="","",IF(INDEX('Prospect Tracker'!$B$5:$B$554,$K423)="","",INDEX('Prospect Tracker'!$B$5:$B$554,$K423)))</f>
        <v/>
      </c>
      <c r="D423" s="6" t="str">
        <f aca="false">IF($K423="","",IF(INDEX('Prospect Tracker'!$M$5:$M$554,$K423)="","",INDEX('Prospect Tracker'!$M$5:$M$554,$K423)))</f>
        <v/>
      </c>
      <c r="E423" s="6" t="str">
        <f aca="false">IF($K423="","",IF(INDEX('Prospect Tracker'!$R$5:$R$554,$K423)="","",INDEX('Prospect Tracker'!$R$5:$R$554,$K423)))</f>
        <v/>
      </c>
      <c r="F423" s="6" t="str">
        <f aca="false">IF($K423="","",IF(INDEX('Prospect Tracker'!$J$5:$J$554,$K423)="","",INDEX('Prospect Tracker'!$J$5:$J$554,$K423)))</f>
        <v/>
      </c>
      <c r="G423" s="6" t="str">
        <f aca="false">IF($K423="","",IF(INDEX('Prospect Tracker'!$H$5:$H$554,$K423)="","",INDEX('Prospect Tracker'!$H$5:$H$554,$K423)))</f>
        <v/>
      </c>
      <c r="H423" s="7" t="str">
        <f aca="false">IF($K423="","",IF(INDEX('Prospect Tracker'!$K$5:$K$554,$K423)="","",INDEX('Prospect Tracker'!$K$5:$K$554,$K423)))</f>
        <v/>
      </c>
      <c r="I423" s="6" t="str">
        <f aca="false">IF($K423="","",IF(INDEX('Prospect Tracker'!$T$5:$T$554,$K423)="","",INDEX('Prospect Tracker'!$T$5:$T$554,$K423)))</f>
        <v/>
      </c>
      <c r="J423" s="6" t="str">
        <f aca="false">IF($K423="","",IF(INDEX('Prospect Tracker'!$L$5:$L$554,$K423)="","",INDEX('Prospect Tracker'!$L$5:$L$554,$K423)))</f>
        <v/>
      </c>
      <c r="K423" s="1" t="n">
        <f aca="false">IFERROR(MATCH(SMALL('Prospect Tracker'!$X$5:$X$554,ROW()-4),'Prospect Tracker'!$X$5:$X$554,0),"")</f>
        <v>419</v>
      </c>
    </row>
    <row r="424" customFormat="false" ht="15" hidden="false" customHeight="true" outlineLevel="0" collapsed="false">
      <c r="A424" s="11" t="str">
        <f aca="false">IF($K424="","",IF(INDEX('Prospect Tracker'!$W$5:$W$554,$K424)="","",INDEX('Prospect Tracker'!$W$5:$W$554,$K424)))</f>
        <v/>
      </c>
      <c r="B424" s="11" t="str">
        <f aca="false">IF($K424="","",IF(INDEX('Prospect Tracker'!$A$5:$A$554,$K424)="","",INDEX('Prospect Tracker'!$A$5:$A$554,$K424)))</f>
        <v/>
      </c>
      <c r="C424" s="11" t="str">
        <f aca="false">IF($K424="","",IF(INDEX('Prospect Tracker'!$B$5:$B$554,$K424)="","",INDEX('Prospect Tracker'!$B$5:$B$554,$K424)))</f>
        <v/>
      </c>
      <c r="D424" s="11" t="str">
        <f aca="false">IF($K424="","",IF(INDEX('Prospect Tracker'!$M$5:$M$554,$K424)="","",INDEX('Prospect Tracker'!$M$5:$M$554,$K424)))</f>
        <v/>
      </c>
      <c r="E424" s="11" t="str">
        <f aca="false">IF($K424="","",IF(INDEX('Prospect Tracker'!$R$5:$R$554,$K424)="","",INDEX('Prospect Tracker'!$R$5:$R$554,$K424)))</f>
        <v/>
      </c>
      <c r="F424" s="11" t="str">
        <f aca="false">IF($K424="","",IF(INDEX('Prospect Tracker'!$J$5:$J$554,$K424)="","",INDEX('Prospect Tracker'!$J$5:$J$554,$K424)))</f>
        <v/>
      </c>
      <c r="G424" s="11" t="str">
        <f aca="false">IF($K424="","",IF(INDEX('Prospect Tracker'!$H$5:$H$554,$K424)="","",INDEX('Prospect Tracker'!$H$5:$H$554,$K424)))</f>
        <v/>
      </c>
      <c r="H424" s="12" t="str">
        <f aca="false">IF($K424="","",IF(INDEX('Prospect Tracker'!$K$5:$K$554,$K424)="","",INDEX('Prospect Tracker'!$K$5:$K$554,$K424)))</f>
        <v/>
      </c>
      <c r="I424" s="11" t="str">
        <f aca="false">IF($K424="","",IF(INDEX('Prospect Tracker'!$T$5:$T$554,$K424)="","",INDEX('Prospect Tracker'!$T$5:$T$554,$K424)))</f>
        <v/>
      </c>
      <c r="J424" s="11" t="str">
        <f aca="false">IF($K424="","",IF(INDEX('Prospect Tracker'!$L$5:$L$554,$K424)="","",INDEX('Prospect Tracker'!$L$5:$L$554,$K424)))</f>
        <v/>
      </c>
      <c r="K424" s="1" t="n">
        <f aca="false">IFERROR(MATCH(SMALL('Prospect Tracker'!$X$5:$X$554,ROW()-4),'Prospect Tracker'!$X$5:$X$554,0),"")</f>
        <v>420</v>
      </c>
    </row>
    <row r="425" customFormat="false" ht="15" hidden="false" customHeight="true" outlineLevel="0" collapsed="false">
      <c r="A425" s="6" t="str">
        <f aca="false">IF($K425="","",IF(INDEX('Prospect Tracker'!$W$5:$W$554,$K425)="","",INDEX('Prospect Tracker'!$W$5:$W$554,$K425)))</f>
        <v/>
      </c>
      <c r="B425" s="6" t="str">
        <f aca="false">IF($K425="","",IF(INDEX('Prospect Tracker'!$A$5:$A$554,$K425)="","",INDEX('Prospect Tracker'!$A$5:$A$554,$K425)))</f>
        <v/>
      </c>
      <c r="C425" s="6" t="str">
        <f aca="false">IF($K425="","",IF(INDEX('Prospect Tracker'!$B$5:$B$554,$K425)="","",INDEX('Prospect Tracker'!$B$5:$B$554,$K425)))</f>
        <v/>
      </c>
      <c r="D425" s="6" t="str">
        <f aca="false">IF($K425="","",IF(INDEX('Prospect Tracker'!$M$5:$M$554,$K425)="","",INDEX('Prospect Tracker'!$M$5:$M$554,$K425)))</f>
        <v/>
      </c>
      <c r="E425" s="6" t="str">
        <f aca="false">IF($K425="","",IF(INDEX('Prospect Tracker'!$R$5:$R$554,$K425)="","",INDEX('Prospect Tracker'!$R$5:$R$554,$K425)))</f>
        <v/>
      </c>
      <c r="F425" s="6" t="str">
        <f aca="false">IF($K425="","",IF(INDEX('Prospect Tracker'!$J$5:$J$554,$K425)="","",INDEX('Prospect Tracker'!$J$5:$J$554,$K425)))</f>
        <v/>
      </c>
      <c r="G425" s="6" t="str">
        <f aca="false">IF($K425="","",IF(INDEX('Prospect Tracker'!$H$5:$H$554,$K425)="","",INDEX('Prospect Tracker'!$H$5:$H$554,$K425)))</f>
        <v/>
      </c>
      <c r="H425" s="7" t="str">
        <f aca="false">IF($K425="","",IF(INDEX('Prospect Tracker'!$K$5:$K$554,$K425)="","",INDEX('Prospect Tracker'!$K$5:$K$554,$K425)))</f>
        <v/>
      </c>
      <c r="I425" s="6" t="str">
        <f aca="false">IF($K425="","",IF(INDEX('Prospect Tracker'!$T$5:$T$554,$K425)="","",INDEX('Prospect Tracker'!$T$5:$T$554,$K425)))</f>
        <v/>
      </c>
      <c r="J425" s="6" t="str">
        <f aca="false">IF($K425="","",IF(INDEX('Prospect Tracker'!$L$5:$L$554,$K425)="","",INDEX('Prospect Tracker'!$L$5:$L$554,$K425)))</f>
        <v/>
      </c>
      <c r="K425" s="1" t="n">
        <f aca="false">IFERROR(MATCH(SMALL('Prospect Tracker'!$X$5:$X$554,ROW()-4),'Prospect Tracker'!$X$5:$X$554,0),"")</f>
        <v>421</v>
      </c>
    </row>
    <row r="426" customFormat="false" ht="15" hidden="false" customHeight="true" outlineLevel="0" collapsed="false">
      <c r="A426" s="11" t="str">
        <f aca="false">IF($K426="","",IF(INDEX('Prospect Tracker'!$W$5:$W$554,$K426)="","",INDEX('Prospect Tracker'!$W$5:$W$554,$K426)))</f>
        <v/>
      </c>
      <c r="B426" s="11" t="str">
        <f aca="false">IF($K426="","",IF(INDEX('Prospect Tracker'!$A$5:$A$554,$K426)="","",INDEX('Prospect Tracker'!$A$5:$A$554,$K426)))</f>
        <v/>
      </c>
      <c r="C426" s="11" t="str">
        <f aca="false">IF($K426="","",IF(INDEX('Prospect Tracker'!$B$5:$B$554,$K426)="","",INDEX('Prospect Tracker'!$B$5:$B$554,$K426)))</f>
        <v/>
      </c>
      <c r="D426" s="11" t="str">
        <f aca="false">IF($K426="","",IF(INDEX('Prospect Tracker'!$M$5:$M$554,$K426)="","",INDEX('Prospect Tracker'!$M$5:$M$554,$K426)))</f>
        <v/>
      </c>
      <c r="E426" s="11" t="str">
        <f aca="false">IF($K426="","",IF(INDEX('Prospect Tracker'!$R$5:$R$554,$K426)="","",INDEX('Prospect Tracker'!$R$5:$R$554,$K426)))</f>
        <v/>
      </c>
      <c r="F426" s="11" t="str">
        <f aca="false">IF($K426="","",IF(INDEX('Prospect Tracker'!$J$5:$J$554,$K426)="","",INDEX('Prospect Tracker'!$J$5:$J$554,$K426)))</f>
        <v/>
      </c>
      <c r="G426" s="11" t="str">
        <f aca="false">IF($K426="","",IF(INDEX('Prospect Tracker'!$H$5:$H$554,$K426)="","",INDEX('Prospect Tracker'!$H$5:$H$554,$K426)))</f>
        <v/>
      </c>
      <c r="H426" s="12" t="str">
        <f aca="false">IF($K426="","",IF(INDEX('Prospect Tracker'!$K$5:$K$554,$K426)="","",INDEX('Prospect Tracker'!$K$5:$K$554,$K426)))</f>
        <v/>
      </c>
      <c r="I426" s="11" t="str">
        <f aca="false">IF($K426="","",IF(INDEX('Prospect Tracker'!$T$5:$T$554,$K426)="","",INDEX('Prospect Tracker'!$T$5:$T$554,$K426)))</f>
        <v/>
      </c>
      <c r="J426" s="11" t="str">
        <f aca="false">IF($K426="","",IF(INDEX('Prospect Tracker'!$L$5:$L$554,$K426)="","",INDEX('Prospect Tracker'!$L$5:$L$554,$K426)))</f>
        <v/>
      </c>
      <c r="K426" s="1" t="n">
        <f aca="false">IFERROR(MATCH(SMALL('Prospect Tracker'!$X$5:$X$554,ROW()-4),'Prospect Tracker'!$X$5:$X$554,0),"")</f>
        <v>422</v>
      </c>
    </row>
    <row r="427" customFormat="false" ht="15" hidden="false" customHeight="true" outlineLevel="0" collapsed="false">
      <c r="A427" s="6" t="str">
        <f aca="false">IF($K427="","",IF(INDEX('Prospect Tracker'!$W$5:$W$554,$K427)="","",INDEX('Prospect Tracker'!$W$5:$W$554,$K427)))</f>
        <v/>
      </c>
      <c r="B427" s="6" t="str">
        <f aca="false">IF($K427="","",IF(INDEX('Prospect Tracker'!$A$5:$A$554,$K427)="","",INDEX('Prospect Tracker'!$A$5:$A$554,$K427)))</f>
        <v/>
      </c>
      <c r="C427" s="6" t="str">
        <f aca="false">IF($K427="","",IF(INDEX('Prospect Tracker'!$B$5:$B$554,$K427)="","",INDEX('Prospect Tracker'!$B$5:$B$554,$K427)))</f>
        <v/>
      </c>
      <c r="D427" s="6" t="str">
        <f aca="false">IF($K427="","",IF(INDEX('Prospect Tracker'!$M$5:$M$554,$K427)="","",INDEX('Prospect Tracker'!$M$5:$M$554,$K427)))</f>
        <v/>
      </c>
      <c r="E427" s="6" t="str">
        <f aca="false">IF($K427="","",IF(INDEX('Prospect Tracker'!$R$5:$R$554,$K427)="","",INDEX('Prospect Tracker'!$R$5:$R$554,$K427)))</f>
        <v/>
      </c>
      <c r="F427" s="6" t="str">
        <f aca="false">IF($K427="","",IF(INDEX('Prospect Tracker'!$J$5:$J$554,$K427)="","",INDEX('Prospect Tracker'!$J$5:$J$554,$K427)))</f>
        <v/>
      </c>
      <c r="G427" s="6" t="str">
        <f aca="false">IF($K427="","",IF(INDEX('Prospect Tracker'!$H$5:$H$554,$K427)="","",INDEX('Prospect Tracker'!$H$5:$H$554,$K427)))</f>
        <v/>
      </c>
      <c r="H427" s="7" t="str">
        <f aca="false">IF($K427="","",IF(INDEX('Prospect Tracker'!$K$5:$K$554,$K427)="","",INDEX('Prospect Tracker'!$K$5:$K$554,$K427)))</f>
        <v/>
      </c>
      <c r="I427" s="6" t="str">
        <f aca="false">IF($K427="","",IF(INDEX('Prospect Tracker'!$T$5:$T$554,$K427)="","",INDEX('Prospect Tracker'!$T$5:$T$554,$K427)))</f>
        <v/>
      </c>
      <c r="J427" s="6" t="str">
        <f aca="false">IF($K427="","",IF(INDEX('Prospect Tracker'!$L$5:$L$554,$K427)="","",INDEX('Prospect Tracker'!$L$5:$L$554,$K427)))</f>
        <v/>
      </c>
      <c r="K427" s="1" t="n">
        <f aca="false">IFERROR(MATCH(SMALL('Prospect Tracker'!$X$5:$X$554,ROW()-4),'Prospect Tracker'!$X$5:$X$554,0),"")</f>
        <v>423</v>
      </c>
    </row>
    <row r="428" customFormat="false" ht="15" hidden="false" customHeight="true" outlineLevel="0" collapsed="false">
      <c r="A428" s="11" t="str">
        <f aca="false">IF($K428="","",IF(INDEX('Prospect Tracker'!$W$5:$W$554,$K428)="","",INDEX('Prospect Tracker'!$W$5:$W$554,$K428)))</f>
        <v/>
      </c>
      <c r="B428" s="11" t="str">
        <f aca="false">IF($K428="","",IF(INDEX('Prospect Tracker'!$A$5:$A$554,$K428)="","",INDEX('Prospect Tracker'!$A$5:$A$554,$K428)))</f>
        <v/>
      </c>
      <c r="C428" s="11" t="str">
        <f aca="false">IF($K428="","",IF(INDEX('Prospect Tracker'!$B$5:$B$554,$K428)="","",INDEX('Prospect Tracker'!$B$5:$B$554,$K428)))</f>
        <v/>
      </c>
      <c r="D428" s="11" t="str">
        <f aca="false">IF($K428="","",IF(INDEX('Prospect Tracker'!$M$5:$M$554,$K428)="","",INDEX('Prospect Tracker'!$M$5:$M$554,$K428)))</f>
        <v/>
      </c>
      <c r="E428" s="11" t="str">
        <f aca="false">IF($K428="","",IF(INDEX('Prospect Tracker'!$R$5:$R$554,$K428)="","",INDEX('Prospect Tracker'!$R$5:$R$554,$K428)))</f>
        <v/>
      </c>
      <c r="F428" s="11" t="str">
        <f aca="false">IF($K428="","",IF(INDEX('Prospect Tracker'!$J$5:$J$554,$K428)="","",INDEX('Prospect Tracker'!$J$5:$J$554,$K428)))</f>
        <v/>
      </c>
      <c r="G428" s="11" t="str">
        <f aca="false">IF($K428="","",IF(INDEX('Prospect Tracker'!$H$5:$H$554,$K428)="","",INDEX('Prospect Tracker'!$H$5:$H$554,$K428)))</f>
        <v/>
      </c>
      <c r="H428" s="12" t="str">
        <f aca="false">IF($K428="","",IF(INDEX('Prospect Tracker'!$K$5:$K$554,$K428)="","",INDEX('Prospect Tracker'!$K$5:$K$554,$K428)))</f>
        <v/>
      </c>
      <c r="I428" s="11" t="str">
        <f aca="false">IF($K428="","",IF(INDEX('Prospect Tracker'!$T$5:$T$554,$K428)="","",INDEX('Prospect Tracker'!$T$5:$T$554,$K428)))</f>
        <v/>
      </c>
      <c r="J428" s="11" t="str">
        <f aca="false">IF($K428="","",IF(INDEX('Prospect Tracker'!$L$5:$L$554,$K428)="","",INDEX('Prospect Tracker'!$L$5:$L$554,$K428)))</f>
        <v/>
      </c>
      <c r="K428" s="1" t="n">
        <f aca="false">IFERROR(MATCH(SMALL('Prospect Tracker'!$X$5:$X$554,ROW()-4),'Prospect Tracker'!$X$5:$X$554,0),"")</f>
        <v>424</v>
      </c>
    </row>
    <row r="429" customFormat="false" ht="15" hidden="false" customHeight="true" outlineLevel="0" collapsed="false">
      <c r="A429" s="6" t="str">
        <f aca="false">IF($K429="","",IF(INDEX('Prospect Tracker'!$W$5:$W$554,$K429)="","",INDEX('Prospect Tracker'!$W$5:$W$554,$K429)))</f>
        <v/>
      </c>
      <c r="B429" s="6" t="str">
        <f aca="false">IF($K429="","",IF(INDEX('Prospect Tracker'!$A$5:$A$554,$K429)="","",INDEX('Prospect Tracker'!$A$5:$A$554,$K429)))</f>
        <v/>
      </c>
      <c r="C429" s="6" t="str">
        <f aca="false">IF($K429="","",IF(INDEX('Prospect Tracker'!$B$5:$B$554,$K429)="","",INDEX('Prospect Tracker'!$B$5:$B$554,$K429)))</f>
        <v/>
      </c>
      <c r="D429" s="6" t="str">
        <f aca="false">IF($K429="","",IF(INDEX('Prospect Tracker'!$M$5:$M$554,$K429)="","",INDEX('Prospect Tracker'!$M$5:$M$554,$K429)))</f>
        <v/>
      </c>
      <c r="E429" s="6" t="str">
        <f aca="false">IF($K429="","",IF(INDEX('Prospect Tracker'!$R$5:$R$554,$K429)="","",INDEX('Prospect Tracker'!$R$5:$R$554,$K429)))</f>
        <v/>
      </c>
      <c r="F429" s="6" t="str">
        <f aca="false">IF($K429="","",IF(INDEX('Prospect Tracker'!$J$5:$J$554,$K429)="","",INDEX('Prospect Tracker'!$J$5:$J$554,$K429)))</f>
        <v/>
      </c>
      <c r="G429" s="6" t="str">
        <f aca="false">IF($K429="","",IF(INDEX('Prospect Tracker'!$H$5:$H$554,$K429)="","",INDEX('Prospect Tracker'!$H$5:$H$554,$K429)))</f>
        <v/>
      </c>
      <c r="H429" s="7" t="str">
        <f aca="false">IF($K429="","",IF(INDEX('Prospect Tracker'!$K$5:$K$554,$K429)="","",INDEX('Prospect Tracker'!$K$5:$K$554,$K429)))</f>
        <v/>
      </c>
      <c r="I429" s="6" t="str">
        <f aca="false">IF($K429="","",IF(INDEX('Prospect Tracker'!$T$5:$T$554,$K429)="","",INDEX('Prospect Tracker'!$T$5:$T$554,$K429)))</f>
        <v/>
      </c>
      <c r="J429" s="6" t="str">
        <f aca="false">IF($K429="","",IF(INDEX('Prospect Tracker'!$L$5:$L$554,$K429)="","",INDEX('Prospect Tracker'!$L$5:$L$554,$K429)))</f>
        <v/>
      </c>
      <c r="K429" s="1" t="n">
        <f aca="false">IFERROR(MATCH(SMALL('Prospect Tracker'!$X$5:$X$554,ROW()-4),'Prospect Tracker'!$X$5:$X$554,0),"")</f>
        <v>425</v>
      </c>
    </row>
    <row r="430" customFormat="false" ht="15" hidden="false" customHeight="true" outlineLevel="0" collapsed="false">
      <c r="A430" s="11" t="str">
        <f aca="false">IF($K430="","",IF(INDEX('Prospect Tracker'!$W$5:$W$554,$K430)="","",INDEX('Prospect Tracker'!$W$5:$W$554,$K430)))</f>
        <v/>
      </c>
      <c r="B430" s="11" t="str">
        <f aca="false">IF($K430="","",IF(INDEX('Prospect Tracker'!$A$5:$A$554,$K430)="","",INDEX('Prospect Tracker'!$A$5:$A$554,$K430)))</f>
        <v/>
      </c>
      <c r="C430" s="11" t="str">
        <f aca="false">IF($K430="","",IF(INDEX('Prospect Tracker'!$B$5:$B$554,$K430)="","",INDEX('Prospect Tracker'!$B$5:$B$554,$K430)))</f>
        <v/>
      </c>
      <c r="D430" s="11" t="str">
        <f aca="false">IF($K430="","",IF(INDEX('Prospect Tracker'!$M$5:$M$554,$K430)="","",INDEX('Prospect Tracker'!$M$5:$M$554,$K430)))</f>
        <v/>
      </c>
      <c r="E430" s="11" t="str">
        <f aca="false">IF($K430="","",IF(INDEX('Prospect Tracker'!$R$5:$R$554,$K430)="","",INDEX('Prospect Tracker'!$R$5:$R$554,$K430)))</f>
        <v/>
      </c>
      <c r="F430" s="11" t="str">
        <f aca="false">IF($K430="","",IF(INDEX('Prospect Tracker'!$J$5:$J$554,$K430)="","",INDEX('Prospect Tracker'!$J$5:$J$554,$K430)))</f>
        <v/>
      </c>
      <c r="G430" s="11" t="str">
        <f aca="false">IF($K430="","",IF(INDEX('Prospect Tracker'!$H$5:$H$554,$K430)="","",INDEX('Prospect Tracker'!$H$5:$H$554,$K430)))</f>
        <v/>
      </c>
      <c r="H430" s="12" t="str">
        <f aca="false">IF($K430="","",IF(INDEX('Prospect Tracker'!$K$5:$K$554,$K430)="","",INDEX('Prospect Tracker'!$K$5:$K$554,$K430)))</f>
        <v/>
      </c>
      <c r="I430" s="11" t="str">
        <f aca="false">IF($K430="","",IF(INDEX('Prospect Tracker'!$T$5:$T$554,$K430)="","",INDEX('Prospect Tracker'!$T$5:$T$554,$K430)))</f>
        <v/>
      </c>
      <c r="J430" s="11" t="str">
        <f aca="false">IF($K430="","",IF(INDEX('Prospect Tracker'!$L$5:$L$554,$K430)="","",INDEX('Prospect Tracker'!$L$5:$L$554,$K430)))</f>
        <v/>
      </c>
      <c r="K430" s="1" t="n">
        <f aca="false">IFERROR(MATCH(SMALL('Prospect Tracker'!$X$5:$X$554,ROW()-4),'Prospect Tracker'!$X$5:$X$554,0),"")</f>
        <v>426</v>
      </c>
    </row>
    <row r="431" customFormat="false" ht="15" hidden="false" customHeight="true" outlineLevel="0" collapsed="false">
      <c r="A431" s="6" t="str">
        <f aca="false">IF($K431="","",IF(INDEX('Prospect Tracker'!$W$5:$W$554,$K431)="","",INDEX('Prospect Tracker'!$W$5:$W$554,$K431)))</f>
        <v/>
      </c>
      <c r="B431" s="6" t="str">
        <f aca="false">IF($K431="","",IF(INDEX('Prospect Tracker'!$A$5:$A$554,$K431)="","",INDEX('Prospect Tracker'!$A$5:$A$554,$K431)))</f>
        <v/>
      </c>
      <c r="C431" s="6" t="str">
        <f aca="false">IF($K431="","",IF(INDEX('Prospect Tracker'!$B$5:$B$554,$K431)="","",INDEX('Prospect Tracker'!$B$5:$B$554,$K431)))</f>
        <v/>
      </c>
      <c r="D431" s="6" t="str">
        <f aca="false">IF($K431="","",IF(INDEX('Prospect Tracker'!$M$5:$M$554,$K431)="","",INDEX('Prospect Tracker'!$M$5:$M$554,$K431)))</f>
        <v/>
      </c>
      <c r="E431" s="6" t="str">
        <f aca="false">IF($K431="","",IF(INDEX('Prospect Tracker'!$R$5:$R$554,$K431)="","",INDEX('Prospect Tracker'!$R$5:$R$554,$K431)))</f>
        <v/>
      </c>
      <c r="F431" s="6" t="str">
        <f aca="false">IF($K431="","",IF(INDEX('Prospect Tracker'!$J$5:$J$554,$K431)="","",INDEX('Prospect Tracker'!$J$5:$J$554,$K431)))</f>
        <v/>
      </c>
      <c r="G431" s="6" t="str">
        <f aca="false">IF($K431="","",IF(INDEX('Prospect Tracker'!$H$5:$H$554,$K431)="","",INDEX('Prospect Tracker'!$H$5:$H$554,$K431)))</f>
        <v/>
      </c>
      <c r="H431" s="7" t="str">
        <f aca="false">IF($K431="","",IF(INDEX('Prospect Tracker'!$K$5:$K$554,$K431)="","",INDEX('Prospect Tracker'!$K$5:$K$554,$K431)))</f>
        <v/>
      </c>
      <c r="I431" s="6" t="str">
        <f aca="false">IF($K431="","",IF(INDEX('Prospect Tracker'!$T$5:$T$554,$K431)="","",INDEX('Prospect Tracker'!$T$5:$T$554,$K431)))</f>
        <v/>
      </c>
      <c r="J431" s="6" t="str">
        <f aca="false">IF($K431="","",IF(INDEX('Prospect Tracker'!$L$5:$L$554,$K431)="","",INDEX('Prospect Tracker'!$L$5:$L$554,$K431)))</f>
        <v/>
      </c>
      <c r="K431" s="1" t="n">
        <f aca="false">IFERROR(MATCH(SMALL('Prospect Tracker'!$X$5:$X$554,ROW()-4),'Prospect Tracker'!$X$5:$X$554,0),"")</f>
        <v>427</v>
      </c>
    </row>
    <row r="432" customFormat="false" ht="15" hidden="false" customHeight="true" outlineLevel="0" collapsed="false">
      <c r="A432" s="11" t="str">
        <f aca="false">IF($K432="","",IF(INDEX('Prospect Tracker'!$W$5:$W$554,$K432)="","",INDEX('Prospect Tracker'!$W$5:$W$554,$K432)))</f>
        <v/>
      </c>
      <c r="B432" s="11" t="str">
        <f aca="false">IF($K432="","",IF(INDEX('Prospect Tracker'!$A$5:$A$554,$K432)="","",INDEX('Prospect Tracker'!$A$5:$A$554,$K432)))</f>
        <v/>
      </c>
      <c r="C432" s="11" t="str">
        <f aca="false">IF($K432="","",IF(INDEX('Prospect Tracker'!$B$5:$B$554,$K432)="","",INDEX('Prospect Tracker'!$B$5:$B$554,$K432)))</f>
        <v/>
      </c>
      <c r="D432" s="11" t="str">
        <f aca="false">IF($K432="","",IF(INDEX('Prospect Tracker'!$M$5:$M$554,$K432)="","",INDEX('Prospect Tracker'!$M$5:$M$554,$K432)))</f>
        <v/>
      </c>
      <c r="E432" s="11" t="str">
        <f aca="false">IF($K432="","",IF(INDEX('Prospect Tracker'!$R$5:$R$554,$K432)="","",INDEX('Prospect Tracker'!$R$5:$R$554,$K432)))</f>
        <v/>
      </c>
      <c r="F432" s="11" t="str">
        <f aca="false">IF($K432="","",IF(INDEX('Prospect Tracker'!$J$5:$J$554,$K432)="","",INDEX('Prospect Tracker'!$J$5:$J$554,$K432)))</f>
        <v/>
      </c>
      <c r="G432" s="11" t="str">
        <f aca="false">IF($K432="","",IF(INDEX('Prospect Tracker'!$H$5:$H$554,$K432)="","",INDEX('Prospect Tracker'!$H$5:$H$554,$K432)))</f>
        <v/>
      </c>
      <c r="H432" s="12" t="str">
        <f aca="false">IF($K432="","",IF(INDEX('Prospect Tracker'!$K$5:$K$554,$K432)="","",INDEX('Prospect Tracker'!$K$5:$K$554,$K432)))</f>
        <v/>
      </c>
      <c r="I432" s="11" t="str">
        <f aca="false">IF($K432="","",IF(INDEX('Prospect Tracker'!$T$5:$T$554,$K432)="","",INDEX('Prospect Tracker'!$T$5:$T$554,$K432)))</f>
        <v/>
      </c>
      <c r="J432" s="11" t="str">
        <f aca="false">IF($K432="","",IF(INDEX('Prospect Tracker'!$L$5:$L$554,$K432)="","",INDEX('Prospect Tracker'!$L$5:$L$554,$K432)))</f>
        <v/>
      </c>
      <c r="K432" s="1" t="n">
        <f aca="false">IFERROR(MATCH(SMALL('Prospect Tracker'!$X$5:$X$554,ROW()-4),'Prospect Tracker'!$X$5:$X$554,0),"")</f>
        <v>428</v>
      </c>
    </row>
    <row r="433" customFormat="false" ht="15" hidden="false" customHeight="true" outlineLevel="0" collapsed="false">
      <c r="A433" s="6" t="str">
        <f aca="false">IF($K433="","",IF(INDEX('Prospect Tracker'!$W$5:$W$554,$K433)="","",INDEX('Prospect Tracker'!$W$5:$W$554,$K433)))</f>
        <v/>
      </c>
      <c r="B433" s="6" t="str">
        <f aca="false">IF($K433="","",IF(INDEX('Prospect Tracker'!$A$5:$A$554,$K433)="","",INDEX('Prospect Tracker'!$A$5:$A$554,$K433)))</f>
        <v/>
      </c>
      <c r="C433" s="6" t="str">
        <f aca="false">IF($K433="","",IF(INDEX('Prospect Tracker'!$B$5:$B$554,$K433)="","",INDEX('Prospect Tracker'!$B$5:$B$554,$K433)))</f>
        <v/>
      </c>
      <c r="D433" s="6" t="str">
        <f aca="false">IF($K433="","",IF(INDEX('Prospect Tracker'!$M$5:$M$554,$K433)="","",INDEX('Prospect Tracker'!$M$5:$M$554,$K433)))</f>
        <v/>
      </c>
      <c r="E433" s="6" t="str">
        <f aca="false">IF($K433="","",IF(INDEX('Prospect Tracker'!$R$5:$R$554,$K433)="","",INDEX('Prospect Tracker'!$R$5:$R$554,$K433)))</f>
        <v/>
      </c>
      <c r="F433" s="6" t="str">
        <f aca="false">IF($K433="","",IF(INDEX('Prospect Tracker'!$J$5:$J$554,$K433)="","",INDEX('Prospect Tracker'!$J$5:$J$554,$K433)))</f>
        <v/>
      </c>
      <c r="G433" s="6" t="str">
        <f aca="false">IF($K433="","",IF(INDEX('Prospect Tracker'!$H$5:$H$554,$K433)="","",INDEX('Prospect Tracker'!$H$5:$H$554,$K433)))</f>
        <v/>
      </c>
      <c r="H433" s="7" t="str">
        <f aca="false">IF($K433="","",IF(INDEX('Prospect Tracker'!$K$5:$K$554,$K433)="","",INDEX('Prospect Tracker'!$K$5:$K$554,$K433)))</f>
        <v/>
      </c>
      <c r="I433" s="6" t="str">
        <f aca="false">IF($K433="","",IF(INDEX('Prospect Tracker'!$T$5:$T$554,$K433)="","",INDEX('Prospect Tracker'!$T$5:$T$554,$K433)))</f>
        <v/>
      </c>
      <c r="J433" s="6" t="str">
        <f aca="false">IF($K433="","",IF(INDEX('Prospect Tracker'!$L$5:$L$554,$K433)="","",INDEX('Prospect Tracker'!$L$5:$L$554,$K433)))</f>
        <v/>
      </c>
      <c r="K433" s="1" t="n">
        <f aca="false">IFERROR(MATCH(SMALL('Prospect Tracker'!$X$5:$X$554,ROW()-4),'Prospect Tracker'!$X$5:$X$554,0),"")</f>
        <v>429</v>
      </c>
    </row>
    <row r="434" customFormat="false" ht="15" hidden="false" customHeight="true" outlineLevel="0" collapsed="false">
      <c r="A434" s="11" t="str">
        <f aca="false">IF($K434="","",IF(INDEX('Prospect Tracker'!$W$5:$W$554,$K434)="","",INDEX('Prospect Tracker'!$W$5:$W$554,$K434)))</f>
        <v/>
      </c>
      <c r="B434" s="11" t="str">
        <f aca="false">IF($K434="","",IF(INDEX('Prospect Tracker'!$A$5:$A$554,$K434)="","",INDEX('Prospect Tracker'!$A$5:$A$554,$K434)))</f>
        <v/>
      </c>
      <c r="C434" s="11" t="str">
        <f aca="false">IF($K434="","",IF(INDEX('Prospect Tracker'!$B$5:$B$554,$K434)="","",INDEX('Prospect Tracker'!$B$5:$B$554,$K434)))</f>
        <v/>
      </c>
      <c r="D434" s="11" t="str">
        <f aca="false">IF($K434="","",IF(INDEX('Prospect Tracker'!$M$5:$M$554,$K434)="","",INDEX('Prospect Tracker'!$M$5:$M$554,$K434)))</f>
        <v/>
      </c>
      <c r="E434" s="11" t="str">
        <f aca="false">IF($K434="","",IF(INDEX('Prospect Tracker'!$R$5:$R$554,$K434)="","",INDEX('Prospect Tracker'!$R$5:$R$554,$K434)))</f>
        <v/>
      </c>
      <c r="F434" s="11" t="str">
        <f aca="false">IF($K434="","",IF(INDEX('Prospect Tracker'!$J$5:$J$554,$K434)="","",INDEX('Prospect Tracker'!$J$5:$J$554,$K434)))</f>
        <v/>
      </c>
      <c r="G434" s="11" t="str">
        <f aca="false">IF($K434="","",IF(INDEX('Prospect Tracker'!$H$5:$H$554,$K434)="","",INDEX('Prospect Tracker'!$H$5:$H$554,$K434)))</f>
        <v/>
      </c>
      <c r="H434" s="12" t="str">
        <f aca="false">IF($K434="","",IF(INDEX('Prospect Tracker'!$K$5:$K$554,$K434)="","",INDEX('Prospect Tracker'!$K$5:$K$554,$K434)))</f>
        <v/>
      </c>
      <c r="I434" s="11" t="str">
        <f aca="false">IF($K434="","",IF(INDEX('Prospect Tracker'!$T$5:$T$554,$K434)="","",INDEX('Prospect Tracker'!$T$5:$T$554,$K434)))</f>
        <v/>
      </c>
      <c r="J434" s="11" t="str">
        <f aca="false">IF($K434="","",IF(INDEX('Prospect Tracker'!$L$5:$L$554,$K434)="","",INDEX('Prospect Tracker'!$L$5:$L$554,$K434)))</f>
        <v/>
      </c>
      <c r="K434" s="1" t="n">
        <f aca="false">IFERROR(MATCH(SMALL('Prospect Tracker'!$X$5:$X$554,ROW()-4),'Prospect Tracker'!$X$5:$X$554,0),"")</f>
        <v>430</v>
      </c>
    </row>
    <row r="435" customFormat="false" ht="15" hidden="false" customHeight="true" outlineLevel="0" collapsed="false">
      <c r="A435" s="6" t="str">
        <f aca="false">IF($K435="","",IF(INDEX('Prospect Tracker'!$W$5:$W$554,$K435)="","",INDEX('Prospect Tracker'!$W$5:$W$554,$K435)))</f>
        <v/>
      </c>
      <c r="B435" s="6" t="str">
        <f aca="false">IF($K435="","",IF(INDEX('Prospect Tracker'!$A$5:$A$554,$K435)="","",INDEX('Prospect Tracker'!$A$5:$A$554,$K435)))</f>
        <v/>
      </c>
      <c r="C435" s="6" t="str">
        <f aca="false">IF($K435="","",IF(INDEX('Prospect Tracker'!$B$5:$B$554,$K435)="","",INDEX('Prospect Tracker'!$B$5:$B$554,$K435)))</f>
        <v/>
      </c>
      <c r="D435" s="6" t="str">
        <f aca="false">IF($K435="","",IF(INDEX('Prospect Tracker'!$M$5:$M$554,$K435)="","",INDEX('Prospect Tracker'!$M$5:$M$554,$K435)))</f>
        <v/>
      </c>
      <c r="E435" s="6" t="str">
        <f aca="false">IF($K435="","",IF(INDEX('Prospect Tracker'!$R$5:$R$554,$K435)="","",INDEX('Prospect Tracker'!$R$5:$R$554,$K435)))</f>
        <v/>
      </c>
      <c r="F435" s="6" t="str">
        <f aca="false">IF($K435="","",IF(INDEX('Prospect Tracker'!$J$5:$J$554,$K435)="","",INDEX('Prospect Tracker'!$J$5:$J$554,$K435)))</f>
        <v/>
      </c>
      <c r="G435" s="6" t="str">
        <f aca="false">IF($K435="","",IF(INDEX('Prospect Tracker'!$H$5:$H$554,$K435)="","",INDEX('Prospect Tracker'!$H$5:$H$554,$K435)))</f>
        <v/>
      </c>
      <c r="H435" s="7" t="str">
        <f aca="false">IF($K435="","",IF(INDEX('Prospect Tracker'!$K$5:$K$554,$K435)="","",INDEX('Prospect Tracker'!$K$5:$K$554,$K435)))</f>
        <v/>
      </c>
      <c r="I435" s="6" t="str">
        <f aca="false">IF($K435="","",IF(INDEX('Prospect Tracker'!$T$5:$T$554,$K435)="","",INDEX('Prospect Tracker'!$T$5:$T$554,$K435)))</f>
        <v/>
      </c>
      <c r="J435" s="6" t="str">
        <f aca="false">IF($K435="","",IF(INDEX('Prospect Tracker'!$L$5:$L$554,$K435)="","",INDEX('Prospect Tracker'!$L$5:$L$554,$K435)))</f>
        <v/>
      </c>
      <c r="K435" s="1" t="n">
        <f aca="false">IFERROR(MATCH(SMALL('Prospect Tracker'!$X$5:$X$554,ROW()-4),'Prospect Tracker'!$X$5:$X$554,0),"")</f>
        <v>431</v>
      </c>
    </row>
    <row r="436" customFormat="false" ht="15" hidden="false" customHeight="true" outlineLevel="0" collapsed="false">
      <c r="A436" s="11" t="str">
        <f aca="false">IF($K436="","",IF(INDEX('Prospect Tracker'!$W$5:$W$554,$K436)="","",INDEX('Prospect Tracker'!$W$5:$W$554,$K436)))</f>
        <v/>
      </c>
      <c r="B436" s="11" t="str">
        <f aca="false">IF($K436="","",IF(INDEX('Prospect Tracker'!$A$5:$A$554,$K436)="","",INDEX('Prospect Tracker'!$A$5:$A$554,$K436)))</f>
        <v/>
      </c>
      <c r="C436" s="11" t="str">
        <f aca="false">IF($K436="","",IF(INDEX('Prospect Tracker'!$B$5:$B$554,$K436)="","",INDEX('Prospect Tracker'!$B$5:$B$554,$K436)))</f>
        <v/>
      </c>
      <c r="D436" s="11" t="str">
        <f aca="false">IF($K436="","",IF(INDEX('Prospect Tracker'!$M$5:$M$554,$K436)="","",INDEX('Prospect Tracker'!$M$5:$M$554,$K436)))</f>
        <v/>
      </c>
      <c r="E436" s="11" t="str">
        <f aca="false">IF($K436="","",IF(INDEX('Prospect Tracker'!$R$5:$R$554,$K436)="","",INDEX('Prospect Tracker'!$R$5:$R$554,$K436)))</f>
        <v/>
      </c>
      <c r="F436" s="11" t="str">
        <f aca="false">IF($K436="","",IF(INDEX('Prospect Tracker'!$J$5:$J$554,$K436)="","",INDEX('Prospect Tracker'!$J$5:$J$554,$K436)))</f>
        <v/>
      </c>
      <c r="G436" s="11" t="str">
        <f aca="false">IF($K436="","",IF(INDEX('Prospect Tracker'!$H$5:$H$554,$K436)="","",INDEX('Prospect Tracker'!$H$5:$H$554,$K436)))</f>
        <v/>
      </c>
      <c r="H436" s="12" t="str">
        <f aca="false">IF($K436="","",IF(INDEX('Prospect Tracker'!$K$5:$K$554,$K436)="","",INDEX('Prospect Tracker'!$K$5:$K$554,$K436)))</f>
        <v/>
      </c>
      <c r="I436" s="11" t="str">
        <f aca="false">IF($K436="","",IF(INDEX('Prospect Tracker'!$T$5:$T$554,$K436)="","",INDEX('Prospect Tracker'!$T$5:$T$554,$K436)))</f>
        <v/>
      </c>
      <c r="J436" s="11" t="str">
        <f aca="false">IF($K436="","",IF(INDEX('Prospect Tracker'!$L$5:$L$554,$K436)="","",INDEX('Prospect Tracker'!$L$5:$L$554,$K436)))</f>
        <v/>
      </c>
      <c r="K436" s="1" t="n">
        <f aca="false">IFERROR(MATCH(SMALL('Prospect Tracker'!$X$5:$X$554,ROW()-4),'Prospect Tracker'!$X$5:$X$554,0),"")</f>
        <v>432</v>
      </c>
    </row>
    <row r="437" customFormat="false" ht="15" hidden="false" customHeight="true" outlineLevel="0" collapsed="false">
      <c r="A437" s="6" t="str">
        <f aca="false">IF($K437="","",IF(INDEX('Prospect Tracker'!$W$5:$W$554,$K437)="","",INDEX('Prospect Tracker'!$W$5:$W$554,$K437)))</f>
        <v/>
      </c>
      <c r="B437" s="6" t="str">
        <f aca="false">IF($K437="","",IF(INDEX('Prospect Tracker'!$A$5:$A$554,$K437)="","",INDEX('Prospect Tracker'!$A$5:$A$554,$K437)))</f>
        <v/>
      </c>
      <c r="C437" s="6" t="str">
        <f aca="false">IF($K437="","",IF(INDEX('Prospect Tracker'!$B$5:$B$554,$K437)="","",INDEX('Prospect Tracker'!$B$5:$B$554,$K437)))</f>
        <v/>
      </c>
      <c r="D437" s="6" t="str">
        <f aca="false">IF($K437="","",IF(INDEX('Prospect Tracker'!$M$5:$M$554,$K437)="","",INDEX('Prospect Tracker'!$M$5:$M$554,$K437)))</f>
        <v/>
      </c>
      <c r="E437" s="6" t="str">
        <f aca="false">IF($K437="","",IF(INDEX('Prospect Tracker'!$R$5:$R$554,$K437)="","",INDEX('Prospect Tracker'!$R$5:$R$554,$K437)))</f>
        <v/>
      </c>
      <c r="F437" s="6" t="str">
        <f aca="false">IF($K437="","",IF(INDEX('Prospect Tracker'!$J$5:$J$554,$K437)="","",INDEX('Prospect Tracker'!$J$5:$J$554,$K437)))</f>
        <v/>
      </c>
      <c r="G437" s="6" t="str">
        <f aca="false">IF($K437="","",IF(INDEX('Prospect Tracker'!$H$5:$H$554,$K437)="","",INDEX('Prospect Tracker'!$H$5:$H$554,$K437)))</f>
        <v/>
      </c>
      <c r="H437" s="7" t="str">
        <f aca="false">IF($K437="","",IF(INDEX('Prospect Tracker'!$K$5:$K$554,$K437)="","",INDEX('Prospect Tracker'!$K$5:$K$554,$K437)))</f>
        <v/>
      </c>
      <c r="I437" s="6" t="str">
        <f aca="false">IF($K437="","",IF(INDEX('Prospect Tracker'!$T$5:$T$554,$K437)="","",INDEX('Prospect Tracker'!$T$5:$T$554,$K437)))</f>
        <v/>
      </c>
      <c r="J437" s="6" t="str">
        <f aca="false">IF($K437="","",IF(INDEX('Prospect Tracker'!$L$5:$L$554,$K437)="","",INDEX('Prospect Tracker'!$L$5:$L$554,$K437)))</f>
        <v/>
      </c>
      <c r="K437" s="1" t="n">
        <f aca="false">IFERROR(MATCH(SMALL('Prospect Tracker'!$X$5:$X$554,ROW()-4),'Prospect Tracker'!$X$5:$X$554,0),"")</f>
        <v>433</v>
      </c>
    </row>
    <row r="438" customFormat="false" ht="15" hidden="false" customHeight="true" outlineLevel="0" collapsed="false">
      <c r="A438" s="11" t="str">
        <f aca="false">IF($K438="","",IF(INDEX('Prospect Tracker'!$W$5:$W$554,$K438)="","",INDEX('Prospect Tracker'!$W$5:$W$554,$K438)))</f>
        <v/>
      </c>
      <c r="B438" s="11" t="str">
        <f aca="false">IF($K438="","",IF(INDEX('Prospect Tracker'!$A$5:$A$554,$K438)="","",INDEX('Prospect Tracker'!$A$5:$A$554,$K438)))</f>
        <v/>
      </c>
      <c r="C438" s="11" t="str">
        <f aca="false">IF($K438="","",IF(INDEX('Prospect Tracker'!$B$5:$B$554,$K438)="","",INDEX('Prospect Tracker'!$B$5:$B$554,$K438)))</f>
        <v/>
      </c>
      <c r="D438" s="11" t="str">
        <f aca="false">IF($K438="","",IF(INDEX('Prospect Tracker'!$M$5:$M$554,$K438)="","",INDEX('Prospect Tracker'!$M$5:$M$554,$K438)))</f>
        <v/>
      </c>
      <c r="E438" s="11" t="str">
        <f aca="false">IF($K438="","",IF(INDEX('Prospect Tracker'!$R$5:$R$554,$K438)="","",INDEX('Prospect Tracker'!$R$5:$R$554,$K438)))</f>
        <v/>
      </c>
      <c r="F438" s="11" t="str">
        <f aca="false">IF($K438="","",IF(INDEX('Prospect Tracker'!$J$5:$J$554,$K438)="","",INDEX('Prospect Tracker'!$J$5:$J$554,$K438)))</f>
        <v/>
      </c>
      <c r="G438" s="11" t="str">
        <f aca="false">IF($K438="","",IF(INDEX('Prospect Tracker'!$H$5:$H$554,$K438)="","",INDEX('Prospect Tracker'!$H$5:$H$554,$K438)))</f>
        <v/>
      </c>
      <c r="H438" s="12" t="str">
        <f aca="false">IF($K438="","",IF(INDEX('Prospect Tracker'!$K$5:$K$554,$K438)="","",INDEX('Prospect Tracker'!$K$5:$K$554,$K438)))</f>
        <v/>
      </c>
      <c r="I438" s="11" t="str">
        <f aca="false">IF($K438="","",IF(INDEX('Prospect Tracker'!$T$5:$T$554,$K438)="","",INDEX('Prospect Tracker'!$T$5:$T$554,$K438)))</f>
        <v/>
      </c>
      <c r="J438" s="11" t="str">
        <f aca="false">IF($K438="","",IF(INDEX('Prospect Tracker'!$L$5:$L$554,$K438)="","",INDEX('Prospect Tracker'!$L$5:$L$554,$K438)))</f>
        <v/>
      </c>
      <c r="K438" s="1" t="n">
        <f aca="false">IFERROR(MATCH(SMALL('Prospect Tracker'!$X$5:$X$554,ROW()-4),'Prospect Tracker'!$X$5:$X$554,0),"")</f>
        <v>434</v>
      </c>
    </row>
    <row r="439" customFormat="false" ht="15" hidden="false" customHeight="true" outlineLevel="0" collapsed="false">
      <c r="A439" s="6" t="str">
        <f aca="false">IF($K439="","",IF(INDEX('Prospect Tracker'!$W$5:$W$554,$K439)="","",INDEX('Prospect Tracker'!$W$5:$W$554,$K439)))</f>
        <v/>
      </c>
      <c r="B439" s="6" t="str">
        <f aca="false">IF($K439="","",IF(INDEX('Prospect Tracker'!$A$5:$A$554,$K439)="","",INDEX('Prospect Tracker'!$A$5:$A$554,$K439)))</f>
        <v/>
      </c>
      <c r="C439" s="6" t="str">
        <f aca="false">IF($K439="","",IF(INDEX('Prospect Tracker'!$B$5:$B$554,$K439)="","",INDEX('Prospect Tracker'!$B$5:$B$554,$K439)))</f>
        <v/>
      </c>
      <c r="D439" s="6" t="str">
        <f aca="false">IF($K439="","",IF(INDEX('Prospect Tracker'!$M$5:$M$554,$K439)="","",INDEX('Prospect Tracker'!$M$5:$M$554,$K439)))</f>
        <v/>
      </c>
      <c r="E439" s="6" t="str">
        <f aca="false">IF($K439="","",IF(INDEX('Prospect Tracker'!$R$5:$R$554,$K439)="","",INDEX('Prospect Tracker'!$R$5:$R$554,$K439)))</f>
        <v/>
      </c>
      <c r="F439" s="6" t="str">
        <f aca="false">IF($K439="","",IF(INDEX('Prospect Tracker'!$J$5:$J$554,$K439)="","",INDEX('Prospect Tracker'!$J$5:$J$554,$K439)))</f>
        <v/>
      </c>
      <c r="G439" s="6" t="str">
        <f aca="false">IF($K439="","",IF(INDEX('Prospect Tracker'!$H$5:$H$554,$K439)="","",INDEX('Prospect Tracker'!$H$5:$H$554,$K439)))</f>
        <v/>
      </c>
      <c r="H439" s="7" t="str">
        <f aca="false">IF($K439="","",IF(INDEX('Prospect Tracker'!$K$5:$K$554,$K439)="","",INDEX('Prospect Tracker'!$K$5:$K$554,$K439)))</f>
        <v/>
      </c>
      <c r="I439" s="6" t="str">
        <f aca="false">IF($K439="","",IF(INDEX('Prospect Tracker'!$T$5:$T$554,$K439)="","",INDEX('Prospect Tracker'!$T$5:$T$554,$K439)))</f>
        <v/>
      </c>
      <c r="J439" s="6" t="str">
        <f aca="false">IF($K439="","",IF(INDEX('Prospect Tracker'!$L$5:$L$554,$K439)="","",INDEX('Prospect Tracker'!$L$5:$L$554,$K439)))</f>
        <v/>
      </c>
      <c r="K439" s="1" t="n">
        <f aca="false">IFERROR(MATCH(SMALL('Prospect Tracker'!$X$5:$X$554,ROW()-4),'Prospect Tracker'!$X$5:$X$554,0),"")</f>
        <v>435</v>
      </c>
    </row>
    <row r="440" customFormat="false" ht="15" hidden="false" customHeight="true" outlineLevel="0" collapsed="false">
      <c r="A440" s="11" t="str">
        <f aca="false">IF($K440="","",IF(INDEX('Prospect Tracker'!$W$5:$W$554,$K440)="","",INDEX('Prospect Tracker'!$W$5:$W$554,$K440)))</f>
        <v/>
      </c>
      <c r="B440" s="11" t="str">
        <f aca="false">IF($K440="","",IF(INDEX('Prospect Tracker'!$A$5:$A$554,$K440)="","",INDEX('Prospect Tracker'!$A$5:$A$554,$K440)))</f>
        <v/>
      </c>
      <c r="C440" s="11" t="str">
        <f aca="false">IF($K440="","",IF(INDEX('Prospect Tracker'!$B$5:$B$554,$K440)="","",INDEX('Prospect Tracker'!$B$5:$B$554,$K440)))</f>
        <v/>
      </c>
      <c r="D440" s="11" t="str">
        <f aca="false">IF($K440="","",IF(INDEX('Prospect Tracker'!$M$5:$M$554,$K440)="","",INDEX('Prospect Tracker'!$M$5:$M$554,$K440)))</f>
        <v/>
      </c>
      <c r="E440" s="11" t="str">
        <f aca="false">IF($K440="","",IF(INDEX('Prospect Tracker'!$R$5:$R$554,$K440)="","",INDEX('Prospect Tracker'!$R$5:$R$554,$K440)))</f>
        <v/>
      </c>
      <c r="F440" s="11" t="str">
        <f aca="false">IF($K440="","",IF(INDEX('Prospect Tracker'!$J$5:$J$554,$K440)="","",INDEX('Prospect Tracker'!$J$5:$J$554,$K440)))</f>
        <v/>
      </c>
      <c r="G440" s="11" t="str">
        <f aca="false">IF($K440="","",IF(INDEX('Prospect Tracker'!$H$5:$H$554,$K440)="","",INDEX('Prospect Tracker'!$H$5:$H$554,$K440)))</f>
        <v/>
      </c>
      <c r="H440" s="12" t="str">
        <f aca="false">IF($K440="","",IF(INDEX('Prospect Tracker'!$K$5:$K$554,$K440)="","",INDEX('Prospect Tracker'!$K$5:$K$554,$K440)))</f>
        <v/>
      </c>
      <c r="I440" s="11" t="str">
        <f aca="false">IF($K440="","",IF(INDEX('Prospect Tracker'!$T$5:$T$554,$K440)="","",INDEX('Prospect Tracker'!$T$5:$T$554,$K440)))</f>
        <v/>
      </c>
      <c r="J440" s="11" t="str">
        <f aca="false">IF($K440="","",IF(INDEX('Prospect Tracker'!$L$5:$L$554,$K440)="","",INDEX('Prospect Tracker'!$L$5:$L$554,$K440)))</f>
        <v/>
      </c>
      <c r="K440" s="1" t="n">
        <f aca="false">IFERROR(MATCH(SMALL('Prospect Tracker'!$X$5:$X$554,ROW()-4),'Prospect Tracker'!$X$5:$X$554,0),"")</f>
        <v>436</v>
      </c>
    </row>
    <row r="441" customFormat="false" ht="15" hidden="false" customHeight="true" outlineLevel="0" collapsed="false">
      <c r="A441" s="6" t="str">
        <f aca="false">IF($K441="","",IF(INDEX('Prospect Tracker'!$W$5:$W$554,$K441)="","",INDEX('Prospect Tracker'!$W$5:$W$554,$K441)))</f>
        <v/>
      </c>
      <c r="B441" s="6" t="str">
        <f aca="false">IF($K441="","",IF(INDEX('Prospect Tracker'!$A$5:$A$554,$K441)="","",INDEX('Prospect Tracker'!$A$5:$A$554,$K441)))</f>
        <v/>
      </c>
      <c r="C441" s="6" t="str">
        <f aca="false">IF($K441="","",IF(INDEX('Prospect Tracker'!$B$5:$B$554,$K441)="","",INDEX('Prospect Tracker'!$B$5:$B$554,$K441)))</f>
        <v/>
      </c>
      <c r="D441" s="6" t="str">
        <f aca="false">IF($K441="","",IF(INDEX('Prospect Tracker'!$M$5:$M$554,$K441)="","",INDEX('Prospect Tracker'!$M$5:$M$554,$K441)))</f>
        <v/>
      </c>
      <c r="E441" s="6" t="str">
        <f aca="false">IF($K441="","",IF(INDEX('Prospect Tracker'!$R$5:$R$554,$K441)="","",INDEX('Prospect Tracker'!$R$5:$R$554,$K441)))</f>
        <v/>
      </c>
      <c r="F441" s="6" t="str">
        <f aca="false">IF($K441="","",IF(INDEX('Prospect Tracker'!$J$5:$J$554,$K441)="","",INDEX('Prospect Tracker'!$J$5:$J$554,$K441)))</f>
        <v/>
      </c>
      <c r="G441" s="6" t="str">
        <f aca="false">IF($K441="","",IF(INDEX('Prospect Tracker'!$H$5:$H$554,$K441)="","",INDEX('Prospect Tracker'!$H$5:$H$554,$K441)))</f>
        <v/>
      </c>
      <c r="H441" s="7" t="str">
        <f aca="false">IF($K441="","",IF(INDEX('Prospect Tracker'!$K$5:$K$554,$K441)="","",INDEX('Prospect Tracker'!$K$5:$K$554,$K441)))</f>
        <v/>
      </c>
      <c r="I441" s="6" t="str">
        <f aca="false">IF($K441="","",IF(INDEX('Prospect Tracker'!$T$5:$T$554,$K441)="","",INDEX('Prospect Tracker'!$T$5:$T$554,$K441)))</f>
        <v/>
      </c>
      <c r="J441" s="6" t="str">
        <f aca="false">IF($K441="","",IF(INDEX('Prospect Tracker'!$L$5:$L$554,$K441)="","",INDEX('Prospect Tracker'!$L$5:$L$554,$K441)))</f>
        <v/>
      </c>
      <c r="K441" s="1" t="n">
        <f aca="false">IFERROR(MATCH(SMALL('Prospect Tracker'!$X$5:$X$554,ROW()-4),'Prospect Tracker'!$X$5:$X$554,0),"")</f>
        <v>437</v>
      </c>
    </row>
    <row r="442" customFormat="false" ht="15" hidden="false" customHeight="true" outlineLevel="0" collapsed="false">
      <c r="A442" s="11" t="str">
        <f aca="false">IF($K442="","",IF(INDEX('Prospect Tracker'!$W$5:$W$554,$K442)="","",INDEX('Prospect Tracker'!$W$5:$W$554,$K442)))</f>
        <v/>
      </c>
      <c r="B442" s="11" t="str">
        <f aca="false">IF($K442="","",IF(INDEX('Prospect Tracker'!$A$5:$A$554,$K442)="","",INDEX('Prospect Tracker'!$A$5:$A$554,$K442)))</f>
        <v/>
      </c>
      <c r="C442" s="11" t="str">
        <f aca="false">IF($K442="","",IF(INDEX('Prospect Tracker'!$B$5:$B$554,$K442)="","",INDEX('Prospect Tracker'!$B$5:$B$554,$K442)))</f>
        <v/>
      </c>
      <c r="D442" s="11" t="str">
        <f aca="false">IF($K442="","",IF(INDEX('Prospect Tracker'!$M$5:$M$554,$K442)="","",INDEX('Prospect Tracker'!$M$5:$M$554,$K442)))</f>
        <v/>
      </c>
      <c r="E442" s="11" t="str">
        <f aca="false">IF($K442="","",IF(INDEX('Prospect Tracker'!$R$5:$R$554,$K442)="","",INDEX('Prospect Tracker'!$R$5:$R$554,$K442)))</f>
        <v/>
      </c>
      <c r="F442" s="11" t="str">
        <f aca="false">IF($K442="","",IF(INDEX('Prospect Tracker'!$J$5:$J$554,$K442)="","",INDEX('Prospect Tracker'!$J$5:$J$554,$K442)))</f>
        <v/>
      </c>
      <c r="G442" s="11" t="str">
        <f aca="false">IF($K442="","",IF(INDEX('Prospect Tracker'!$H$5:$H$554,$K442)="","",INDEX('Prospect Tracker'!$H$5:$H$554,$K442)))</f>
        <v/>
      </c>
      <c r="H442" s="12" t="str">
        <f aca="false">IF($K442="","",IF(INDEX('Prospect Tracker'!$K$5:$K$554,$K442)="","",INDEX('Prospect Tracker'!$K$5:$K$554,$K442)))</f>
        <v/>
      </c>
      <c r="I442" s="11" t="str">
        <f aca="false">IF($K442="","",IF(INDEX('Prospect Tracker'!$T$5:$T$554,$K442)="","",INDEX('Prospect Tracker'!$T$5:$T$554,$K442)))</f>
        <v/>
      </c>
      <c r="J442" s="11" t="str">
        <f aca="false">IF($K442="","",IF(INDEX('Prospect Tracker'!$L$5:$L$554,$K442)="","",INDEX('Prospect Tracker'!$L$5:$L$554,$K442)))</f>
        <v/>
      </c>
      <c r="K442" s="1" t="n">
        <f aca="false">IFERROR(MATCH(SMALL('Prospect Tracker'!$X$5:$X$554,ROW()-4),'Prospect Tracker'!$X$5:$X$554,0),"")</f>
        <v>438</v>
      </c>
    </row>
    <row r="443" customFormat="false" ht="15" hidden="false" customHeight="true" outlineLevel="0" collapsed="false">
      <c r="A443" s="6" t="str">
        <f aca="false">IF($K443="","",IF(INDEX('Prospect Tracker'!$W$5:$W$554,$K443)="","",INDEX('Prospect Tracker'!$W$5:$W$554,$K443)))</f>
        <v/>
      </c>
      <c r="B443" s="6" t="str">
        <f aca="false">IF($K443="","",IF(INDEX('Prospect Tracker'!$A$5:$A$554,$K443)="","",INDEX('Prospect Tracker'!$A$5:$A$554,$K443)))</f>
        <v/>
      </c>
      <c r="C443" s="6" t="str">
        <f aca="false">IF($K443="","",IF(INDEX('Prospect Tracker'!$B$5:$B$554,$K443)="","",INDEX('Prospect Tracker'!$B$5:$B$554,$K443)))</f>
        <v/>
      </c>
      <c r="D443" s="6" t="str">
        <f aca="false">IF($K443="","",IF(INDEX('Prospect Tracker'!$M$5:$M$554,$K443)="","",INDEX('Prospect Tracker'!$M$5:$M$554,$K443)))</f>
        <v/>
      </c>
      <c r="E443" s="6" t="str">
        <f aca="false">IF($K443="","",IF(INDEX('Prospect Tracker'!$R$5:$R$554,$K443)="","",INDEX('Prospect Tracker'!$R$5:$R$554,$K443)))</f>
        <v/>
      </c>
      <c r="F443" s="6" t="str">
        <f aca="false">IF($K443="","",IF(INDEX('Prospect Tracker'!$J$5:$J$554,$K443)="","",INDEX('Prospect Tracker'!$J$5:$J$554,$K443)))</f>
        <v/>
      </c>
      <c r="G443" s="6" t="str">
        <f aca="false">IF($K443="","",IF(INDEX('Prospect Tracker'!$H$5:$H$554,$K443)="","",INDEX('Prospect Tracker'!$H$5:$H$554,$K443)))</f>
        <v/>
      </c>
      <c r="H443" s="7" t="str">
        <f aca="false">IF($K443="","",IF(INDEX('Prospect Tracker'!$K$5:$K$554,$K443)="","",INDEX('Prospect Tracker'!$K$5:$K$554,$K443)))</f>
        <v/>
      </c>
      <c r="I443" s="6" t="str">
        <f aca="false">IF($K443="","",IF(INDEX('Prospect Tracker'!$T$5:$T$554,$K443)="","",INDEX('Prospect Tracker'!$T$5:$T$554,$K443)))</f>
        <v/>
      </c>
      <c r="J443" s="6" t="str">
        <f aca="false">IF($K443="","",IF(INDEX('Prospect Tracker'!$L$5:$L$554,$K443)="","",INDEX('Prospect Tracker'!$L$5:$L$554,$K443)))</f>
        <v/>
      </c>
      <c r="K443" s="1" t="n">
        <f aca="false">IFERROR(MATCH(SMALL('Prospect Tracker'!$X$5:$X$554,ROW()-4),'Prospect Tracker'!$X$5:$X$554,0),"")</f>
        <v>439</v>
      </c>
    </row>
    <row r="444" customFormat="false" ht="15" hidden="false" customHeight="true" outlineLevel="0" collapsed="false">
      <c r="A444" s="11" t="str">
        <f aca="false">IF($K444="","",IF(INDEX('Prospect Tracker'!$W$5:$W$554,$K444)="","",INDEX('Prospect Tracker'!$W$5:$W$554,$K444)))</f>
        <v/>
      </c>
      <c r="B444" s="11" t="str">
        <f aca="false">IF($K444="","",IF(INDEX('Prospect Tracker'!$A$5:$A$554,$K444)="","",INDEX('Prospect Tracker'!$A$5:$A$554,$K444)))</f>
        <v/>
      </c>
      <c r="C444" s="11" t="str">
        <f aca="false">IF($K444="","",IF(INDEX('Prospect Tracker'!$B$5:$B$554,$K444)="","",INDEX('Prospect Tracker'!$B$5:$B$554,$K444)))</f>
        <v/>
      </c>
      <c r="D444" s="11" t="str">
        <f aca="false">IF($K444="","",IF(INDEX('Prospect Tracker'!$M$5:$M$554,$K444)="","",INDEX('Prospect Tracker'!$M$5:$M$554,$K444)))</f>
        <v/>
      </c>
      <c r="E444" s="11" t="str">
        <f aca="false">IF($K444="","",IF(INDEX('Prospect Tracker'!$R$5:$R$554,$K444)="","",INDEX('Prospect Tracker'!$R$5:$R$554,$K444)))</f>
        <v/>
      </c>
      <c r="F444" s="11" t="str">
        <f aca="false">IF($K444="","",IF(INDEX('Prospect Tracker'!$J$5:$J$554,$K444)="","",INDEX('Prospect Tracker'!$J$5:$J$554,$K444)))</f>
        <v/>
      </c>
      <c r="G444" s="11" t="str">
        <f aca="false">IF($K444="","",IF(INDEX('Prospect Tracker'!$H$5:$H$554,$K444)="","",INDEX('Prospect Tracker'!$H$5:$H$554,$K444)))</f>
        <v/>
      </c>
      <c r="H444" s="12" t="str">
        <f aca="false">IF($K444="","",IF(INDEX('Prospect Tracker'!$K$5:$K$554,$K444)="","",INDEX('Prospect Tracker'!$K$5:$K$554,$K444)))</f>
        <v/>
      </c>
      <c r="I444" s="11" t="str">
        <f aca="false">IF($K444="","",IF(INDEX('Prospect Tracker'!$T$5:$T$554,$K444)="","",INDEX('Prospect Tracker'!$T$5:$T$554,$K444)))</f>
        <v/>
      </c>
      <c r="J444" s="11" t="str">
        <f aca="false">IF($K444="","",IF(INDEX('Prospect Tracker'!$L$5:$L$554,$K444)="","",INDEX('Prospect Tracker'!$L$5:$L$554,$K444)))</f>
        <v/>
      </c>
      <c r="K444" s="1" t="n">
        <f aca="false">IFERROR(MATCH(SMALL('Prospect Tracker'!$X$5:$X$554,ROW()-4),'Prospect Tracker'!$X$5:$X$554,0),"")</f>
        <v>440</v>
      </c>
    </row>
    <row r="445" customFormat="false" ht="15" hidden="false" customHeight="true" outlineLevel="0" collapsed="false">
      <c r="A445" s="6" t="str">
        <f aca="false">IF($K445="","",IF(INDEX('Prospect Tracker'!$W$5:$W$554,$K445)="","",INDEX('Prospect Tracker'!$W$5:$W$554,$K445)))</f>
        <v/>
      </c>
      <c r="B445" s="6" t="str">
        <f aca="false">IF($K445="","",IF(INDEX('Prospect Tracker'!$A$5:$A$554,$K445)="","",INDEX('Prospect Tracker'!$A$5:$A$554,$K445)))</f>
        <v/>
      </c>
      <c r="C445" s="6" t="str">
        <f aca="false">IF($K445="","",IF(INDEX('Prospect Tracker'!$B$5:$B$554,$K445)="","",INDEX('Prospect Tracker'!$B$5:$B$554,$K445)))</f>
        <v/>
      </c>
      <c r="D445" s="6" t="str">
        <f aca="false">IF($K445="","",IF(INDEX('Prospect Tracker'!$M$5:$M$554,$K445)="","",INDEX('Prospect Tracker'!$M$5:$M$554,$K445)))</f>
        <v/>
      </c>
      <c r="E445" s="6" t="str">
        <f aca="false">IF($K445="","",IF(INDEX('Prospect Tracker'!$R$5:$R$554,$K445)="","",INDEX('Prospect Tracker'!$R$5:$R$554,$K445)))</f>
        <v/>
      </c>
      <c r="F445" s="6" t="str">
        <f aca="false">IF($K445="","",IF(INDEX('Prospect Tracker'!$J$5:$J$554,$K445)="","",INDEX('Prospect Tracker'!$J$5:$J$554,$K445)))</f>
        <v/>
      </c>
      <c r="G445" s="6" t="str">
        <f aca="false">IF($K445="","",IF(INDEX('Prospect Tracker'!$H$5:$H$554,$K445)="","",INDEX('Prospect Tracker'!$H$5:$H$554,$K445)))</f>
        <v/>
      </c>
      <c r="H445" s="7" t="str">
        <f aca="false">IF($K445="","",IF(INDEX('Prospect Tracker'!$K$5:$K$554,$K445)="","",INDEX('Prospect Tracker'!$K$5:$K$554,$K445)))</f>
        <v/>
      </c>
      <c r="I445" s="6" t="str">
        <f aca="false">IF($K445="","",IF(INDEX('Prospect Tracker'!$T$5:$T$554,$K445)="","",INDEX('Prospect Tracker'!$T$5:$T$554,$K445)))</f>
        <v/>
      </c>
      <c r="J445" s="6" t="str">
        <f aca="false">IF($K445="","",IF(INDEX('Prospect Tracker'!$L$5:$L$554,$K445)="","",INDEX('Prospect Tracker'!$L$5:$L$554,$K445)))</f>
        <v/>
      </c>
      <c r="K445" s="1" t="n">
        <f aca="false">IFERROR(MATCH(SMALL('Prospect Tracker'!$X$5:$X$554,ROW()-4),'Prospect Tracker'!$X$5:$X$554,0),"")</f>
        <v>441</v>
      </c>
    </row>
    <row r="446" customFormat="false" ht="15" hidden="false" customHeight="true" outlineLevel="0" collapsed="false">
      <c r="A446" s="11" t="str">
        <f aca="false">IF($K446="","",IF(INDEX('Prospect Tracker'!$W$5:$W$554,$K446)="","",INDEX('Prospect Tracker'!$W$5:$W$554,$K446)))</f>
        <v/>
      </c>
      <c r="B446" s="11" t="str">
        <f aca="false">IF($K446="","",IF(INDEX('Prospect Tracker'!$A$5:$A$554,$K446)="","",INDEX('Prospect Tracker'!$A$5:$A$554,$K446)))</f>
        <v/>
      </c>
      <c r="C446" s="11" t="str">
        <f aca="false">IF($K446="","",IF(INDEX('Prospect Tracker'!$B$5:$B$554,$K446)="","",INDEX('Prospect Tracker'!$B$5:$B$554,$K446)))</f>
        <v/>
      </c>
      <c r="D446" s="11" t="str">
        <f aca="false">IF($K446="","",IF(INDEX('Prospect Tracker'!$M$5:$M$554,$K446)="","",INDEX('Prospect Tracker'!$M$5:$M$554,$K446)))</f>
        <v/>
      </c>
      <c r="E446" s="11" t="str">
        <f aca="false">IF($K446="","",IF(INDEX('Prospect Tracker'!$R$5:$R$554,$K446)="","",INDEX('Prospect Tracker'!$R$5:$R$554,$K446)))</f>
        <v/>
      </c>
      <c r="F446" s="11" t="str">
        <f aca="false">IF($K446="","",IF(INDEX('Prospect Tracker'!$J$5:$J$554,$K446)="","",INDEX('Prospect Tracker'!$J$5:$J$554,$K446)))</f>
        <v/>
      </c>
      <c r="G446" s="11" t="str">
        <f aca="false">IF($K446="","",IF(INDEX('Prospect Tracker'!$H$5:$H$554,$K446)="","",INDEX('Prospect Tracker'!$H$5:$H$554,$K446)))</f>
        <v/>
      </c>
      <c r="H446" s="12" t="str">
        <f aca="false">IF($K446="","",IF(INDEX('Prospect Tracker'!$K$5:$K$554,$K446)="","",INDEX('Prospect Tracker'!$K$5:$K$554,$K446)))</f>
        <v/>
      </c>
      <c r="I446" s="11" t="str">
        <f aca="false">IF($K446="","",IF(INDEX('Prospect Tracker'!$T$5:$T$554,$K446)="","",INDEX('Prospect Tracker'!$T$5:$T$554,$K446)))</f>
        <v/>
      </c>
      <c r="J446" s="11" t="str">
        <f aca="false">IF($K446="","",IF(INDEX('Prospect Tracker'!$L$5:$L$554,$K446)="","",INDEX('Prospect Tracker'!$L$5:$L$554,$K446)))</f>
        <v/>
      </c>
      <c r="K446" s="1" t="n">
        <f aca="false">IFERROR(MATCH(SMALL('Prospect Tracker'!$X$5:$X$554,ROW()-4),'Prospect Tracker'!$X$5:$X$554,0),"")</f>
        <v>442</v>
      </c>
    </row>
    <row r="447" customFormat="false" ht="15" hidden="false" customHeight="true" outlineLevel="0" collapsed="false">
      <c r="A447" s="6" t="str">
        <f aca="false">IF($K447="","",IF(INDEX('Prospect Tracker'!$W$5:$W$554,$K447)="","",INDEX('Prospect Tracker'!$W$5:$W$554,$K447)))</f>
        <v/>
      </c>
      <c r="B447" s="6" t="str">
        <f aca="false">IF($K447="","",IF(INDEX('Prospect Tracker'!$A$5:$A$554,$K447)="","",INDEX('Prospect Tracker'!$A$5:$A$554,$K447)))</f>
        <v/>
      </c>
      <c r="C447" s="6" t="str">
        <f aca="false">IF($K447="","",IF(INDEX('Prospect Tracker'!$B$5:$B$554,$K447)="","",INDEX('Prospect Tracker'!$B$5:$B$554,$K447)))</f>
        <v/>
      </c>
      <c r="D447" s="6" t="str">
        <f aca="false">IF($K447="","",IF(INDEX('Prospect Tracker'!$M$5:$M$554,$K447)="","",INDEX('Prospect Tracker'!$M$5:$M$554,$K447)))</f>
        <v/>
      </c>
      <c r="E447" s="6" t="str">
        <f aca="false">IF($K447="","",IF(INDEX('Prospect Tracker'!$R$5:$R$554,$K447)="","",INDEX('Prospect Tracker'!$R$5:$R$554,$K447)))</f>
        <v/>
      </c>
      <c r="F447" s="6" t="str">
        <f aca="false">IF($K447="","",IF(INDEX('Prospect Tracker'!$J$5:$J$554,$K447)="","",INDEX('Prospect Tracker'!$J$5:$J$554,$K447)))</f>
        <v/>
      </c>
      <c r="G447" s="6" t="str">
        <f aca="false">IF($K447="","",IF(INDEX('Prospect Tracker'!$H$5:$H$554,$K447)="","",INDEX('Prospect Tracker'!$H$5:$H$554,$K447)))</f>
        <v/>
      </c>
      <c r="H447" s="7" t="str">
        <f aca="false">IF($K447="","",IF(INDEX('Prospect Tracker'!$K$5:$K$554,$K447)="","",INDEX('Prospect Tracker'!$K$5:$K$554,$K447)))</f>
        <v/>
      </c>
      <c r="I447" s="6" t="str">
        <f aca="false">IF($K447="","",IF(INDEX('Prospect Tracker'!$T$5:$T$554,$K447)="","",INDEX('Prospect Tracker'!$T$5:$T$554,$K447)))</f>
        <v/>
      </c>
      <c r="J447" s="6" t="str">
        <f aca="false">IF($K447="","",IF(INDEX('Prospect Tracker'!$L$5:$L$554,$K447)="","",INDEX('Prospect Tracker'!$L$5:$L$554,$K447)))</f>
        <v/>
      </c>
      <c r="K447" s="1" t="n">
        <f aca="false">IFERROR(MATCH(SMALL('Prospect Tracker'!$X$5:$X$554,ROW()-4),'Prospect Tracker'!$X$5:$X$554,0),"")</f>
        <v>443</v>
      </c>
    </row>
    <row r="448" customFormat="false" ht="15" hidden="false" customHeight="true" outlineLevel="0" collapsed="false">
      <c r="A448" s="11" t="str">
        <f aca="false">IF($K448="","",IF(INDEX('Prospect Tracker'!$W$5:$W$554,$K448)="","",INDEX('Prospect Tracker'!$W$5:$W$554,$K448)))</f>
        <v/>
      </c>
      <c r="B448" s="11" t="str">
        <f aca="false">IF($K448="","",IF(INDEX('Prospect Tracker'!$A$5:$A$554,$K448)="","",INDEX('Prospect Tracker'!$A$5:$A$554,$K448)))</f>
        <v/>
      </c>
      <c r="C448" s="11" t="str">
        <f aca="false">IF($K448="","",IF(INDEX('Prospect Tracker'!$B$5:$B$554,$K448)="","",INDEX('Prospect Tracker'!$B$5:$B$554,$K448)))</f>
        <v/>
      </c>
      <c r="D448" s="11" t="str">
        <f aca="false">IF($K448="","",IF(INDEX('Prospect Tracker'!$M$5:$M$554,$K448)="","",INDEX('Prospect Tracker'!$M$5:$M$554,$K448)))</f>
        <v/>
      </c>
      <c r="E448" s="11" t="str">
        <f aca="false">IF($K448="","",IF(INDEX('Prospect Tracker'!$R$5:$R$554,$K448)="","",INDEX('Prospect Tracker'!$R$5:$R$554,$K448)))</f>
        <v/>
      </c>
      <c r="F448" s="11" t="str">
        <f aca="false">IF($K448="","",IF(INDEX('Prospect Tracker'!$J$5:$J$554,$K448)="","",INDEX('Prospect Tracker'!$J$5:$J$554,$K448)))</f>
        <v/>
      </c>
      <c r="G448" s="11" t="str">
        <f aca="false">IF($K448="","",IF(INDEX('Prospect Tracker'!$H$5:$H$554,$K448)="","",INDEX('Prospect Tracker'!$H$5:$H$554,$K448)))</f>
        <v/>
      </c>
      <c r="H448" s="12" t="str">
        <f aca="false">IF($K448="","",IF(INDEX('Prospect Tracker'!$K$5:$K$554,$K448)="","",INDEX('Prospect Tracker'!$K$5:$K$554,$K448)))</f>
        <v/>
      </c>
      <c r="I448" s="11" t="str">
        <f aca="false">IF($K448="","",IF(INDEX('Prospect Tracker'!$T$5:$T$554,$K448)="","",INDEX('Prospect Tracker'!$T$5:$T$554,$K448)))</f>
        <v/>
      </c>
      <c r="J448" s="11" t="str">
        <f aca="false">IF($K448="","",IF(INDEX('Prospect Tracker'!$L$5:$L$554,$K448)="","",INDEX('Prospect Tracker'!$L$5:$L$554,$K448)))</f>
        <v/>
      </c>
      <c r="K448" s="1" t="n">
        <f aca="false">IFERROR(MATCH(SMALL('Prospect Tracker'!$X$5:$X$554,ROW()-4),'Prospect Tracker'!$X$5:$X$554,0),"")</f>
        <v>444</v>
      </c>
    </row>
    <row r="449" customFormat="false" ht="15" hidden="false" customHeight="true" outlineLevel="0" collapsed="false">
      <c r="A449" s="6" t="str">
        <f aca="false">IF($K449="","",IF(INDEX('Prospect Tracker'!$W$5:$W$554,$K449)="","",INDEX('Prospect Tracker'!$W$5:$W$554,$K449)))</f>
        <v/>
      </c>
      <c r="B449" s="6" t="str">
        <f aca="false">IF($K449="","",IF(INDEX('Prospect Tracker'!$A$5:$A$554,$K449)="","",INDEX('Prospect Tracker'!$A$5:$A$554,$K449)))</f>
        <v/>
      </c>
      <c r="C449" s="6" t="str">
        <f aca="false">IF($K449="","",IF(INDEX('Prospect Tracker'!$B$5:$B$554,$K449)="","",INDEX('Prospect Tracker'!$B$5:$B$554,$K449)))</f>
        <v/>
      </c>
      <c r="D449" s="6" t="str">
        <f aca="false">IF($K449="","",IF(INDEX('Prospect Tracker'!$M$5:$M$554,$K449)="","",INDEX('Prospect Tracker'!$M$5:$M$554,$K449)))</f>
        <v/>
      </c>
      <c r="E449" s="6" t="str">
        <f aca="false">IF($K449="","",IF(INDEX('Prospect Tracker'!$R$5:$R$554,$K449)="","",INDEX('Prospect Tracker'!$R$5:$R$554,$K449)))</f>
        <v/>
      </c>
      <c r="F449" s="6" t="str">
        <f aca="false">IF($K449="","",IF(INDEX('Prospect Tracker'!$J$5:$J$554,$K449)="","",INDEX('Prospect Tracker'!$J$5:$J$554,$K449)))</f>
        <v/>
      </c>
      <c r="G449" s="6" t="str">
        <f aca="false">IF($K449="","",IF(INDEX('Prospect Tracker'!$H$5:$H$554,$K449)="","",INDEX('Prospect Tracker'!$H$5:$H$554,$K449)))</f>
        <v/>
      </c>
      <c r="H449" s="7" t="str">
        <f aca="false">IF($K449="","",IF(INDEX('Prospect Tracker'!$K$5:$K$554,$K449)="","",INDEX('Prospect Tracker'!$K$5:$K$554,$K449)))</f>
        <v/>
      </c>
      <c r="I449" s="6" t="str">
        <f aca="false">IF($K449="","",IF(INDEX('Prospect Tracker'!$T$5:$T$554,$K449)="","",INDEX('Prospect Tracker'!$T$5:$T$554,$K449)))</f>
        <v/>
      </c>
      <c r="J449" s="6" t="str">
        <f aca="false">IF($K449="","",IF(INDEX('Prospect Tracker'!$L$5:$L$554,$K449)="","",INDEX('Prospect Tracker'!$L$5:$L$554,$K449)))</f>
        <v/>
      </c>
      <c r="K449" s="1" t="n">
        <f aca="false">IFERROR(MATCH(SMALL('Prospect Tracker'!$X$5:$X$554,ROW()-4),'Prospect Tracker'!$X$5:$X$554,0),"")</f>
        <v>445</v>
      </c>
    </row>
    <row r="450" customFormat="false" ht="15" hidden="false" customHeight="true" outlineLevel="0" collapsed="false">
      <c r="A450" s="11" t="str">
        <f aca="false">IF($K450="","",IF(INDEX('Prospect Tracker'!$W$5:$W$554,$K450)="","",INDEX('Prospect Tracker'!$W$5:$W$554,$K450)))</f>
        <v/>
      </c>
      <c r="B450" s="11" t="str">
        <f aca="false">IF($K450="","",IF(INDEX('Prospect Tracker'!$A$5:$A$554,$K450)="","",INDEX('Prospect Tracker'!$A$5:$A$554,$K450)))</f>
        <v/>
      </c>
      <c r="C450" s="11" t="str">
        <f aca="false">IF($K450="","",IF(INDEX('Prospect Tracker'!$B$5:$B$554,$K450)="","",INDEX('Prospect Tracker'!$B$5:$B$554,$K450)))</f>
        <v/>
      </c>
      <c r="D450" s="11" t="str">
        <f aca="false">IF($K450="","",IF(INDEX('Prospect Tracker'!$M$5:$M$554,$K450)="","",INDEX('Prospect Tracker'!$M$5:$M$554,$K450)))</f>
        <v/>
      </c>
      <c r="E450" s="11" t="str">
        <f aca="false">IF($K450="","",IF(INDEX('Prospect Tracker'!$R$5:$R$554,$K450)="","",INDEX('Prospect Tracker'!$R$5:$R$554,$K450)))</f>
        <v/>
      </c>
      <c r="F450" s="11" t="str">
        <f aca="false">IF($K450="","",IF(INDEX('Prospect Tracker'!$J$5:$J$554,$K450)="","",INDEX('Prospect Tracker'!$J$5:$J$554,$K450)))</f>
        <v/>
      </c>
      <c r="G450" s="11" t="str">
        <f aca="false">IF($K450="","",IF(INDEX('Prospect Tracker'!$H$5:$H$554,$K450)="","",INDEX('Prospect Tracker'!$H$5:$H$554,$K450)))</f>
        <v/>
      </c>
      <c r="H450" s="12" t="str">
        <f aca="false">IF($K450="","",IF(INDEX('Prospect Tracker'!$K$5:$K$554,$K450)="","",INDEX('Prospect Tracker'!$K$5:$K$554,$K450)))</f>
        <v/>
      </c>
      <c r="I450" s="11" t="str">
        <f aca="false">IF($K450="","",IF(INDEX('Prospect Tracker'!$T$5:$T$554,$K450)="","",INDEX('Prospect Tracker'!$T$5:$T$554,$K450)))</f>
        <v/>
      </c>
      <c r="J450" s="11" t="str">
        <f aca="false">IF($K450="","",IF(INDEX('Prospect Tracker'!$L$5:$L$554,$K450)="","",INDEX('Prospect Tracker'!$L$5:$L$554,$K450)))</f>
        <v/>
      </c>
      <c r="K450" s="1" t="n">
        <f aca="false">IFERROR(MATCH(SMALL('Prospect Tracker'!$X$5:$X$554,ROW()-4),'Prospect Tracker'!$X$5:$X$554,0),"")</f>
        <v>446</v>
      </c>
    </row>
    <row r="451" customFormat="false" ht="15" hidden="false" customHeight="true" outlineLevel="0" collapsed="false">
      <c r="A451" s="6" t="str">
        <f aca="false">IF($K451="","",IF(INDEX('Prospect Tracker'!$W$5:$W$554,$K451)="","",INDEX('Prospect Tracker'!$W$5:$W$554,$K451)))</f>
        <v/>
      </c>
      <c r="B451" s="6" t="str">
        <f aca="false">IF($K451="","",IF(INDEX('Prospect Tracker'!$A$5:$A$554,$K451)="","",INDEX('Prospect Tracker'!$A$5:$A$554,$K451)))</f>
        <v/>
      </c>
      <c r="C451" s="6" t="str">
        <f aca="false">IF($K451="","",IF(INDEX('Prospect Tracker'!$B$5:$B$554,$K451)="","",INDEX('Prospect Tracker'!$B$5:$B$554,$K451)))</f>
        <v/>
      </c>
      <c r="D451" s="6" t="str">
        <f aca="false">IF($K451="","",IF(INDEX('Prospect Tracker'!$M$5:$M$554,$K451)="","",INDEX('Prospect Tracker'!$M$5:$M$554,$K451)))</f>
        <v/>
      </c>
      <c r="E451" s="6" t="str">
        <f aca="false">IF($K451="","",IF(INDEX('Prospect Tracker'!$R$5:$R$554,$K451)="","",INDEX('Prospect Tracker'!$R$5:$R$554,$K451)))</f>
        <v/>
      </c>
      <c r="F451" s="6" t="str">
        <f aca="false">IF($K451="","",IF(INDEX('Prospect Tracker'!$J$5:$J$554,$K451)="","",INDEX('Prospect Tracker'!$J$5:$J$554,$K451)))</f>
        <v/>
      </c>
      <c r="G451" s="6" t="str">
        <f aca="false">IF($K451="","",IF(INDEX('Prospect Tracker'!$H$5:$H$554,$K451)="","",INDEX('Prospect Tracker'!$H$5:$H$554,$K451)))</f>
        <v/>
      </c>
      <c r="H451" s="7" t="str">
        <f aca="false">IF($K451="","",IF(INDEX('Prospect Tracker'!$K$5:$K$554,$K451)="","",INDEX('Prospect Tracker'!$K$5:$K$554,$K451)))</f>
        <v/>
      </c>
      <c r="I451" s="6" t="str">
        <f aca="false">IF($K451="","",IF(INDEX('Prospect Tracker'!$T$5:$T$554,$K451)="","",INDEX('Prospect Tracker'!$T$5:$T$554,$K451)))</f>
        <v/>
      </c>
      <c r="J451" s="6" t="str">
        <f aca="false">IF($K451="","",IF(INDEX('Prospect Tracker'!$L$5:$L$554,$K451)="","",INDEX('Prospect Tracker'!$L$5:$L$554,$K451)))</f>
        <v/>
      </c>
      <c r="K451" s="1" t="n">
        <f aca="false">IFERROR(MATCH(SMALL('Prospect Tracker'!$X$5:$X$554,ROW()-4),'Prospect Tracker'!$X$5:$X$554,0),"")</f>
        <v>447</v>
      </c>
    </row>
    <row r="452" customFormat="false" ht="15" hidden="false" customHeight="true" outlineLevel="0" collapsed="false">
      <c r="A452" s="11" t="str">
        <f aca="false">IF($K452="","",IF(INDEX('Prospect Tracker'!$W$5:$W$554,$K452)="","",INDEX('Prospect Tracker'!$W$5:$W$554,$K452)))</f>
        <v/>
      </c>
      <c r="B452" s="11" t="str">
        <f aca="false">IF($K452="","",IF(INDEX('Prospect Tracker'!$A$5:$A$554,$K452)="","",INDEX('Prospect Tracker'!$A$5:$A$554,$K452)))</f>
        <v/>
      </c>
      <c r="C452" s="11" t="str">
        <f aca="false">IF($K452="","",IF(INDEX('Prospect Tracker'!$B$5:$B$554,$K452)="","",INDEX('Prospect Tracker'!$B$5:$B$554,$K452)))</f>
        <v/>
      </c>
      <c r="D452" s="11" t="str">
        <f aca="false">IF($K452="","",IF(INDEX('Prospect Tracker'!$M$5:$M$554,$K452)="","",INDEX('Prospect Tracker'!$M$5:$M$554,$K452)))</f>
        <v/>
      </c>
      <c r="E452" s="11" t="str">
        <f aca="false">IF($K452="","",IF(INDEX('Prospect Tracker'!$R$5:$R$554,$K452)="","",INDEX('Prospect Tracker'!$R$5:$R$554,$K452)))</f>
        <v/>
      </c>
      <c r="F452" s="11" t="str">
        <f aca="false">IF($K452="","",IF(INDEX('Prospect Tracker'!$J$5:$J$554,$K452)="","",INDEX('Prospect Tracker'!$J$5:$J$554,$K452)))</f>
        <v/>
      </c>
      <c r="G452" s="11" t="str">
        <f aca="false">IF($K452="","",IF(INDEX('Prospect Tracker'!$H$5:$H$554,$K452)="","",INDEX('Prospect Tracker'!$H$5:$H$554,$K452)))</f>
        <v/>
      </c>
      <c r="H452" s="12" t="str">
        <f aca="false">IF($K452="","",IF(INDEX('Prospect Tracker'!$K$5:$K$554,$K452)="","",INDEX('Prospect Tracker'!$K$5:$K$554,$K452)))</f>
        <v/>
      </c>
      <c r="I452" s="11" t="str">
        <f aca="false">IF($K452="","",IF(INDEX('Prospect Tracker'!$T$5:$T$554,$K452)="","",INDEX('Prospect Tracker'!$T$5:$T$554,$K452)))</f>
        <v/>
      </c>
      <c r="J452" s="11" t="str">
        <f aca="false">IF($K452="","",IF(INDEX('Prospect Tracker'!$L$5:$L$554,$K452)="","",INDEX('Prospect Tracker'!$L$5:$L$554,$K452)))</f>
        <v/>
      </c>
      <c r="K452" s="1" t="n">
        <f aca="false">IFERROR(MATCH(SMALL('Prospect Tracker'!$X$5:$X$554,ROW()-4),'Prospect Tracker'!$X$5:$X$554,0),"")</f>
        <v>448</v>
      </c>
    </row>
    <row r="453" customFormat="false" ht="15" hidden="false" customHeight="true" outlineLevel="0" collapsed="false">
      <c r="A453" s="6" t="str">
        <f aca="false">IF($K453="","",IF(INDEX('Prospect Tracker'!$W$5:$W$554,$K453)="","",INDEX('Prospect Tracker'!$W$5:$W$554,$K453)))</f>
        <v/>
      </c>
      <c r="B453" s="6" t="str">
        <f aca="false">IF($K453="","",IF(INDEX('Prospect Tracker'!$A$5:$A$554,$K453)="","",INDEX('Prospect Tracker'!$A$5:$A$554,$K453)))</f>
        <v/>
      </c>
      <c r="C453" s="6" t="str">
        <f aca="false">IF($K453="","",IF(INDEX('Prospect Tracker'!$B$5:$B$554,$K453)="","",INDEX('Prospect Tracker'!$B$5:$B$554,$K453)))</f>
        <v/>
      </c>
      <c r="D453" s="6" t="str">
        <f aca="false">IF($K453="","",IF(INDEX('Prospect Tracker'!$M$5:$M$554,$K453)="","",INDEX('Prospect Tracker'!$M$5:$M$554,$K453)))</f>
        <v/>
      </c>
      <c r="E453" s="6" t="str">
        <f aca="false">IF($K453="","",IF(INDEX('Prospect Tracker'!$R$5:$R$554,$K453)="","",INDEX('Prospect Tracker'!$R$5:$R$554,$K453)))</f>
        <v/>
      </c>
      <c r="F453" s="6" t="str">
        <f aca="false">IF($K453="","",IF(INDEX('Prospect Tracker'!$J$5:$J$554,$K453)="","",INDEX('Prospect Tracker'!$J$5:$J$554,$K453)))</f>
        <v/>
      </c>
      <c r="G453" s="6" t="str">
        <f aca="false">IF($K453="","",IF(INDEX('Prospect Tracker'!$H$5:$H$554,$K453)="","",INDEX('Prospect Tracker'!$H$5:$H$554,$K453)))</f>
        <v/>
      </c>
      <c r="H453" s="7" t="str">
        <f aca="false">IF($K453="","",IF(INDEX('Prospect Tracker'!$K$5:$K$554,$K453)="","",INDEX('Prospect Tracker'!$K$5:$K$554,$K453)))</f>
        <v/>
      </c>
      <c r="I453" s="6" t="str">
        <f aca="false">IF($K453="","",IF(INDEX('Prospect Tracker'!$T$5:$T$554,$K453)="","",INDEX('Prospect Tracker'!$T$5:$T$554,$K453)))</f>
        <v/>
      </c>
      <c r="J453" s="6" t="str">
        <f aca="false">IF($K453="","",IF(INDEX('Prospect Tracker'!$L$5:$L$554,$K453)="","",INDEX('Prospect Tracker'!$L$5:$L$554,$K453)))</f>
        <v/>
      </c>
      <c r="K453" s="1" t="n">
        <f aca="false">IFERROR(MATCH(SMALL('Prospect Tracker'!$X$5:$X$554,ROW()-4),'Prospect Tracker'!$X$5:$X$554,0),"")</f>
        <v>449</v>
      </c>
    </row>
    <row r="454" customFormat="false" ht="15" hidden="false" customHeight="true" outlineLevel="0" collapsed="false">
      <c r="A454" s="11" t="str">
        <f aca="false">IF($K454="","",IF(INDEX('Prospect Tracker'!$W$5:$W$554,$K454)="","",INDEX('Prospect Tracker'!$W$5:$W$554,$K454)))</f>
        <v/>
      </c>
      <c r="B454" s="11" t="str">
        <f aca="false">IF($K454="","",IF(INDEX('Prospect Tracker'!$A$5:$A$554,$K454)="","",INDEX('Prospect Tracker'!$A$5:$A$554,$K454)))</f>
        <v/>
      </c>
      <c r="C454" s="11" t="str">
        <f aca="false">IF($K454="","",IF(INDEX('Prospect Tracker'!$B$5:$B$554,$K454)="","",INDEX('Prospect Tracker'!$B$5:$B$554,$K454)))</f>
        <v/>
      </c>
      <c r="D454" s="11" t="str">
        <f aca="false">IF($K454="","",IF(INDEX('Prospect Tracker'!$M$5:$M$554,$K454)="","",INDEX('Prospect Tracker'!$M$5:$M$554,$K454)))</f>
        <v/>
      </c>
      <c r="E454" s="11" t="str">
        <f aca="false">IF($K454="","",IF(INDEX('Prospect Tracker'!$R$5:$R$554,$K454)="","",INDEX('Prospect Tracker'!$R$5:$R$554,$K454)))</f>
        <v/>
      </c>
      <c r="F454" s="11" t="str">
        <f aca="false">IF($K454="","",IF(INDEX('Prospect Tracker'!$J$5:$J$554,$K454)="","",INDEX('Prospect Tracker'!$J$5:$J$554,$K454)))</f>
        <v/>
      </c>
      <c r="G454" s="11" t="str">
        <f aca="false">IF($K454="","",IF(INDEX('Prospect Tracker'!$H$5:$H$554,$K454)="","",INDEX('Prospect Tracker'!$H$5:$H$554,$K454)))</f>
        <v/>
      </c>
      <c r="H454" s="12" t="str">
        <f aca="false">IF($K454="","",IF(INDEX('Prospect Tracker'!$K$5:$K$554,$K454)="","",INDEX('Prospect Tracker'!$K$5:$K$554,$K454)))</f>
        <v/>
      </c>
      <c r="I454" s="11" t="str">
        <f aca="false">IF($K454="","",IF(INDEX('Prospect Tracker'!$T$5:$T$554,$K454)="","",INDEX('Prospect Tracker'!$T$5:$T$554,$K454)))</f>
        <v/>
      </c>
      <c r="J454" s="11" t="str">
        <f aca="false">IF($K454="","",IF(INDEX('Prospect Tracker'!$L$5:$L$554,$K454)="","",INDEX('Prospect Tracker'!$L$5:$L$554,$K454)))</f>
        <v/>
      </c>
      <c r="K454" s="1" t="n">
        <f aca="false">IFERROR(MATCH(SMALL('Prospect Tracker'!$X$5:$X$554,ROW()-4),'Prospect Tracker'!$X$5:$X$554,0),"")</f>
        <v>450</v>
      </c>
    </row>
    <row r="455" customFormat="false" ht="15" hidden="false" customHeight="true" outlineLevel="0" collapsed="false">
      <c r="A455" s="6" t="str">
        <f aca="false">IF($K455="","",IF(INDEX('Prospect Tracker'!$W$5:$W$554,$K455)="","",INDEX('Prospect Tracker'!$W$5:$W$554,$K455)))</f>
        <v/>
      </c>
      <c r="B455" s="6" t="str">
        <f aca="false">IF($K455="","",IF(INDEX('Prospect Tracker'!$A$5:$A$554,$K455)="","",INDEX('Prospect Tracker'!$A$5:$A$554,$K455)))</f>
        <v/>
      </c>
      <c r="C455" s="6" t="str">
        <f aca="false">IF($K455="","",IF(INDEX('Prospect Tracker'!$B$5:$B$554,$K455)="","",INDEX('Prospect Tracker'!$B$5:$B$554,$K455)))</f>
        <v/>
      </c>
      <c r="D455" s="6" t="str">
        <f aca="false">IF($K455="","",IF(INDEX('Prospect Tracker'!$M$5:$M$554,$K455)="","",INDEX('Prospect Tracker'!$M$5:$M$554,$K455)))</f>
        <v/>
      </c>
      <c r="E455" s="6" t="str">
        <f aca="false">IF($K455="","",IF(INDEX('Prospect Tracker'!$R$5:$R$554,$K455)="","",INDEX('Prospect Tracker'!$R$5:$R$554,$K455)))</f>
        <v/>
      </c>
      <c r="F455" s="6" t="str">
        <f aca="false">IF($K455="","",IF(INDEX('Prospect Tracker'!$J$5:$J$554,$K455)="","",INDEX('Prospect Tracker'!$J$5:$J$554,$K455)))</f>
        <v/>
      </c>
      <c r="G455" s="6" t="str">
        <f aca="false">IF($K455="","",IF(INDEX('Prospect Tracker'!$H$5:$H$554,$K455)="","",INDEX('Prospect Tracker'!$H$5:$H$554,$K455)))</f>
        <v/>
      </c>
      <c r="H455" s="7" t="str">
        <f aca="false">IF($K455="","",IF(INDEX('Prospect Tracker'!$K$5:$K$554,$K455)="","",INDEX('Prospect Tracker'!$K$5:$K$554,$K455)))</f>
        <v/>
      </c>
      <c r="I455" s="6" t="str">
        <f aca="false">IF($K455="","",IF(INDEX('Prospect Tracker'!$T$5:$T$554,$K455)="","",INDEX('Prospect Tracker'!$T$5:$T$554,$K455)))</f>
        <v/>
      </c>
      <c r="J455" s="6" t="str">
        <f aca="false">IF($K455="","",IF(INDEX('Prospect Tracker'!$L$5:$L$554,$K455)="","",INDEX('Prospect Tracker'!$L$5:$L$554,$K455)))</f>
        <v/>
      </c>
      <c r="K455" s="1" t="n">
        <f aca="false">IFERROR(MATCH(SMALL('Prospect Tracker'!$X$5:$X$554,ROW()-4),'Prospect Tracker'!$X$5:$X$554,0),"")</f>
        <v>451</v>
      </c>
    </row>
    <row r="456" customFormat="false" ht="15" hidden="false" customHeight="true" outlineLevel="0" collapsed="false">
      <c r="A456" s="11" t="str">
        <f aca="false">IF($K456="","",IF(INDEX('Prospect Tracker'!$W$5:$W$554,$K456)="","",INDEX('Prospect Tracker'!$W$5:$W$554,$K456)))</f>
        <v/>
      </c>
      <c r="B456" s="11" t="str">
        <f aca="false">IF($K456="","",IF(INDEX('Prospect Tracker'!$A$5:$A$554,$K456)="","",INDEX('Prospect Tracker'!$A$5:$A$554,$K456)))</f>
        <v/>
      </c>
      <c r="C456" s="11" t="str">
        <f aca="false">IF($K456="","",IF(INDEX('Prospect Tracker'!$B$5:$B$554,$K456)="","",INDEX('Prospect Tracker'!$B$5:$B$554,$K456)))</f>
        <v/>
      </c>
      <c r="D456" s="11" t="str">
        <f aca="false">IF($K456="","",IF(INDEX('Prospect Tracker'!$M$5:$M$554,$K456)="","",INDEX('Prospect Tracker'!$M$5:$M$554,$K456)))</f>
        <v/>
      </c>
      <c r="E456" s="11" t="str">
        <f aca="false">IF($K456="","",IF(INDEX('Prospect Tracker'!$R$5:$R$554,$K456)="","",INDEX('Prospect Tracker'!$R$5:$R$554,$K456)))</f>
        <v/>
      </c>
      <c r="F456" s="11" t="str">
        <f aca="false">IF($K456="","",IF(INDEX('Prospect Tracker'!$J$5:$J$554,$K456)="","",INDEX('Prospect Tracker'!$J$5:$J$554,$K456)))</f>
        <v/>
      </c>
      <c r="G456" s="11" t="str">
        <f aca="false">IF($K456="","",IF(INDEX('Prospect Tracker'!$H$5:$H$554,$K456)="","",INDEX('Prospect Tracker'!$H$5:$H$554,$K456)))</f>
        <v/>
      </c>
      <c r="H456" s="12" t="str">
        <f aca="false">IF($K456="","",IF(INDEX('Prospect Tracker'!$K$5:$K$554,$K456)="","",INDEX('Prospect Tracker'!$K$5:$K$554,$K456)))</f>
        <v/>
      </c>
      <c r="I456" s="11" t="str">
        <f aca="false">IF($K456="","",IF(INDEX('Prospect Tracker'!$T$5:$T$554,$K456)="","",INDEX('Prospect Tracker'!$T$5:$T$554,$K456)))</f>
        <v/>
      </c>
      <c r="J456" s="11" t="str">
        <f aca="false">IF($K456="","",IF(INDEX('Prospect Tracker'!$L$5:$L$554,$K456)="","",INDEX('Prospect Tracker'!$L$5:$L$554,$K456)))</f>
        <v/>
      </c>
      <c r="K456" s="1" t="n">
        <f aca="false">IFERROR(MATCH(SMALL('Prospect Tracker'!$X$5:$X$554,ROW()-4),'Prospect Tracker'!$X$5:$X$554,0),"")</f>
        <v>452</v>
      </c>
    </row>
    <row r="457" customFormat="false" ht="15" hidden="false" customHeight="true" outlineLevel="0" collapsed="false">
      <c r="A457" s="6" t="str">
        <f aca="false">IF($K457="","",IF(INDEX('Prospect Tracker'!$W$5:$W$554,$K457)="","",INDEX('Prospect Tracker'!$W$5:$W$554,$K457)))</f>
        <v/>
      </c>
      <c r="B457" s="6" t="str">
        <f aca="false">IF($K457="","",IF(INDEX('Prospect Tracker'!$A$5:$A$554,$K457)="","",INDEX('Prospect Tracker'!$A$5:$A$554,$K457)))</f>
        <v/>
      </c>
      <c r="C457" s="6" t="str">
        <f aca="false">IF($K457="","",IF(INDEX('Prospect Tracker'!$B$5:$B$554,$K457)="","",INDEX('Prospect Tracker'!$B$5:$B$554,$K457)))</f>
        <v/>
      </c>
      <c r="D457" s="6" t="str">
        <f aca="false">IF($K457="","",IF(INDEX('Prospect Tracker'!$M$5:$M$554,$K457)="","",INDEX('Prospect Tracker'!$M$5:$M$554,$K457)))</f>
        <v/>
      </c>
      <c r="E457" s="6" t="str">
        <f aca="false">IF($K457="","",IF(INDEX('Prospect Tracker'!$R$5:$R$554,$K457)="","",INDEX('Prospect Tracker'!$R$5:$R$554,$K457)))</f>
        <v/>
      </c>
      <c r="F457" s="6" t="str">
        <f aca="false">IF($K457="","",IF(INDEX('Prospect Tracker'!$J$5:$J$554,$K457)="","",INDEX('Prospect Tracker'!$J$5:$J$554,$K457)))</f>
        <v/>
      </c>
      <c r="G457" s="6" t="str">
        <f aca="false">IF($K457="","",IF(INDEX('Prospect Tracker'!$H$5:$H$554,$K457)="","",INDEX('Prospect Tracker'!$H$5:$H$554,$K457)))</f>
        <v/>
      </c>
      <c r="H457" s="7" t="str">
        <f aca="false">IF($K457="","",IF(INDEX('Prospect Tracker'!$K$5:$K$554,$K457)="","",INDEX('Prospect Tracker'!$K$5:$K$554,$K457)))</f>
        <v/>
      </c>
      <c r="I457" s="6" t="str">
        <f aca="false">IF($K457="","",IF(INDEX('Prospect Tracker'!$T$5:$T$554,$K457)="","",INDEX('Prospect Tracker'!$T$5:$T$554,$K457)))</f>
        <v/>
      </c>
      <c r="J457" s="6" t="str">
        <f aca="false">IF($K457="","",IF(INDEX('Prospect Tracker'!$L$5:$L$554,$K457)="","",INDEX('Prospect Tracker'!$L$5:$L$554,$K457)))</f>
        <v/>
      </c>
      <c r="K457" s="1" t="n">
        <f aca="false">IFERROR(MATCH(SMALL('Prospect Tracker'!$X$5:$X$554,ROW()-4),'Prospect Tracker'!$X$5:$X$554,0),"")</f>
        <v>453</v>
      </c>
    </row>
    <row r="458" customFormat="false" ht="15" hidden="false" customHeight="true" outlineLevel="0" collapsed="false">
      <c r="A458" s="11" t="str">
        <f aca="false">IF($K458="","",IF(INDEX('Prospect Tracker'!$W$5:$W$554,$K458)="","",INDEX('Prospect Tracker'!$W$5:$W$554,$K458)))</f>
        <v/>
      </c>
      <c r="B458" s="11" t="str">
        <f aca="false">IF($K458="","",IF(INDEX('Prospect Tracker'!$A$5:$A$554,$K458)="","",INDEX('Prospect Tracker'!$A$5:$A$554,$K458)))</f>
        <v/>
      </c>
      <c r="C458" s="11" t="str">
        <f aca="false">IF($K458="","",IF(INDEX('Prospect Tracker'!$B$5:$B$554,$K458)="","",INDEX('Prospect Tracker'!$B$5:$B$554,$K458)))</f>
        <v/>
      </c>
      <c r="D458" s="11" t="str">
        <f aca="false">IF($K458="","",IF(INDEX('Prospect Tracker'!$M$5:$M$554,$K458)="","",INDEX('Prospect Tracker'!$M$5:$M$554,$K458)))</f>
        <v/>
      </c>
      <c r="E458" s="11" t="str">
        <f aca="false">IF($K458="","",IF(INDEX('Prospect Tracker'!$R$5:$R$554,$K458)="","",INDEX('Prospect Tracker'!$R$5:$R$554,$K458)))</f>
        <v/>
      </c>
      <c r="F458" s="11" t="str">
        <f aca="false">IF($K458="","",IF(INDEX('Prospect Tracker'!$J$5:$J$554,$K458)="","",INDEX('Prospect Tracker'!$J$5:$J$554,$K458)))</f>
        <v/>
      </c>
      <c r="G458" s="11" t="str">
        <f aca="false">IF($K458="","",IF(INDEX('Prospect Tracker'!$H$5:$H$554,$K458)="","",INDEX('Prospect Tracker'!$H$5:$H$554,$K458)))</f>
        <v/>
      </c>
      <c r="H458" s="12" t="str">
        <f aca="false">IF($K458="","",IF(INDEX('Prospect Tracker'!$K$5:$K$554,$K458)="","",INDEX('Prospect Tracker'!$K$5:$K$554,$K458)))</f>
        <v/>
      </c>
      <c r="I458" s="11" t="str">
        <f aca="false">IF($K458="","",IF(INDEX('Prospect Tracker'!$T$5:$T$554,$K458)="","",INDEX('Prospect Tracker'!$T$5:$T$554,$K458)))</f>
        <v/>
      </c>
      <c r="J458" s="11" t="str">
        <f aca="false">IF($K458="","",IF(INDEX('Prospect Tracker'!$L$5:$L$554,$K458)="","",INDEX('Prospect Tracker'!$L$5:$L$554,$K458)))</f>
        <v/>
      </c>
      <c r="K458" s="1" t="n">
        <f aca="false">IFERROR(MATCH(SMALL('Prospect Tracker'!$X$5:$X$554,ROW()-4),'Prospect Tracker'!$X$5:$X$554,0),"")</f>
        <v>454</v>
      </c>
    </row>
    <row r="459" customFormat="false" ht="15" hidden="false" customHeight="true" outlineLevel="0" collapsed="false">
      <c r="A459" s="6" t="str">
        <f aca="false">IF($K459="","",IF(INDEX('Prospect Tracker'!$W$5:$W$554,$K459)="","",INDEX('Prospect Tracker'!$W$5:$W$554,$K459)))</f>
        <v/>
      </c>
      <c r="B459" s="6" t="str">
        <f aca="false">IF($K459="","",IF(INDEX('Prospect Tracker'!$A$5:$A$554,$K459)="","",INDEX('Prospect Tracker'!$A$5:$A$554,$K459)))</f>
        <v/>
      </c>
      <c r="C459" s="6" t="str">
        <f aca="false">IF($K459="","",IF(INDEX('Prospect Tracker'!$B$5:$B$554,$K459)="","",INDEX('Prospect Tracker'!$B$5:$B$554,$K459)))</f>
        <v/>
      </c>
      <c r="D459" s="6" t="str">
        <f aca="false">IF($K459="","",IF(INDEX('Prospect Tracker'!$M$5:$M$554,$K459)="","",INDEX('Prospect Tracker'!$M$5:$M$554,$K459)))</f>
        <v/>
      </c>
      <c r="E459" s="6" t="str">
        <f aca="false">IF($K459="","",IF(INDEX('Prospect Tracker'!$R$5:$R$554,$K459)="","",INDEX('Prospect Tracker'!$R$5:$R$554,$K459)))</f>
        <v/>
      </c>
      <c r="F459" s="6" t="str">
        <f aca="false">IF($K459="","",IF(INDEX('Prospect Tracker'!$J$5:$J$554,$K459)="","",INDEX('Prospect Tracker'!$J$5:$J$554,$K459)))</f>
        <v/>
      </c>
      <c r="G459" s="6" t="str">
        <f aca="false">IF($K459="","",IF(INDEX('Prospect Tracker'!$H$5:$H$554,$K459)="","",INDEX('Prospect Tracker'!$H$5:$H$554,$K459)))</f>
        <v/>
      </c>
      <c r="H459" s="7" t="str">
        <f aca="false">IF($K459="","",IF(INDEX('Prospect Tracker'!$K$5:$K$554,$K459)="","",INDEX('Prospect Tracker'!$K$5:$K$554,$K459)))</f>
        <v/>
      </c>
      <c r="I459" s="6" t="str">
        <f aca="false">IF($K459="","",IF(INDEX('Prospect Tracker'!$T$5:$T$554,$K459)="","",INDEX('Prospect Tracker'!$T$5:$T$554,$K459)))</f>
        <v/>
      </c>
      <c r="J459" s="6" t="str">
        <f aca="false">IF($K459="","",IF(INDEX('Prospect Tracker'!$L$5:$L$554,$K459)="","",INDEX('Prospect Tracker'!$L$5:$L$554,$K459)))</f>
        <v/>
      </c>
      <c r="K459" s="1" t="n">
        <f aca="false">IFERROR(MATCH(SMALL('Prospect Tracker'!$X$5:$X$554,ROW()-4),'Prospect Tracker'!$X$5:$X$554,0),"")</f>
        <v>455</v>
      </c>
    </row>
    <row r="460" customFormat="false" ht="15" hidden="false" customHeight="true" outlineLevel="0" collapsed="false">
      <c r="A460" s="11" t="str">
        <f aca="false">IF($K460="","",IF(INDEX('Prospect Tracker'!$W$5:$W$554,$K460)="","",INDEX('Prospect Tracker'!$W$5:$W$554,$K460)))</f>
        <v/>
      </c>
      <c r="B460" s="11" t="str">
        <f aca="false">IF($K460="","",IF(INDEX('Prospect Tracker'!$A$5:$A$554,$K460)="","",INDEX('Prospect Tracker'!$A$5:$A$554,$K460)))</f>
        <v/>
      </c>
      <c r="C460" s="11" t="str">
        <f aca="false">IF($K460="","",IF(INDEX('Prospect Tracker'!$B$5:$B$554,$K460)="","",INDEX('Prospect Tracker'!$B$5:$B$554,$K460)))</f>
        <v/>
      </c>
      <c r="D460" s="11" t="str">
        <f aca="false">IF($K460="","",IF(INDEX('Prospect Tracker'!$M$5:$M$554,$K460)="","",INDEX('Prospect Tracker'!$M$5:$M$554,$K460)))</f>
        <v/>
      </c>
      <c r="E460" s="11" t="str">
        <f aca="false">IF($K460="","",IF(INDEX('Prospect Tracker'!$R$5:$R$554,$K460)="","",INDEX('Prospect Tracker'!$R$5:$R$554,$K460)))</f>
        <v/>
      </c>
      <c r="F460" s="11" t="str">
        <f aca="false">IF($K460="","",IF(INDEX('Prospect Tracker'!$J$5:$J$554,$K460)="","",INDEX('Prospect Tracker'!$J$5:$J$554,$K460)))</f>
        <v/>
      </c>
      <c r="G460" s="11" t="str">
        <f aca="false">IF($K460="","",IF(INDEX('Prospect Tracker'!$H$5:$H$554,$K460)="","",INDEX('Prospect Tracker'!$H$5:$H$554,$K460)))</f>
        <v/>
      </c>
      <c r="H460" s="12" t="str">
        <f aca="false">IF($K460="","",IF(INDEX('Prospect Tracker'!$K$5:$K$554,$K460)="","",INDEX('Prospect Tracker'!$K$5:$K$554,$K460)))</f>
        <v/>
      </c>
      <c r="I460" s="11" t="str">
        <f aca="false">IF($K460="","",IF(INDEX('Prospect Tracker'!$T$5:$T$554,$K460)="","",INDEX('Prospect Tracker'!$T$5:$T$554,$K460)))</f>
        <v/>
      </c>
      <c r="J460" s="11" t="str">
        <f aca="false">IF($K460="","",IF(INDEX('Prospect Tracker'!$L$5:$L$554,$K460)="","",INDEX('Prospect Tracker'!$L$5:$L$554,$K460)))</f>
        <v/>
      </c>
      <c r="K460" s="1" t="n">
        <f aca="false">IFERROR(MATCH(SMALL('Prospect Tracker'!$X$5:$X$554,ROW()-4),'Prospect Tracker'!$X$5:$X$554,0),"")</f>
        <v>456</v>
      </c>
    </row>
    <row r="461" customFormat="false" ht="15" hidden="false" customHeight="true" outlineLevel="0" collapsed="false">
      <c r="A461" s="6" t="str">
        <f aca="false">IF($K461="","",IF(INDEX('Prospect Tracker'!$W$5:$W$554,$K461)="","",INDEX('Prospect Tracker'!$W$5:$W$554,$K461)))</f>
        <v/>
      </c>
      <c r="B461" s="6" t="str">
        <f aca="false">IF($K461="","",IF(INDEX('Prospect Tracker'!$A$5:$A$554,$K461)="","",INDEX('Prospect Tracker'!$A$5:$A$554,$K461)))</f>
        <v/>
      </c>
      <c r="C461" s="6" t="str">
        <f aca="false">IF($K461="","",IF(INDEX('Prospect Tracker'!$B$5:$B$554,$K461)="","",INDEX('Prospect Tracker'!$B$5:$B$554,$K461)))</f>
        <v/>
      </c>
      <c r="D461" s="6" t="str">
        <f aca="false">IF($K461="","",IF(INDEX('Prospect Tracker'!$M$5:$M$554,$K461)="","",INDEX('Prospect Tracker'!$M$5:$M$554,$K461)))</f>
        <v/>
      </c>
      <c r="E461" s="6" t="str">
        <f aca="false">IF($K461="","",IF(INDEX('Prospect Tracker'!$R$5:$R$554,$K461)="","",INDEX('Prospect Tracker'!$R$5:$R$554,$K461)))</f>
        <v/>
      </c>
      <c r="F461" s="6" t="str">
        <f aca="false">IF($K461="","",IF(INDEX('Prospect Tracker'!$J$5:$J$554,$K461)="","",INDEX('Prospect Tracker'!$J$5:$J$554,$K461)))</f>
        <v/>
      </c>
      <c r="G461" s="6" t="str">
        <f aca="false">IF($K461="","",IF(INDEX('Prospect Tracker'!$H$5:$H$554,$K461)="","",INDEX('Prospect Tracker'!$H$5:$H$554,$K461)))</f>
        <v/>
      </c>
      <c r="H461" s="7" t="str">
        <f aca="false">IF($K461="","",IF(INDEX('Prospect Tracker'!$K$5:$K$554,$K461)="","",INDEX('Prospect Tracker'!$K$5:$K$554,$K461)))</f>
        <v/>
      </c>
      <c r="I461" s="6" t="str">
        <f aca="false">IF($K461="","",IF(INDEX('Prospect Tracker'!$T$5:$T$554,$K461)="","",INDEX('Prospect Tracker'!$T$5:$T$554,$K461)))</f>
        <v/>
      </c>
      <c r="J461" s="6" t="str">
        <f aca="false">IF($K461="","",IF(INDEX('Prospect Tracker'!$L$5:$L$554,$K461)="","",INDEX('Prospect Tracker'!$L$5:$L$554,$K461)))</f>
        <v/>
      </c>
      <c r="K461" s="1" t="n">
        <f aca="false">IFERROR(MATCH(SMALL('Prospect Tracker'!$X$5:$X$554,ROW()-4),'Prospect Tracker'!$X$5:$X$554,0),"")</f>
        <v>457</v>
      </c>
    </row>
    <row r="462" customFormat="false" ht="15" hidden="false" customHeight="true" outlineLevel="0" collapsed="false">
      <c r="A462" s="11" t="str">
        <f aca="false">IF($K462="","",IF(INDEX('Prospect Tracker'!$W$5:$W$554,$K462)="","",INDEX('Prospect Tracker'!$W$5:$W$554,$K462)))</f>
        <v/>
      </c>
      <c r="B462" s="11" t="str">
        <f aca="false">IF($K462="","",IF(INDEX('Prospect Tracker'!$A$5:$A$554,$K462)="","",INDEX('Prospect Tracker'!$A$5:$A$554,$K462)))</f>
        <v/>
      </c>
      <c r="C462" s="11" t="str">
        <f aca="false">IF($K462="","",IF(INDEX('Prospect Tracker'!$B$5:$B$554,$K462)="","",INDEX('Prospect Tracker'!$B$5:$B$554,$K462)))</f>
        <v/>
      </c>
      <c r="D462" s="11" t="str">
        <f aca="false">IF($K462="","",IF(INDEX('Prospect Tracker'!$M$5:$M$554,$K462)="","",INDEX('Prospect Tracker'!$M$5:$M$554,$K462)))</f>
        <v/>
      </c>
      <c r="E462" s="11" t="str">
        <f aca="false">IF($K462="","",IF(INDEX('Prospect Tracker'!$R$5:$R$554,$K462)="","",INDEX('Prospect Tracker'!$R$5:$R$554,$K462)))</f>
        <v/>
      </c>
      <c r="F462" s="11" t="str">
        <f aca="false">IF($K462="","",IF(INDEX('Prospect Tracker'!$J$5:$J$554,$K462)="","",INDEX('Prospect Tracker'!$J$5:$J$554,$K462)))</f>
        <v/>
      </c>
      <c r="G462" s="11" t="str">
        <f aca="false">IF($K462="","",IF(INDEX('Prospect Tracker'!$H$5:$H$554,$K462)="","",INDEX('Prospect Tracker'!$H$5:$H$554,$K462)))</f>
        <v/>
      </c>
      <c r="H462" s="12" t="str">
        <f aca="false">IF($K462="","",IF(INDEX('Prospect Tracker'!$K$5:$K$554,$K462)="","",INDEX('Prospect Tracker'!$K$5:$K$554,$K462)))</f>
        <v/>
      </c>
      <c r="I462" s="11" t="str">
        <f aca="false">IF($K462="","",IF(INDEX('Prospect Tracker'!$T$5:$T$554,$K462)="","",INDEX('Prospect Tracker'!$T$5:$T$554,$K462)))</f>
        <v/>
      </c>
      <c r="J462" s="11" t="str">
        <f aca="false">IF($K462="","",IF(INDEX('Prospect Tracker'!$L$5:$L$554,$K462)="","",INDEX('Prospect Tracker'!$L$5:$L$554,$K462)))</f>
        <v/>
      </c>
      <c r="K462" s="1" t="n">
        <f aca="false">IFERROR(MATCH(SMALL('Prospect Tracker'!$X$5:$X$554,ROW()-4),'Prospect Tracker'!$X$5:$X$554,0),"")</f>
        <v>458</v>
      </c>
    </row>
    <row r="463" customFormat="false" ht="15" hidden="false" customHeight="true" outlineLevel="0" collapsed="false">
      <c r="A463" s="6" t="str">
        <f aca="false">IF($K463="","",IF(INDEX('Prospect Tracker'!$W$5:$W$554,$K463)="","",INDEX('Prospect Tracker'!$W$5:$W$554,$K463)))</f>
        <v/>
      </c>
      <c r="B463" s="6" t="str">
        <f aca="false">IF($K463="","",IF(INDEX('Prospect Tracker'!$A$5:$A$554,$K463)="","",INDEX('Prospect Tracker'!$A$5:$A$554,$K463)))</f>
        <v/>
      </c>
      <c r="C463" s="6" t="str">
        <f aca="false">IF($K463="","",IF(INDEX('Prospect Tracker'!$B$5:$B$554,$K463)="","",INDEX('Prospect Tracker'!$B$5:$B$554,$K463)))</f>
        <v/>
      </c>
      <c r="D463" s="6" t="str">
        <f aca="false">IF($K463="","",IF(INDEX('Prospect Tracker'!$M$5:$M$554,$K463)="","",INDEX('Prospect Tracker'!$M$5:$M$554,$K463)))</f>
        <v/>
      </c>
      <c r="E463" s="6" t="str">
        <f aca="false">IF($K463="","",IF(INDEX('Prospect Tracker'!$R$5:$R$554,$K463)="","",INDEX('Prospect Tracker'!$R$5:$R$554,$K463)))</f>
        <v/>
      </c>
      <c r="F463" s="6" t="str">
        <f aca="false">IF($K463="","",IF(INDEX('Prospect Tracker'!$J$5:$J$554,$K463)="","",INDEX('Prospect Tracker'!$J$5:$J$554,$K463)))</f>
        <v/>
      </c>
      <c r="G463" s="6" t="str">
        <f aca="false">IF($K463="","",IF(INDEX('Prospect Tracker'!$H$5:$H$554,$K463)="","",INDEX('Prospect Tracker'!$H$5:$H$554,$K463)))</f>
        <v/>
      </c>
      <c r="H463" s="7" t="str">
        <f aca="false">IF($K463="","",IF(INDEX('Prospect Tracker'!$K$5:$K$554,$K463)="","",INDEX('Prospect Tracker'!$K$5:$K$554,$K463)))</f>
        <v/>
      </c>
      <c r="I463" s="6" t="str">
        <f aca="false">IF($K463="","",IF(INDEX('Prospect Tracker'!$T$5:$T$554,$K463)="","",INDEX('Prospect Tracker'!$T$5:$T$554,$K463)))</f>
        <v/>
      </c>
      <c r="J463" s="6" t="str">
        <f aca="false">IF($K463="","",IF(INDEX('Prospect Tracker'!$L$5:$L$554,$K463)="","",INDEX('Prospect Tracker'!$L$5:$L$554,$K463)))</f>
        <v/>
      </c>
      <c r="K463" s="1" t="n">
        <f aca="false">IFERROR(MATCH(SMALL('Prospect Tracker'!$X$5:$X$554,ROW()-4),'Prospect Tracker'!$X$5:$X$554,0),"")</f>
        <v>459</v>
      </c>
    </row>
    <row r="464" customFormat="false" ht="15" hidden="false" customHeight="true" outlineLevel="0" collapsed="false">
      <c r="A464" s="11" t="str">
        <f aca="false">IF($K464="","",IF(INDEX('Prospect Tracker'!$W$5:$W$554,$K464)="","",INDEX('Prospect Tracker'!$W$5:$W$554,$K464)))</f>
        <v/>
      </c>
      <c r="B464" s="11" t="str">
        <f aca="false">IF($K464="","",IF(INDEX('Prospect Tracker'!$A$5:$A$554,$K464)="","",INDEX('Prospect Tracker'!$A$5:$A$554,$K464)))</f>
        <v/>
      </c>
      <c r="C464" s="11" t="str">
        <f aca="false">IF($K464="","",IF(INDEX('Prospect Tracker'!$B$5:$B$554,$K464)="","",INDEX('Prospect Tracker'!$B$5:$B$554,$K464)))</f>
        <v/>
      </c>
      <c r="D464" s="11" t="str">
        <f aca="false">IF($K464="","",IF(INDEX('Prospect Tracker'!$M$5:$M$554,$K464)="","",INDEX('Prospect Tracker'!$M$5:$M$554,$K464)))</f>
        <v/>
      </c>
      <c r="E464" s="11" t="str">
        <f aca="false">IF($K464="","",IF(INDEX('Prospect Tracker'!$R$5:$R$554,$K464)="","",INDEX('Prospect Tracker'!$R$5:$R$554,$K464)))</f>
        <v/>
      </c>
      <c r="F464" s="11" t="str">
        <f aca="false">IF($K464="","",IF(INDEX('Prospect Tracker'!$J$5:$J$554,$K464)="","",INDEX('Prospect Tracker'!$J$5:$J$554,$K464)))</f>
        <v/>
      </c>
      <c r="G464" s="11" t="str">
        <f aca="false">IF($K464="","",IF(INDEX('Prospect Tracker'!$H$5:$H$554,$K464)="","",INDEX('Prospect Tracker'!$H$5:$H$554,$K464)))</f>
        <v/>
      </c>
      <c r="H464" s="12" t="str">
        <f aca="false">IF($K464="","",IF(INDEX('Prospect Tracker'!$K$5:$K$554,$K464)="","",INDEX('Prospect Tracker'!$K$5:$K$554,$K464)))</f>
        <v/>
      </c>
      <c r="I464" s="11" t="str">
        <f aca="false">IF($K464="","",IF(INDEX('Prospect Tracker'!$T$5:$T$554,$K464)="","",INDEX('Prospect Tracker'!$T$5:$T$554,$K464)))</f>
        <v/>
      </c>
      <c r="J464" s="11" t="str">
        <f aca="false">IF($K464="","",IF(INDEX('Prospect Tracker'!$L$5:$L$554,$K464)="","",INDEX('Prospect Tracker'!$L$5:$L$554,$K464)))</f>
        <v/>
      </c>
      <c r="K464" s="1" t="n">
        <f aca="false">IFERROR(MATCH(SMALL('Prospect Tracker'!$X$5:$X$554,ROW()-4),'Prospect Tracker'!$X$5:$X$554,0),"")</f>
        <v>460</v>
      </c>
    </row>
    <row r="465" customFormat="false" ht="15" hidden="false" customHeight="true" outlineLevel="0" collapsed="false">
      <c r="A465" s="6" t="str">
        <f aca="false">IF($K465="","",IF(INDEX('Prospect Tracker'!$W$5:$W$554,$K465)="","",INDEX('Prospect Tracker'!$W$5:$W$554,$K465)))</f>
        <v/>
      </c>
      <c r="B465" s="6" t="str">
        <f aca="false">IF($K465="","",IF(INDEX('Prospect Tracker'!$A$5:$A$554,$K465)="","",INDEX('Prospect Tracker'!$A$5:$A$554,$K465)))</f>
        <v/>
      </c>
      <c r="C465" s="6" t="str">
        <f aca="false">IF($K465="","",IF(INDEX('Prospect Tracker'!$B$5:$B$554,$K465)="","",INDEX('Prospect Tracker'!$B$5:$B$554,$K465)))</f>
        <v/>
      </c>
      <c r="D465" s="6" t="str">
        <f aca="false">IF($K465="","",IF(INDEX('Prospect Tracker'!$M$5:$M$554,$K465)="","",INDEX('Prospect Tracker'!$M$5:$M$554,$K465)))</f>
        <v/>
      </c>
      <c r="E465" s="6" t="str">
        <f aca="false">IF($K465="","",IF(INDEX('Prospect Tracker'!$R$5:$R$554,$K465)="","",INDEX('Prospect Tracker'!$R$5:$R$554,$K465)))</f>
        <v/>
      </c>
      <c r="F465" s="6" t="str">
        <f aca="false">IF($K465="","",IF(INDEX('Prospect Tracker'!$J$5:$J$554,$K465)="","",INDEX('Prospect Tracker'!$J$5:$J$554,$K465)))</f>
        <v/>
      </c>
      <c r="G465" s="6" t="str">
        <f aca="false">IF($K465="","",IF(INDEX('Prospect Tracker'!$H$5:$H$554,$K465)="","",INDEX('Prospect Tracker'!$H$5:$H$554,$K465)))</f>
        <v/>
      </c>
      <c r="H465" s="7" t="str">
        <f aca="false">IF($K465="","",IF(INDEX('Prospect Tracker'!$K$5:$K$554,$K465)="","",INDEX('Prospect Tracker'!$K$5:$K$554,$K465)))</f>
        <v/>
      </c>
      <c r="I465" s="6" t="str">
        <f aca="false">IF($K465="","",IF(INDEX('Prospect Tracker'!$T$5:$T$554,$K465)="","",INDEX('Prospect Tracker'!$T$5:$T$554,$K465)))</f>
        <v/>
      </c>
      <c r="J465" s="6" t="str">
        <f aca="false">IF($K465="","",IF(INDEX('Prospect Tracker'!$L$5:$L$554,$K465)="","",INDEX('Prospect Tracker'!$L$5:$L$554,$K465)))</f>
        <v/>
      </c>
      <c r="K465" s="1" t="n">
        <f aca="false">IFERROR(MATCH(SMALL('Prospect Tracker'!$X$5:$X$554,ROW()-4),'Prospect Tracker'!$X$5:$X$554,0),"")</f>
        <v>461</v>
      </c>
    </row>
    <row r="466" customFormat="false" ht="15" hidden="false" customHeight="true" outlineLevel="0" collapsed="false">
      <c r="A466" s="11" t="str">
        <f aca="false">IF($K466="","",IF(INDEX('Prospect Tracker'!$W$5:$W$554,$K466)="","",INDEX('Prospect Tracker'!$W$5:$W$554,$K466)))</f>
        <v/>
      </c>
      <c r="B466" s="11" t="str">
        <f aca="false">IF($K466="","",IF(INDEX('Prospect Tracker'!$A$5:$A$554,$K466)="","",INDEX('Prospect Tracker'!$A$5:$A$554,$K466)))</f>
        <v/>
      </c>
      <c r="C466" s="11" t="str">
        <f aca="false">IF($K466="","",IF(INDEX('Prospect Tracker'!$B$5:$B$554,$K466)="","",INDEX('Prospect Tracker'!$B$5:$B$554,$K466)))</f>
        <v/>
      </c>
      <c r="D466" s="11" t="str">
        <f aca="false">IF($K466="","",IF(INDEX('Prospect Tracker'!$M$5:$M$554,$K466)="","",INDEX('Prospect Tracker'!$M$5:$M$554,$K466)))</f>
        <v/>
      </c>
      <c r="E466" s="11" t="str">
        <f aca="false">IF($K466="","",IF(INDEX('Prospect Tracker'!$R$5:$R$554,$K466)="","",INDEX('Prospect Tracker'!$R$5:$R$554,$K466)))</f>
        <v/>
      </c>
      <c r="F466" s="11" t="str">
        <f aca="false">IF($K466="","",IF(INDEX('Prospect Tracker'!$J$5:$J$554,$K466)="","",INDEX('Prospect Tracker'!$J$5:$J$554,$K466)))</f>
        <v/>
      </c>
      <c r="G466" s="11" t="str">
        <f aca="false">IF($K466="","",IF(INDEX('Prospect Tracker'!$H$5:$H$554,$K466)="","",INDEX('Prospect Tracker'!$H$5:$H$554,$K466)))</f>
        <v/>
      </c>
      <c r="H466" s="12" t="str">
        <f aca="false">IF($K466="","",IF(INDEX('Prospect Tracker'!$K$5:$K$554,$K466)="","",INDEX('Prospect Tracker'!$K$5:$K$554,$K466)))</f>
        <v/>
      </c>
      <c r="I466" s="11" t="str">
        <f aca="false">IF($K466="","",IF(INDEX('Prospect Tracker'!$T$5:$T$554,$K466)="","",INDEX('Prospect Tracker'!$T$5:$T$554,$K466)))</f>
        <v/>
      </c>
      <c r="J466" s="11" t="str">
        <f aca="false">IF($K466="","",IF(INDEX('Prospect Tracker'!$L$5:$L$554,$K466)="","",INDEX('Prospect Tracker'!$L$5:$L$554,$K466)))</f>
        <v/>
      </c>
      <c r="K466" s="1" t="n">
        <f aca="false">IFERROR(MATCH(SMALL('Prospect Tracker'!$X$5:$X$554,ROW()-4),'Prospect Tracker'!$X$5:$X$554,0),"")</f>
        <v>462</v>
      </c>
    </row>
    <row r="467" customFormat="false" ht="15" hidden="false" customHeight="true" outlineLevel="0" collapsed="false">
      <c r="A467" s="6" t="str">
        <f aca="false">IF($K467="","",IF(INDEX('Prospect Tracker'!$W$5:$W$554,$K467)="","",INDEX('Prospect Tracker'!$W$5:$W$554,$K467)))</f>
        <v/>
      </c>
      <c r="B467" s="6" t="str">
        <f aca="false">IF($K467="","",IF(INDEX('Prospect Tracker'!$A$5:$A$554,$K467)="","",INDEX('Prospect Tracker'!$A$5:$A$554,$K467)))</f>
        <v/>
      </c>
      <c r="C467" s="6" t="str">
        <f aca="false">IF($K467="","",IF(INDEX('Prospect Tracker'!$B$5:$B$554,$K467)="","",INDEX('Prospect Tracker'!$B$5:$B$554,$K467)))</f>
        <v/>
      </c>
      <c r="D467" s="6" t="str">
        <f aca="false">IF($K467="","",IF(INDEX('Prospect Tracker'!$M$5:$M$554,$K467)="","",INDEX('Prospect Tracker'!$M$5:$M$554,$K467)))</f>
        <v/>
      </c>
      <c r="E467" s="6" t="str">
        <f aca="false">IF($K467="","",IF(INDEX('Prospect Tracker'!$R$5:$R$554,$K467)="","",INDEX('Prospect Tracker'!$R$5:$R$554,$K467)))</f>
        <v/>
      </c>
      <c r="F467" s="6" t="str">
        <f aca="false">IF($K467="","",IF(INDEX('Prospect Tracker'!$J$5:$J$554,$K467)="","",INDEX('Prospect Tracker'!$J$5:$J$554,$K467)))</f>
        <v/>
      </c>
      <c r="G467" s="6" t="str">
        <f aca="false">IF($K467="","",IF(INDEX('Prospect Tracker'!$H$5:$H$554,$K467)="","",INDEX('Prospect Tracker'!$H$5:$H$554,$K467)))</f>
        <v/>
      </c>
      <c r="H467" s="7" t="str">
        <f aca="false">IF($K467="","",IF(INDEX('Prospect Tracker'!$K$5:$K$554,$K467)="","",INDEX('Prospect Tracker'!$K$5:$K$554,$K467)))</f>
        <v/>
      </c>
      <c r="I467" s="6" t="str">
        <f aca="false">IF($K467="","",IF(INDEX('Prospect Tracker'!$T$5:$T$554,$K467)="","",INDEX('Prospect Tracker'!$T$5:$T$554,$K467)))</f>
        <v/>
      </c>
      <c r="J467" s="6" t="str">
        <f aca="false">IF($K467="","",IF(INDEX('Prospect Tracker'!$L$5:$L$554,$K467)="","",INDEX('Prospect Tracker'!$L$5:$L$554,$K467)))</f>
        <v/>
      </c>
      <c r="K467" s="1" t="n">
        <f aca="false">IFERROR(MATCH(SMALL('Prospect Tracker'!$X$5:$X$554,ROW()-4),'Prospect Tracker'!$X$5:$X$554,0),"")</f>
        <v>463</v>
      </c>
    </row>
    <row r="468" customFormat="false" ht="15" hidden="false" customHeight="true" outlineLevel="0" collapsed="false">
      <c r="A468" s="11" t="str">
        <f aca="false">IF($K468="","",IF(INDEX('Prospect Tracker'!$W$5:$W$554,$K468)="","",INDEX('Prospect Tracker'!$W$5:$W$554,$K468)))</f>
        <v/>
      </c>
      <c r="B468" s="11" t="str">
        <f aca="false">IF($K468="","",IF(INDEX('Prospect Tracker'!$A$5:$A$554,$K468)="","",INDEX('Prospect Tracker'!$A$5:$A$554,$K468)))</f>
        <v/>
      </c>
      <c r="C468" s="11" t="str">
        <f aca="false">IF($K468="","",IF(INDEX('Prospect Tracker'!$B$5:$B$554,$K468)="","",INDEX('Prospect Tracker'!$B$5:$B$554,$K468)))</f>
        <v/>
      </c>
      <c r="D468" s="11" t="str">
        <f aca="false">IF($K468="","",IF(INDEX('Prospect Tracker'!$M$5:$M$554,$K468)="","",INDEX('Prospect Tracker'!$M$5:$M$554,$K468)))</f>
        <v/>
      </c>
      <c r="E468" s="11" t="str">
        <f aca="false">IF($K468="","",IF(INDEX('Prospect Tracker'!$R$5:$R$554,$K468)="","",INDEX('Prospect Tracker'!$R$5:$R$554,$K468)))</f>
        <v/>
      </c>
      <c r="F468" s="11" t="str">
        <f aca="false">IF($K468="","",IF(INDEX('Prospect Tracker'!$J$5:$J$554,$K468)="","",INDEX('Prospect Tracker'!$J$5:$J$554,$K468)))</f>
        <v/>
      </c>
      <c r="G468" s="11" t="str">
        <f aca="false">IF($K468="","",IF(INDEX('Prospect Tracker'!$H$5:$H$554,$K468)="","",INDEX('Prospect Tracker'!$H$5:$H$554,$K468)))</f>
        <v/>
      </c>
      <c r="H468" s="12" t="str">
        <f aca="false">IF($K468="","",IF(INDEX('Prospect Tracker'!$K$5:$K$554,$K468)="","",INDEX('Prospect Tracker'!$K$5:$K$554,$K468)))</f>
        <v/>
      </c>
      <c r="I468" s="11" t="str">
        <f aca="false">IF($K468="","",IF(INDEX('Prospect Tracker'!$T$5:$T$554,$K468)="","",INDEX('Prospect Tracker'!$T$5:$T$554,$K468)))</f>
        <v/>
      </c>
      <c r="J468" s="11" t="str">
        <f aca="false">IF($K468="","",IF(INDEX('Prospect Tracker'!$L$5:$L$554,$K468)="","",INDEX('Prospect Tracker'!$L$5:$L$554,$K468)))</f>
        <v/>
      </c>
      <c r="K468" s="1" t="n">
        <f aca="false">IFERROR(MATCH(SMALL('Prospect Tracker'!$X$5:$X$554,ROW()-4),'Prospect Tracker'!$X$5:$X$554,0),"")</f>
        <v>464</v>
      </c>
    </row>
    <row r="469" customFormat="false" ht="15" hidden="false" customHeight="true" outlineLevel="0" collapsed="false">
      <c r="A469" s="6" t="str">
        <f aca="false">IF($K469="","",IF(INDEX('Prospect Tracker'!$W$5:$W$554,$K469)="","",INDEX('Prospect Tracker'!$W$5:$W$554,$K469)))</f>
        <v/>
      </c>
      <c r="B469" s="6" t="str">
        <f aca="false">IF($K469="","",IF(INDEX('Prospect Tracker'!$A$5:$A$554,$K469)="","",INDEX('Prospect Tracker'!$A$5:$A$554,$K469)))</f>
        <v/>
      </c>
      <c r="C469" s="6" t="str">
        <f aca="false">IF($K469="","",IF(INDEX('Prospect Tracker'!$B$5:$B$554,$K469)="","",INDEX('Prospect Tracker'!$B$5:$B$554,$K469)))</f>
        <v/>
      </c>
      <c r="D469" s="6" t="str">
        <f aca="false">IF($K469="","",IF(INDEX('Prospect Tracker'!$M$5:$M$554,$K469)="","",INDEX('Prospect Tracker'!$M$5:$M$554,$K469)))</f>
        <v/>
      </c>
      <c r="E469" s="6" t="str">
        <f aca="false">IF($K469="","",IF(INDEX('Prospect Tracker'!$R$5:$R$554,$K469)="","",INDEX('Prospect Tracker'!$R$5:$R$554,$K469)))</f>
        <v/>
      </c>
      <c r="F469" s="6" t="str">
        <f aca="false">IF($K469="","",IF(INDEX('Prospect Tracker'!$J$5:$J$554,$K469)="","",INDEX('Prospect Tracker'!$J$5:$J$554,$K469)))</f>
        <v/>
      </c>
      <c r="G469" s="6" t="str">
        <f aca="false">IF($K469="","",IF(INDEX('Prospect Tracker'!$H$5:$H$554,$K469)="","",INDEX('Prospect Tracker'!$H$5:$H$554,$K469)))</f>
        <v/>
      </c>
      <c r="H469" s="7" t="str">
        <f aca="false">IF($K469="","",IF(INDEX('Prospect Tracker'!$K$5:$K$554,$K469)="","",INDEX('Prospect Tracker'!$K$5:$K$554,$K469)))</f>
        <v/>
      </c>
      <c r="I469" s="6" t="str">
        <f aca="false">IF($K469="","",IF(INDEX('Prospect Tracker'!$T$5:$T$554,$K469)="","",INDEX('Prospect Tracker'!$T$5:$T$554,$K469)))</f>
        <v/>
      </c>
      <c r="J469" s="6" t="str">
        <f aca="false">IF($K469="","",IF(INDEX('Prospect Tracker'!$L$5:$L$554,$K469)="","",INDEX('Prospect Tracker'!$L$5:$L$554,$K469)))</f>
        <v/>
      </c>
      <c r="K469" s="1" t="n">
        <f aca="false">IFERROR(MATCH(SMALL('Prospect Tracker'!$X$5:$X$554,ROW()-4),'Prospect Tracker'!$X$5:$X$554,0),"")</f>
        <v>465</v>
      </c>
    </row>
    <row r="470" customFormat="false" ht="15" hidden="false" customHeight="true" outlineLevel="0" collapsed="false">
      <c r="A470" s="11" t="str">
        <f aca="false">IF($K470="","",IF(INDEX('Prospect Tracker'!$W$5:$W$554,$K470)="","",INDEX('Prospect Tracker'!$W$5:$W$554,$K470)))</f>
        <v/>
      </c>
      <c r="B470" s="11" t="str">
        <f aca="false">IF($K470="","",IF(INDEX('Prospect Tracker'!$A$5:$A$554,$K470)="","",INDEX('Prospect Tracker'!$A$5:$A$554,$K470)))</f>
        <v/>
      </c>
      <c r="C470" s="11" t="str">
        <f aca="false">IF($K470="","",IF(INDEX('Prospect Tracker'!$B$5:$B$554,$K470)="","",INDEX('Prospect Tracker'!$B$5:$B$554,$K470)))</f>
        <v/>
      </c>
      <c r="D470" s="11" t="str">
        <f aca="false">IF($K470="","",IF(INDEX('Prospect Tracker'!$M$5:$M$554,$K470)="","",INDEX('Prospect Tracker'!$M$5:$M$554,$K470)))</f>
        <v/>
      </c>
      <c r="E470" s="11" t="str">
        <f aca="false">IF($K470="","",IF(INDEX('Prospect Tracker'!$R$5:$R$554,$K470)="","",INDEX('Prospect Tracker'!$R$5:$R$554,$K470)))</f>
        <v/>
      </c>
      <c r="F470" s="11" t="str">
        <f aca="false">IF($K470="","",IF(INDEX('Prospect Tracker'!$J$5:$J$554,$K470)="","",INDEX('Prospect Tracker'!$J$5:$J$554,$K470)))</f>
        <v/>
      </c>
      <c r="G470" s="11" t="str">
        <f aca="false">IF($K470="","",IF(INDEX('Prospect Tracker'!$H$5:$H$554,$K470)="","",INDEX('Prospect Tracker'!$H$5:$H$554,$K470)))</f>
        <v/>
      </c>
      <c r="H470" s="12" t="str">
        <f aca="false">IF($K470="","",IF(INDEX('Prospect Tracker'!$K$5:$K$554,$K470)="","",INDEX('Prospect Tracker'!$K$5:$K$554,$K470)))</f>
        <v/>
      </c>
      <c r="I470" s="11" t="str">
        <f aca="false">IF($K470="","",IF(INDEX('Prospect Tracker'!$T$5:$T$554,$K470)="","",INDEX('Prospect Tracker'!$T$5:$T$554,$K470)))</f>
        <v/>
      </c>
      <c r="J470" s="11" t="str">
        <f aca="false">IF($K470="","",IF(INDEX('Prospect Tracker'!$L$5:$L$554,$K470)="","",INDEX('Prospect Tracker'!$L$5:$L$554,$K470)))</f>
        <v/>
      </c>
      <c r="K470" s="1" t="n">
        <f aca="false">IFERROR(MATCH(SMALL('Prospect Tracker'!$X$5:$X$554,ROW()-4),'Prospect Tracker'!$X$5:$X$554,0),"")</f>
        <v>466</v>
      </c>
    </row>
    <row r="471" customFormat="false" ht="15" hidden="false" customHeight="true" outlineLevel="0" collapsed="false">
      <c r="A471" s="6" t="str">
        <f aca="false">IF($K471="","",IF(INDEX('Prospect Tracker'!$W$5:$W$554,$K471)="","",INDEX('Prospect Tracker'!$W$5:$W$554,$K471)))</f>
        <v/>
      </c>
      <c r="B471" s="6" t="str">
        <f aca="false">IF($K471="","",IF(INDEX('Prospect Tracker'!$A$5:$A$554,$K471)="","",INDEX('Prospect Tracker'!$A$5:$A$554,$K471)))</f>
        <v/>
      </c>
      <c r="C471" s="6" t="str">
        <f aca="false">IF($K471="","",IF(INDEX('Prospect Tracker'!$B$5:$B$554,$K471)="","",INDEX('Prospect Tracker'!$B$5:$B$554,$K471)))</f>
        <v/>
      </c>
      <c r="D471" s="6" t="str">
        <f aca="false">IF($K471="","",IF(INDEX('Prospect Tracker'!$M$5:$M$554,$K471)="","",INDEX('Prospect Tracker'!$M$5:$M$554,$K471)))</f>
        <v/>
      </c>
      <c r="E471" s="6" t="str">
        <f aca="false">IF($K471="","",IF(INDEX('Prospect Tracker'!$R$5:$R$554,$K471)="","",INDEX('Prospect Tracker'!$R$5:$R$554,$K471)))</f>
        <v/>
      </c>
      <c r="F471" s="6" t="str">
        <f aca="false">IF($K471="","",IF(INDEX('Prospect Tracker'!$J$5:$J$554,$K471)="","",INDEX('Prospect Tracker'!$J$5:$J$554,$K471)))</f>
        <v/>
      </c>
      <c r="G471" s="6" t="str">
        <f aca="false">IF($K471="","",IF(INDEX('Prospect Tracker'!$H$5:$H$554,$K471)="","",INDEX('Prospect Tracker'!$H$5:$H$554,$K471)))</f>
        <v/>
      </c>
      <c r="H471" s="7" t="str">
        <f aca="false">IF($K471="","",IF(INDEX('Prospect Tracker'!$K$5:$K$554,$K471)="","",INDEX('Prospect Tracker'!$K$5:$K$554,$K471)))</f>
        <v/>
      </c>
      <c r="I471" s="6" t="str">
        <f aca="false">IF($K471="","",IF(INDEX('Prospect Tracker'!$T$5:$T$554,$K471)="","",INDEX('Prospect Tracker'!$T$5:$T$554,$K471)))</f>
        <v/>
      </c>
      <c r="J471" s="6" t="str">
        <f aca="false">IF($K471="","",IF(INDEX('Prospect Tracker'!$L$5:$L$554,$K471)="","",INDEX('Prospect Tracker'!$L$5:$L$554,$K471)))</f>
        <v/>
      </c>
      <c r="K471" s="1" t="n">
        <f aca="false">IFERROR(MATCH(SMALL('Prospect Tracker'!$X$5:$X$554,ROW()-4),'Prospect Tracker'!$X$5:$X$554,0),"")</f>
        <v>467</v>
      </c>
    </row>
    <row r="472" customFormat="false" ht="15" hidden="false" customHeight="true" outlineLevel="0" collapsed="false">
      <c r="A472" s="11" t="str">
        <f aca="false">IF($K472="","",IF(INDEX('Prospect Tracker'!$W$5:$W$554,$K472)="","",INDEX('Prospect Tracker'!$W$5:$W$554,$K472)))</f>
        <v/>
      </c>
      <c r="B472" s="11" t="str">
        <f aca="false">IF($K472="","",IF(INDEX('Prospect Tracker'!$A$5:$A$554,$K472)="","",INDEX('Prospect Tracker'!$A$5:$A$554,$K472)))</f>
        <v/>
      </c>
      <c r="C472" s="11" t="str">
        <f aca="false">IF($K472="","",IF(INDEX('Prospect Tracker'!$B$5:$B$554,$K472)="","",INDEX('Prospect Tracker'!$B$5:$B$554,$K472)))</f>
        <v/>
      </c>
      <c r="D472" s="11" t="str">
        <f aca="false">IF($K472="","",IF(INDEX('Prospect Tracker'!$M$5:$M$554,$K472)="","",INDEX('Prospect Tracker'!$M$5:$M$554,$K472)))</f>
        <v/>
      </c>
      <c r="E472" s="11" t="str">
        <f aca="false">IF($K472="","",IF(INDEX('Prospect Tracker'!$R$5:$R$554,$K472)="","",INDEX('Prospect Tracker'!$R$5:$R$554,$K472)))</f>
        <v/>
      </c>
      <c r="F472" s="11" t="str">
        <f aca="false">IF($K472="","",IF(INDEX('Prospect Tracker'!$J$5:$J$554,$K472)="","",INDEX('Prospect Tracker'!$J$5:$J$554,$K472)))</f>
        <v/>
      </c>
      <c r="G472" s="11" t="str">
        <f aca="false">IF($K472="","",IF(INDEX('Prospect Tracker'!$H$5:$H$554,$K472)="","",INDEX('Prospect Tracker'!$H$5:$H$554,$K472)))</f>
        <v/>
      </c>
      <c r="H472" s="12" t="str">
        <f aca="false">IF($K472="","",IF(INDEX('Prospect Tracker'!$K$5:$K$554,$K472)="","",INDEX('Prospect Tracker'!$K$5:$K$554,$K472)))</f>
        <v/>
      </c>
      <c r="I472" s="11" t="str">
        <f aca="false">IF($K472="","",IF(INDEX('Prospect Tracker'!$T$5:$T$554,$K472)="","",INDEX('Prospect Tracker'!$T$5:$T$554,$K472)))</f>
        <v/>
      </c>
      <c r="J472" s="11" t="str">
        <f aca="false">IF($K472="","",IF(INDEX('Prospect Tracker'!$L$5:$L$554,$K472)="","",INDEX('Prospect Tracker'!$L$5:$L$554,$K472)))</f>
        <v/>
      </c>
      <c r="K472" s="1" t="n">
        <f aca="false">IFERROR(MATCH(SMALL('Prospect Tracker'!$X$5:$X$554,ROW()-4),'Prospect Tracker'!$X$5:$X$554,0),"")</f>
        <v>468</v>
      </c>
    </row>
    <row r="473" customFormat="false" ht="15" hidden="false" customHeight="true" outlineLevel="0" collapsed="false">
      <c r="A473" s="6" t="str">
        <f aca="false">IF($K473="","",IF(INDEX('Prospect Tracker'!$W$5:$W$554,$K473)="","",INDEX('Prospect Tracker'!$W$5:$W$554,$K473)))</f>
        <v/>
      </c>
      <c r="B473" s="6" t="str">
        <f aca="false">IF($K473="","",IF(INDEX('Prospect Tracker'!$A$5:$A$554,$K473)="","",INDEX('Prospect Tracker'!$A$5:$A$554,$K473)))</f>
        <v/>
      </c>
      <c r="C473" s="6" t="str">
        <f aca="false">IF($K473="","",IF(INDEX('Prospect Tracker'!$B$5:$B$554,$K473)="","",INDEX('Prospect Tracker'!$B$5:$B$554,$K473)))</f>
        <v/>
      </c>
      <c r="D473" s="6" t="str">
        <f aca="false">IF($K473="","",IF(INDEX('Prospect Tracker'!$M$5:$M$554,$K473)="","",INDEX('Prospect Tracker'!$M$5:$M$554,$K473)))</f>
        <v/>
      </c>
      <c r="E473" s="6" t="str">
        <f aca="false">IF($K473="","",IF(INDEX('Prospect Tracker'!$R$5:$R$554,$K473)="","",INDEX('Prospect Tracker'!$R$5:$R$554,$K473)))</f>
        <v/>
      </c>
      <c r="F473" s="6" t="str">
        <f aca="false">IF($K473="","",IF(INDEX('Prospect Tracker'!$J$5:$J$554,$K473)="","",INDEX('Prospect Tracker'!$J$5:$J$554,$K473)))</f>
        <v/>
      </c>
      <c r="G473" s="6" t="str">
        <f aca="false">IF($K473="","",IF(INDEX('Prospect Tracker'!$H$5:$H$554,$K473)="","",INDEX('Prospect Tracker'!$H$5:$H$554,$K473)))</f>
        <v/>
      </c>
      <c r="H473" s="7" t="str">
        <f aca="false">IF($K473="","",IF(INDEX('Prospect Tracker'!$K$5:$K$554,$K473)="","",INDEX('Prospect Tracker'!$K$5:$K$554,$K473)))</f>
        <v/>
      </c>
      <c r="I473" s="6" t="str">
        <f aca="false">IF($K473="","",IF(INDEX('Prospect Tracker'!$T$5:$T$554,$K473)="","",INDEX('Prospect Tracker'!$T$5:$T$554,$K473)))</f>
        <v/>
      </c>
      <c r="J473" s="6" t="str">
        <f aca="false">IF($K473="","",IF(INDEX('Prospect Tracker'!$L$5:$L$554,$K473)="","",INDEX('Prospect Tracker'!$L$5:$L$554,$K473)))</f>
        <v/>
      </c>
      <c r="K473" s="1" t="n">
        <f aca="false">IFERROR(MATCH(SMALL('Prospect Tracker'!$X$5:$X$554,ROW()-4),'Prospect Tracker'!$X$5:$X$554,0),"")</f>
        <v>469</v>
      </c>
    </row>
    <row r="474" customFormat="false" ht="15" hidden="false" customHeight="true" outlineLevel="0" collapsed="false">
      <c r="A474" s="11" t="str">
        <f aca="false">IF($K474="","",IF(INDEX('Prospect Tracker'!$W$5:$W$554,$K474)="","",INDEX('Prospect Tracker'!$W$5:$W$554,$K474)))</f>
        <v/>
      </c>
      <c r="B474" s="11" t="str">
        <f aca="false">IF($K474="","",IF(INDEX('Prospect Tracker'!$A$5:$A$554,$K474)="","",INDEX('Prospect Tracker'!$A$5:$A$554,$K474)))</f>
        <v/>
      </c>
      <c r="C474" s="11" t="str">
        <f aca="false">IF($K474="","",IF(INDEX('Prospect Tracker'!$B$5:$B$554,$K474)="","",INDEX('Prospect Tracker'!$B$5:$B$554,$K474)))</f>
        <v/>
      </c>
      <c r="D474" s="11" t="str">
        <f aca="false">IF($K474="","",IF(INDEX('Prospect Tracker'!$M$5:$M$554,$K474)="","",INDEX('Prospect Tracker'!$M$5:$M$554,$K474)))</f>
        <v/>
      </c>
      <c r="E474" s="11" t="str">
        <f aca="false">IF($K474="","",IF(INDEX('Prospect Tracker'!$R$5:$R$554,$K474)="","",INDEX('Prospect Tracker'!$R$5:$R$554,$K474)))</f>
        <v/>
      </c>
      <c r="F474" s="11" t="str">
        <f aca="false">IF($K474="","",IF(INDEX('Prospect Tracker'!$J$5:$J$554,$K474)="","",INDEX('Prospect Tracker'!$J$5:$J$554,$K474)))</f>
        <v/>
      </c>
      <c r="G474" s="11" t="str">
        <f aca="false">IF($K474="","",IF(INDEX('Prospect Tracker'!$H$5:$H$554,$K474)="","",INDEX('Prospect Tracker'!$H$5:$H$554,$K474)))</f>
        <v/>
      </c>
      <c r="H474" s="12" t="str">
        <f aca="false">IF($K474="","",IF(INDEX('Prospect Tracker'!$K$5:$K$554,$K474)="","",INDEX('Prospect Tracker'!$K$5:$K$554,$K474)))</f>
        <v/>
      </c>
      <c r="I474" s="11" t="str">
        <f aca="false">IF($K474="","",IF(INDEX('Prospect Tracker'!$T$5:$T$554,$K474)="","",INDEX('Prospect Tracker'!$T$5:$T$554,$K474)))</f>
        <v/>
      </c>
      <c r="J474" s="11" t="str">
        <f aca="false">IF($K474="","",IF(INDEX('Prospect Tracker'!$L$5:$L$554,$K474)="","",INDEX('Prospect Tracker'!$L$5:$L$554,$K474)))</f>
        <v/>
      </c>
      <c r="K474" s="1" t="n">
        <f aca="false">IFERROR(MATCH(SMALL('Prospect Tracker'!$X$5:$X$554,ROW()-4),'Prospect Tracker'!$X$5:$X$554,0),"")</f>
        <v>470</v>
      </c>
    </row>
    <row r="475" customFormat="false" ht="15" hidden="false" customHeight="true" outlineLevel="0" collapsed="false">
      <c r="A475" s="6" t="str">
        <f aca="false">IF($K475="","",IF(INDEX('Prospect Tracker'!$W$5:$W$554,$K475)="","",INDEX('Prospect Tracker'!$W$5:$W$554,$K475)))</f>
        <v/>
      </c>
      <c r="B475" s="6" t="str">
        <f aca="false">IF($K475="","",IF(INDEX('Prospect Tracker'!$A$5:$A$554,$K475)="","",INDEX('Prospect Tracker'!$A$5:$A$554,$K475)))</f>
        <v/>
      </c>
      <c r="C475" s="6" t="str">
        <f aca="false">IF($K475="","",IF(INDEX('Prospect Tracker'!$B$5:$B$554,$K475)="","",INDEX('Prospect Tracker'!$B$5:$B$554,$K475)))</f>
        <v/>
      </c>
      <c r="D475" s="6" t="str">
        <f aca="false">IF($K475="","",IF(INDEX('Prospect Tracker'!$M$5:$M$554,$K475)="","",INDEX('Prospect Tracker'!$M$5:$M$554,$K475)))</f>
        <v/>
      </c>
      <c r="E475" s="6" t="str">
        <f aca="false">IF($K475="","",IF(INDEX('Prospect Tracker'!$R$5:$R$554,$K475)="","",INDEX('Prospect Tracker'!$R$5:$R$554,$K475)))</f>
        <v/>
      </c>
      <c r="F475" s="6" t="str">
        <f aca="false">IF($K475="","",IF(INDEX('Prospect Tracker'!$J$5:$J$554,$K475)="","",INDEX('Prospect Tracker'!$J$5:$J$554,$K475)))</f>
        <v/>
      </c>
      <c r="G475" s="6" t="str">
        <f aca="false">IF($K475="","",IF(INDEX('Prospect Tracker'!$H$5:$H$554,$K475)="","",INDEX('Prospect Tracker'!$H$5:$H$554,$K475)))</f>
        <v/>
      </c>
      <c r="H475" s="7" t="str">
        <f aca="false">IF($K475="","",IF(INDEX('Prospect Tracker'!$K$5:$K$554,$K475)="","",INDEX('Prospect Tracker'!$K$5:$K$554,$K475)))</f>
        <v/>
      </c>
      <c r="I475" s="6" t="str">
        <f aca="false">IF($K475="","",IF(INDEX('Prospect Tracker'!$T$5:$T$554,$K475)="","",INDEX('Prospect Tracker'!$T$5:$T$554,$K475)))</f>
        <v/>
      </c>
      <c r="J475" s="6" t="str">
        <f aca="false">IF($K475="","",IF(INDEX('Prospect Tracker'!$L$5:$L$554,$K475)="","",INDEX('Prospect Tracker'!$L$5:$L$554,$K475)))</f>
        <v/>
      </c>
      <c r="K475" s="1" t="n">
        <f aca="false">IFERROR(MATCH(SMALL('Prospect Tracker'!$X$5:$X$554,ROW()-4),'Prospect Tracker'!$X$5:$X$554,0),"")</f>
        <v>471</v>
      </c>
    </row>
    <row r="476" customFormat="false" ht="15" hidden="false" customHeight="true" outlineLevel="0" collapsed="false">
      <c r="A476" s="11" t="str">
        <f aca="false">IF($K476="","",IF(INDEX('Prospect Tracker'!$W$5:$W$554,$K476)="","",INDEX('Prospect Tracker'!$W$5:$W$554,$K476)))</f>
        <v/>
      </c>
      <c r="B476" s="11" t="str">
        <f aca="false">IF($K476="","",IF(INDEX('Prospect Tracker'!$A$5:$A$554,$K476)="","",INDEX('Prospect Tracker'!$A$5:$A$554,$K476)))</f>
        <v/>
      </c>
      <c r="C476" s="11" t="str">
        <f aca="false">IF($K476="","",IF(INDEX('Prospect Tracker'!$B$5:$B$554,$K476)="","",INDEX('Prospect Tracker'!$B$5:$B$554,$K476)))</f>
        <v/>
      </c>
      <c r="D476" s="11" t="str">
        <f aca="false">IF($K476="","",IF(INDEX('Prospect Tracker'!$M$5:$M$554,$K476)="","",INDEX('Prospect Tracker'!$M$5:$M$554,$K476)))</f>
        <v/>
      </c>
      <c r="E476" s="11" t="str">
        <f aca="false">IF($K476="","",IF(INDEX('Prospect Tracker'!$R$5:$R$554,$K476)="","",INDEX('Prospect Tracker'!$R$5:$R$554,$K476)))</f>
        <v/>
      </c>
      <c r="F476" s="11" t="str">
        <f aca="false">IF($K476="","",IF(INDEX('Prospect Tracker'!$J$5:$J$554,$K476)="","",INDEX('Prospect Tracker'!$J$5:$J$554,$K476)))</f>
        <v/>
      </c>
      <c r="G476" s="11" t="str">
        <f aca="false">IF($K476="","",IF(INDEX('Prospect Tracker'!$H$5:$H$554,$K476)="","",INDEX('Prospect Tracker'!$H$5:$H$554,$K476)))</f>
        <v/>
      </c>
      <c r="H476" s="12" t="str">
        <f aca="false">IF($K476="","",IF(INDEX('Prospect Tracker'!$K$5:$K$554,$K476)="","",INDEX('Prospect Tracker'!$K$5:$K$554,$K476)))</f>
        <v/>
      </c>
      <c r="I476" s="11" t="str">
        <f aca="false">IF($K476="","",IF(INDEX('Prospect Tracker'!$T$5:$T$554,$K476)="","",INDEX('Prospect Tracker'!$T$5:$T$554,$K476)))</f>
        <v/>
      </c>
      <c r="J476" s="11" t="str">
        <f aca="false">IF($K476="","",IF(INDEX('Prospect Tracker'!$L$5:$L$554,$K476)="","",INDEX('Prospect Tracker'!$L$5:$L$554,$K476)))</f>
        <v/>
      </c>
      <c r="K476" s="1" t="n">
        <f aca="false">IFERROR(MATCH(SMALL('Prospect Tracker'!$X$5:$X$554,ROW()-4),'Prospect Tracker'!$X$5:$X$554,0),"")</f>
        <v>472</v>
      </c>
    </row>
    <row r="477" customFormat="false" ht="15" hidden="false" customHeight="true" outlineLevel="0" collapsed="false">
      <c r="A477" s="6" t="str">
        <f aca="false">IF($K477="","",IF(INDEX('Prospect Tracker'!$W$5:$W$554,$K477)="","",INDEX('Prospect Tracker'!$W$5:$W$554,$K477)))</f>
        <v/>
      </c>
      <c r="B477" s="6" t="str">
        <f aca="false">IF($K477="","",IF(INDEX('Prospect Tracker'!$A$5:$A$554,$K477)="","",INDEX('Prospect Tracker'!$A$5:$A$554,$K477)))</f>
        <v/>
      </c>
      <c r="C477" s="6" t="str">
        <f aca="false">IF($K477="","",IF(INDEX('Prospect Tracker'!$B$5:$B$554,$K477)="","",INDEX('Prospect Tracker'!$B$5:$B$554,$K477)))</f>
        <v/>
      </c>
      <c r="D477" s="6" t="str">
        <f aca="false">IF($K477="","",IF(INDEX('Prospect Tracker'!$M$5:$M$554,$K477)="","",INDEX('Prospect Tracker'!$M$5:$M$554,$K477)))</f>
        <v/>
      </c>
      <c r="E477" s="6" t="str">
        <f aca="false">IF($K477="","",IF(INDEX('Prospect Tracker'!$R$5:$R$554,$K477)="","",INDEX('Prospect Tracker'!$R$5:$R$554,$K477)))</f>
        <v/>
      </c>
      <c r="F477" s="6" t="str">
        <f aca="false">IF($K477="","",IF(INDEX('Prospect Tracker'!$J$5:$J$554,$K477)="","",INDEX('Prospect Tracker'!$J$5:$J$554,$K477)))</f>
        <v/>
      </c>
      <c r="G477" s="6" t="str">
        <f aca="false">IF($K477="","",IF(INDEX('Prospect Tracker'!$H$5:$H$554,$K477)="","",INDEX('Prospect Tracker'!$H$5:$H$554,$K477)))</f>
        <v/>
      </c>
      <c r="H477" s="7" t="str">
        <f aca="false">IF($K477="","",IF(INDEX('Prospect Tracker'!$K$5:$K$554,$K477)="","",INDEX('Prospect Tracker'!$K$5:$K$554,$K477)))</f>
        <v/>
      </c>
      <c r="I477" s="6" t="str">
        <f aca="false">IF($K477="","",IF(INDEX('Prospect Tracker'!$T$5:$T$554,$K477)="","",INDEX('Prospect Tracker'!$T$5:$T$554,$K477)))</f>
        <v/>
      </c>
      <c r="J477" s="6" t="str">
        <f aca="false">IF($K477="","",IF(INDEX('Prospect Tracker'!$L$5:$L$554,$K477)="","",INDEX('Prospect Tracker'!$L$5:$L$554,$K477)))</f>
        <v/>
      </c>
      <c r="K477" s="1" t="n">
        <f aca="false">IFERROR(MATCH(SMALL('Prospect Tracker'!$X$5:$X$554,ROW()-4),'Prospect Tracker'!$X$5:$X$554,0),"")</f>
        <v>473</v>
      </c>
    </row>
    <row r="478" customFormat="false" ht="15" hidden="false" customHeight="true" outlineLevel="0" collapsed="false">
      <c r="A478" s="11" t="str">
        <f aca="false">IF($K478="","",IF(INDEX('Prospect Tracker'!$W$5:$W$554,$K478)="","",INDEX('Prospect Tracker'!$W$5:$W$554,$K478)))</f>
        <v/>
      </c>
      <c r="B478" s="11" t="str">
        <f aca="false">IF($K478="","",IF(INDEX('Prospect Tracker'!$A$5:$A$554,$K478)="","",INDEX('Prospect Tracker'!$A$5:$A$554,$K478)))</f>
        <v/>
      </c>
      <c r="C478" s="11" t="str">
        <f aca="false">IF($K478="","",IF(INDEX('Prospect Tracker'!$B$5:$B$554,$K478)="","",INDEX('Prospect Tracker'!$B$5:$B$554,$K478)))</f>
        <v/>
      </c>
      <c r="D478" s="11" t="str">
        <f aca="false">IF($K478="","",IF(INDEX('Prospect Tracker'!$M$5:$M$554,$K478)="","",INDEX('Prospect Tracker'!$M$5:$M$554,$K478)))</f>
        <v/>
      </c>
      <c r="E478" s="11" t="str">
        <f aca="false">IF($K478="","",IF(INDEX('Prospect Tracker'!$R$5:$R$554,$K478)="","",INDEX('Prospect Tracker'!$R$5:$R$554,$K478)))</f>
        <v/>
      </c>
      <c r="F478" s="11" t="str">
        <f aca="false">IF($K478="","",IF(INDEX('Prospect Tracker'!$J$5:$J$554,$K478)="","",INDEX('Prospect Tracker'!$J$5:$J$554,$K478)))</f>
        <v/>
      </c>
      <c r="G478" s="11" t="str">
        <f aca="false">IF($K478="","",IF(INDEX('Prospect Tracker'!$H$5:$H$554,$K478)="","",INDEX('Prospect Tracker'!$H$5:$H$554,$K478)))</f>
        <v/>
      </c>
      <c r="H478" s="12" t="str">
        <f aca="false">IF($K478="","",IF(INDEX('Prospect Tracker'!$K$5:$K$554,$K478)="","",INDEX('Prospect Tracker'!$K$5:$K$554,$K478)))</f>
        <v/>
      </c>
      <c r="I478" s="11" t="str">
        <f aca="false">IF($K478="","",IF(INDEX('Prospect Tracker'!$T$5:$T$554,$K478)="","",INDEX('Prospect Tracker'!$T$5:$T$554,$K478)))</f>
        <v/>
      </c>
      <c r="J478" s="11" t="str">
        <f aca="false">IF($K478="","",IF(INDEX('Prospect Tracker'!$L$5:$L$554,$K478)="","",INDEX('Prospect Tracker'!$L$5:$L$554,$K478)))</f>
        <v/>
      </c>
      <c r="K478" s="1" t="n">
        <f aca="false">IFERROR(MATCH(SMALL('Prospect Tracker'!$X$5:$X$554,ROW()-4),'Prospect Tracker'!$X$5:$X$554,0),"")</f>
        <v>474</v>
      </c>
    </row>
    <row r="479" customFormat="false" ht="15" hidden="false" customHeight="true" outlineLevel="0" collapsed="false">
      <c r="A479" s="6" t="str">
        <f aca="false">IF($K479="","",IF(INDEX('Prospect Tracker'!$W$5:$W$554,$K479)="","",INDEX('Prospect Tracker'!$W$5:$W$554,$K479)))</f>
        <v/>
      </c>
      <c r="B479" s="6" t="str">
        <f aca="false">IF($K479="","",IF(INDEX('Prospect Tracker'!$A$5:$A$554,$K479)="","",INDEX('Prospect Tracker'!$A$5:$A$554,$K479)))</f>
        <v/>
      </c>
      <c r="C479" s="6" t="str">
        <f aca="false">IF($K479="","",IF(INDEX('Prospect Tracker'!$B$5:$B$554,$K479)="","",INDEX('Prospect Tracker'!$B$5:$B$554,$K479)))</f>
        <v/>
      </c>
      <c r="D479" s="6" t="str">
        <f aca="false">IF($K479="","",IF(INDEX('Prospect Tracker'!$M$5:$M$554,$K479)="","",INDEX('Prospect Tracker'!$M$5:$M$554,$K479)))</f>
        <v/>
      </c>
      <c r="E479" s="6" t="str">
        <f aca="false">IF($K479="","",IF(INDEX('Prospect Tracker'!$R$5:$R$554,$K479)="","",INDEX('Prospect Tracker'!$R$5:$R$554,$K479)))</f>
        <v/>
      </c>
      <c r="F479" s="6" t="str">
        <f aca="false">IF($K479="","",IF(INDEX('Prospect Tracker'!$J$5:$J$554,$K479)="","",INDEX('Prospect Tracker'!$J$5:$J$554,$K479)))</f>
        <v/>
      </c>
      <c r="G479" s="6" t="str">
        <f aca="false">IF($K479="","",IF(INDEX('Prospect Tracker'!$H$5:$H$554,$K479)="","",INDEX('Prospect Tracker'!$H$5:$H$554,$K479)))</f>
        <v/>
      </c>
      <c r="H479" s="7" t="str">
        <f aca="false">IF($K479="","",IF(INDEX('Prospect Tracker'!$K$5:$K$554,$K479)="","",INDEX('Prospect Tracker'!$K$5:$K$554,$K479)))</f>
        <v/>
      </c>
      <c r="I479" s="6" t="str">
        <f aca="false">IF($K479="","",IF(INDEX('Prospect Tracker'!$T$5:$T$554,$K479)="","",INDEX('Prospect Tracker'!$T$5:$T$554,$K479)))</f>
        <v/>
      </c>
      <c r="J479" s="6" t="str">
        <f aca="false">IF($K479="","",IF(INDEX('Prospect Tracker'!$L$5:$L$554,$K479)="","",INDEX('Prospect Tracker'!$L$5:$L$554,$K479)))</f>
        <v/>
      </c>
      <c r="K479" s="1" t="n">
        <f aca="false">IFERROR(MATCH(SMALL('Prospect Tracker'!$X$5:$X$554,ROW()-4),'Prospect Tracker'!$X$5:$X$554,0),"")</f>
        <v>475</v>
      </c>
    </row>
    <row r="480" customFormat="false" ht="15" hidden="false" customHeight="true" outlineLevel="0" collapsed="false">
      <c r="A480" s="11" t="str">
        <f aca="false">IF($K480="","",IF(INDEX('Prospect Tracker'!$W$5:$W$554,$K480)="","",INDEX('Prospect Tracker'!$W$5:$W$554,$K480)))</f>
        <v/>
      </c>
      <c r="B480" s="11" t="str">
        <f aca="false">IF($K480="","",IF(INDEX('Prospect Tracker'!$A$5:$A$554,$K480)="","",INDEX('Prospect Tracker'!$A$5:$A$554,$K480)))</f>
        <v/>
      </c>
      <c r="C480" s="11" t="str">
        <f aca="false">IF($K480="","",IF(INDEX('Prospect Tracker'!$B$5:$B$554,$K480)="","",INDEX('Prospect Tracker'!$B$5:$B$554,$K480)))</f>
        <v/>
      </c>
      <c r="D480" s="11" t="str">
        <f aca="false">IF($K480="","",IF(INDEX('Prospect Tracker'!$M$5:$M$554,$K480)="","",INDEX('Prospect Tracker'!$M$5:$M$554,$K480)))</f>
        <v/>
      </c>
      <c r="E480" s="11" t="str">
        <f aca="false">IF($K480="","",IF(INDEX('Prospect Tracker'!$R$5:$R$554,$K480)="","",INDEX('Prospect Tracker'!$R$5:$R$554,$K480)))</f>
        <v/>
      </c>
      <c r="F480" s="11" t="str">
        <f aca="false">IF($K480="","",IF(INDEX('Prospect Tracker'!$J$5:$J$554,$K480)="","",INDEX('Prospect Tracker'!$J$5:$J$554,$K480)))</f>
        <v/>
      </c>
      <c r="G480" s="11" t="str">
        <f aca="false">IF($K480="","",IF(INDEX('Prospect Tracker'!$H$5:$H$554,$K480)="","",INDEX('Prospect Tracker'!$H$5:$H$554,$K480)))</f>
        <v/>
      </c>
      <c r="H480" s="12" t="str">
        <f aca="false">IF($K480="","",IF(INDEX('Prospect Tracker'!$K$5:$K$554,$K480)="","",INDEX('Prospect Tracker'!$K$5:$K$554,$K480)))</f>
        <v/>
      </c>
      <c r="I480" s="11" t="str">
        <f aca="false">IF($K480="","",IF(INDEX('Prospect Tracker'!$T$5:$T$554,$K480)="","",INDEX('Prospect Tracker'!$T$5:$T$554,$K480)))</f>
        <v/>
      </c>
      <c r="J480" s="11" t="str">
        <f aca="false">IF($K480="","",IF(INDEX('Prospect Tracker'!$L$5:$L$554,$K480)="","",INDEX('Prospect Tracker'!$L$5:$L$554,$K480)))</f>
        <v/>
      </c>
      <c r="K480" s="1" t="n">
        <f aca="false">IFERROR(MATCH(SMALL('Prospect Tracker'!$X$5:$X$554,ROW()-4),'Prospect Tracker'!$X$5:$X$554,0),"")</f>
        <v>476</v>
      </c>
    </row>
    <row r="481" customFormat="false" ht="15" hidden="false" customHeight="true" outlineLevel="0" collapsed="false">
      <c r="A481" s="6" t="str">
        <f aca="false">IF($K481="","",IF(INDEX('Prospect Tracker'!$W$5:$W$554,$K481)="","",INDEX('Prospect Tracker'!$W$5:$W$554,$K481)))</f>
        <v/>
      </c>
      <c r="B481" s="6" t="str">
        <f aca="false">IF($K481="","",IF(INDEX('Prospect Tracker'!$A$5:$A$554,$K481)="","",INDEX('Prospect Tracker'!$A$5:$A$554,$K481)))</f>
        <v/>
      </c>
      <c r="C481" s="6" t="str">
        <f aca="false">IF($K481="","",IF(INDEX('Prospect Tracker'!$B$5:$B$554,$K481)="","",INDEX('Prospect Tracker'!$B$5:$B$554,$K481)))</f>
        <v/>
      </c>
      <c r="D481" s="6" t="str">
        <f aca="false">IF($K481="","",IF(INDEX('Prospect Tracker'!$M$5:$M$554,$K481)="","",INDEX('Prospect Tracker'!$M$5:$M$554,$K481)))</f>
        <v/>
      </c>
      <c r="E481" s="6" t="str">
        <f aca="false">IF($K481="","",IF(INDEX('Prospect Tracker'!$R$5:$R$554,$K481)="","",INDEX('Prospect Tracker'!$R$5:$R$554,$K481)))</f>
        <v/>
      </c>
      <c r="F481" s="6" t="str">
        <f aca="false">IF($K481="","",IF(INDEX('Prospect Tracker'!$J$5:$J$554,$K481)="","",INDEX('Prospect Tracker'!$J$5:$J$554,$K481)))</f>
        <v/>
      </c>
      <c r="G481" s="6" t="str">
        <f aca="false">IF($K481="","",IF(INDEX('Prospect Tracker'!$H$5:$H$554,$K481)="","",INDEX('Prospect Tracker'!$H$5:$H$554,$K481)))</f>
        <v/>
      </c>
      <c r="H481" s="7" t="str">
        <f aca="false">IF($K481="","",IF(INDEX('Prospect Tracker'!$K$5:$K$554,$K481)="","",INDEX('Prospect Tracker'!$K$5:$K$554,$K481)))</f>
        <v/>
      </c>
      <c r="I481" s="6" t="str">
        <f aca="false">IF($K481="","",IF(INDEX('Prospect Tracker'!$T$5:$T$554,$K481)="","",INDEX('Prospect Tracker'!$T$5:$T$554,$K481)))</f>
        <v/>
      </c>
      <c r="J481" s="6" t="str">
        <f aca="false">IF($K481="","",IF(INDEX('Prospect Tracker'!$L$5:$L$554,$K481)="","",INDEX('Prospect Tracker'!$L$5:$L$554,$K481)))</f>
        <v/>
      </c>
      <c r="K481" s="1" t="n">
        <f aca="false">IFERROR(MATCH(SMALL('Prospect Tracker'!$X$5:$X$554,ROW()-4),'Prospect Tracker'!$X$5:$X$554,0),"")</f>
        <v>477</v>
      </c>
    </row>
    <row r="482" customFormat="false" ht="15" hidden="false" customHeight="true" outlineLevel="0" collapsed="false">
      <c r="A482" s="11" t="str">
        <f aca="false">IF($K482="","",IF(INDEX('Prospect Tracker'!$W$5:$W$554,$K482)="","",INDEX('Prospect Tracker'!$W$5:$W$554,$K482)))</f>
        <v/>
      </c>
      <c r="B482" s="11" t="str">
        <f aca="false">IF($K482="","",IF(INDEX('Prospect Tracker'!$A$5:$A$554,$K482)="","",INDEX('Prospect Tracker'!$A$5:$A$554,$K482)))</f>
        <v/>
      </c>
      <c r="C482" s="11" t="str">
        <f aca="false">IF($K482="","",IF(INDEX('Prospect Tracker'!$B$5:$B$554,$K482)="","",INDEX('Prospect Tracker'!$B$5:$B$554,$K482)))</f>
        <v/>
      </c>
      <c r="D482" s="11" t="str">
        <f aca="false">IF($K482="","",IF(INDEX('Prospect Tracker'!$M$5:$M$554,$K482)="","",INDEX('Prospect Tracker'!$M$5:$M$554,$K482)))</f>
        <v/>
      </c>
      <c r="E482" s="11" t="str">
        <f aca="false">IF($K482="","",IF(INDEX('Prospect Tracker'!$R$5:$R$554,$K482)="","",INDEX('Prospect Tracker'!$R$5:$R$554,$K482)))</f>
        <v/>
      </c>
      <c r="F482" s="11" t="str">
        <f aca="false">IF($K482="","",IF(INDEX('Prospect Tracker'!$J$5:$J$554,$K482)="","",INDEX('Prospect Tracker'!$J$5:$J$554,$K482)))</f>
        <v/>
      </c>
      <c r="G482" s="11" t="str">
        <f aca="false">IF($K482="","",IF(INDEX('Prospect Tracker'!$H$5:$H$554,$K482)="","",INDEX('Prospect Tracker'!$H$5:$H$554,$K482)))</f>
        <v/>
      </c>
      <c r="H482" s="12" t="str">
        <f aca="false">IF($K482="","",IF(INDEX('Prospect Tracker'!$K$5:$K$554,$K482)="","",INDEX('Prospect Tracker'!$K$5:$K$554,$K482)))</f>
        <v/>
      </c>
      <c r="I482" s="11" t="str">
        <f aca="false">IF($K482="","",IF(INDEX('Prospect Tracker'!$T$5:$T$554,$K482)="","",INDEX('Prospect Tracker'!$T$5:$T$554,$K482)))</f>
        <v/>
      </c>
      <c r="J482" s="11" t="str">
        <f aca="false">IF($K482="","",IF(INDEX('Prospect Tracker'!$L$5:$L$554,$K482)="","",INDEX('Prospect Tracker'!$L$5:$L$554,$K482)))</f>
        <v/>
      </c>
      <c r="K482" s="1" t="n">
        <f aca="false">IFERROR(MATCH(SMALL('Prospect Tracker'!$X$5:$X$554,ROW()-4),'Prospect Tracker'!$X$5:$X$554,0),"")</f>
        <v>478</v>
      </c>
    </row>
    <row r="483" customFormat="false" ht="15" hidden="false" customHeight="true" outlineLevel="0" collapsed="false">
      <c r="A483" s="6" t="str">
        <f aca="false">IF($K483="","",IF(INDEX('Prospect Tracker'!$W$5:$W$554,$K483)="","",INDEX('Prospect Tracker'!$W$5:$W$554,$K483)))</f>
        <v/>
      </c>
      <c r="B483" s="6" t="str">
        <f aca="false">IF($K483="","",IF(INDEX('Prospect Tracker'!$A$5:$A$554,$K483)="","",INDEX('Prospect Tracker'!$A$5:$A$554,$K483)))</f>
        <v/>
      </c>
      <c r="C483" s="6" t="str">
        <f aca="false">IF($K483="","",IF(INDEX('Prospect Tracker'!$B$5:$B$554,$K483)="","",INDEX('Prospect Tracker'!$B$5:$B$554,$K483)))</f>
        <v/>
      </c>
      <c r="D483" s="6" t="str">
        <f aca="false">IF($K483="","",IF(INDEX('Prospect Tracker'!$M$5:$M$554,$K483)="","",INDEX('Prospect Tracker'!$M$5:$M$554,$K483)))</f>
        <v/>
      </c>
      <c r="E483" s="6" t="str">
        <f aca="false">IF($K483="","",IF(INDEX('Prospect Tracker'!$R$5:$R$554,$K483)="","",INDEX('Prospect Tracker'!$R$5:$R$554,$K483)))</f>
        <v/>
      </c>
      <c r="F483" s="6" t="str">
        <f aca="false">IF($K483="","",IF(INDEX('Prospect Tracker'!$J$5:$J$554,$K483)="","",INDEX('Prospect Tracker'!$J$5:$J$554,$K483)))</f>
        <v/>
      </c>
      <c r="G483" s="6" t="str">
        <f aca="false">IF($K483="","",IF(INDEX('Prospect Tracker'!$H$5:$H$554,$K483)="","",INDEX('Prospect Tracker'!$H$5:$H$554,$K483)))</f>
        <v/>
      </c>
      <c r="H483" s="7" t="str">
        <f aca="false">IF($K483="","",IF(INDEX('Prospect Tracker'!$K$5:$K$554,$K483)="","",INDEX('Prospect Tracker'!$K$5:$K$554,$K483)))</f>
        <v/>
      </c>
      <c r="I483" s="6" t="str">
        <f aca="false">IF($K483="","",IF(INDEX('Prospect Tracker'!$T$5:$T$554,$K483)="","",INDEX('Prospect Tracker'!$T$5:$T$554,$K483)))</f>
        <v/>
      </c>
      <c r="J483" s="6" t="str">
        <f aca="false">IF($K483="","",IF(INDEX('Prospect Tracker'!$L$5:$L$554,$K483)="","",INDEX('Prospect Tracker'!$L$5:$L$554,$K483)))</f>
        <v/>
      </c>
      <c r="K483" s="1" t="n">
        <f aca="false">IFERROR(MATCH(SMALL('Prospect Tracker'!$X$5:$X$554,ROW()-4),'Prospect Tracker'!$X$5:$X$554,0),"")</f>
        <v>479</v>
      </c>
    </row>
    <row r="484" customFormat="false" ht="15" hidden="false" customHeight="true" outlineLevel="0" collapsed="false">
      <c r="A484" s="11" t="str">
        <f aca="false">IF($K484="","",IF(INDEX('Prospect Tracker'!$W$5:$W$554,$K484)="","",INDEX('Prospect Tracker'!$W$5:$W$554,$K484)))</f>
        <v/>
      </c>
      <c r="B484" s="11" t="str">
        <f aca="false">IF($K484="","",IF(INDEX('Prospect Tracker'!$A$5:$A$554,$K484)="","",INDEX('Prospect Tracker'!$A$5:$A$554,$K484)))</f>
        <v/>
      </c>
      <c r="C484" s="11" t="str">
        <f aca="false">IF($K484="","",IF(INDEX('Prospect Tracker'!$B$5:$B$554,$K484)="","",INDEX('Prospect Tracker'!$B$5:$B$554,$K484)))</f>
        <v/>
      </c>
      <c r="D484" s="11" t="str">
        <f aca="false">IF($K484="","",IF(INDEX('Prospect Tracker'!$M$5:$M$554,$K484)="","",INDEX('Prospect Tracker'!$M$5:$M$554,$K484)))</f>
        <v/>
      </c>
      <c r="E484" s="11" t="str">
        <f aca="false">IF($K484="","",IF(INDEX('Prospect Tracker'!$R$5:$R$554,$K484)="","",INDEX('Prospect Tracker'!$R$5:$R$554,$K484)))</f>
        <v/>
      </c>
      <c r="F484" s="11" t="str">
        <f aca="false">IF($K484="","",IF(INDEX('Prospect Tracker'!$J$5:$J$554,$K484)="","",INDEX('Prospect Tracker'!$J$5:$J$554,$K484)))</f>
        <v/>
      </c>
      <c r="G484" s="11" t="str">
        <f aca="false">IF($K484="","",IF(INDEX('Prospect Tracker'!$H$5:$H$554,$K484)="","",INDEX('Prospect Tracker'!$H$5:$H$554,$K484)))</f>
        <v/>
      </c>
      <c r="H484" s="12" t="str">
        <f aca="false">IF($K484="","",IF(INDEX('Prospect Tracker'!$K$5:$K$554,$K484)="","",INDEX('Prospect Tracker'!$K$5:$K$554,$K484)))</f>
        <v/>
      </c>
      <c r="I484" s="11" t="str">
        <f aca="false">IF($K484="","",IF(INDEX('Prospect Tracker'!$T$5:$T$554,$K484)="","",INDEX('Prospect Tracker'!$T$5:$T$554,$K484)))</f>
        <v/>
      </c>
      <c r="J484" s="11" t="str">
        <f aca="false">IF($K484="","",IF(INDEX('Prospect Tracker'!$L$5:$L$554,$K484)="","",INDEX('Prospect Tracker'!$L$5:$L$554,$K484)))</f>
        <v/>
      </c>
      <c r="K484" s="1" t="n">
        <f aca="false">IFERROR(MATCH(SMALL('Prospect Tracker'!$X$5:$X$554,ROW()-4),'Prospect Tracker'!$X$5:$X$554,0),"")</f>
        <v>480</v>
      </c>
    </row>
    <row r="485" customFormat="false" ht="15" hidden="false" customHeight="true" outlineLevel="0" collapsed="false">
      <c r="A485" s="6" t="str">
        <f aca="false">IF($K485="","",IF(INDEX('Prospect Tracker'!$W$5:$W$554,$K485)="","",INDEX('Prospect Tracker'!$W$5:$W$554,$K485)))</f>
        <v/>
      </c>
      <c r="B485" s="6" t="str">
        <f aca="false">IF($K485="","",IF(INDEX('Prospect Tracker'!$A$5:$A$554,$K485)="","",INDEX('Prospect Tracker'!$A$5:$A$554,$K485)))</f>
        <v/>
      </c>
      <c r="C485" s="6" t="str">
        <f aca="false">IF($K485="","",IF(INDEX('Prospect Tracker'!$B$5:$B$554,$K485)="","",INDEX('Prospect Tracker'!$B$5:$B$554,$K485)))</f>
        <v/>
      </c>
      <c r="D485" s="6" t="str">
        <f aca="false">IF($K485="","",IF(INDEX('Prospect Tracker'!$M$5:$M$554,$K485)="","",INDEX('Prospect Tracker'!$M$5:$M$554,$K485)))</f>
        <v/>
      </c>
      <c r="E485" s="6" t="str">
        <f aca="false">IF($K485="","",IF(INDEX('Prospect Tracker'!$R$5:$R$554,$K485)="","",INDEX('Prospect Tracker'!$R$5:$R$554,$K485)))</f>
        <v/>
      </c>
      <c r="F485" s="6" t="str">
        <f aca="false">IF($K485="","",IF(INDEX('Prospect Tracker'!$J$5:$J$554,$K485)="","",INDEX('Prospect Tracker'!$J$5:$J$554,$K485)))</f>
        <v/>
      </c>
      <c r="G485" s="6" t="str">
        <f aca="false">IF($K485="","",IF(INDEX('Prospect Tracker'!$H$5:$H$554,$K485)="","",INDEX('Prospect Tracker'!$H$5:$H$554,$K485)))</f>
        <v/>
      </c>
      <c r="H485" s="7" t="str">
        <f aca="false">IF($K485="","",IF(INDEX('Prospect Tracker'!$K$5:$K$554,$K485)="","",INDEX('Prospect Tracker'!$K$5:$K$554,$K485)))</f>
        <v/>
      </c>
      <c r="I485" s="6" t="str">
        <f aca="false">IF($K485="","",IF(INDEX('Prospect Tracker'!$T$5:$T$554,$K485)="","",INDEX('Prospect Tracker'!$T$5:$T$554,$K485)))</f>
        <v/>
      </c>
      <c r="J485" s="6" t="str">
        <f aca="false">IF($K485="","",IF(INDEX('Prospect Tracker'!$L$5:$L$554,$K485)="","",INDEX('Prospect Tracker'!$L$5:$L$554,$K485)))</f>
        <v/>
      </c>
      <c r="K485" s="1" t="n">
        <f aca="false">IFERROR(MATCH(SMALL('Prospect Tracker'!$X$5:$X$554,ROW()-4),'Prospect Tracker'!$X$5:$X$554,0),"")</f>
        <v>481</v>
      </c>
    </row>
    <row r="486" customFormat="false" ht="15" hidden="false" customHeight="true" outlineLevel="0" collapsed="false">
      <c r="A486" s="11" t="str">
        <f aca="false">IF($K486="","",IF(INDEX('Prospect Tracker'!$W$5:$W$554,$K486)="","",INDEX('Prospect Tracker'!$W$5:$W$554,$K486)))</f>
        <v/>
      </c>
      <c r="B486" s="11" t="str">
        <f aca="false">IF($K486="","",IF(INDEX('Prospect Tracker'!$A$5:$A$554,$K486)="","",INDEX('Prospect Tracker'!$A$5:$A$554,$K486)))</f>
        <v/>
      </c>
      <c r="C486" s="11" t="str">
        <f aca="false">IF($K486="","",IF(INDEX('Prospect Tracker'!$B$5:$B$554,$K486)="","",INDEX('Prospect Tracker'!$B$5:$B$554,$K486)))</f>
        <v/>
      </c>
      <c r="D486" s="11" t="str">
        <f aca="false">IF($K486="","",IF(INDEX('Prospect Tracker'!$M$5:$M$554,$K486)="","",INDEX('Prospect Tracker'!$M$5:$M$554,$K486)))</f>
        <v/>
      </c>
      <c r="E486" s="11" t="str">
        <f aca="false">IF($K486="","",IF(INDEX('Prospect Tracker'!$R$5:$R$554,$K486)="","",INDEX('Prospect Tracker'!$R$5:$R$554,$K486)))</f>
        <v/>
      </c>
      <c r="F486" s="11" t="str">
        <f aca="false">IF($K486="","",IF(INDEX('Prospect Tracker'!$J$5:$J$554,$K486)="","",INDEX('Prospect Tracker'!$J$5:$J$554,$K486)))</f>
        <v/>
      </c>
      <c r="G486" s="11" t="str">
        <f aca="false">IF($K486="","",IF(INDEX('Prospect Tracker'!$H$5:$H$554,$K486)="","",INDEX('Prospect Tracker'!$H$5:$H$554,$K486)))</f>
        <v/>
      </c>
      <c r="H486" s="12" t="str">
        <f aca="false">IF($K486="","",IF(INDEX('Prospect Tracker'!$K$5:$K$554,$K486)="","",INDEX('Prospect Tracker'!$K$5:$K$554,$K486)))</f>
        <v/>
      </c>
      <c r="I486" s="11" t="str">
        <f aca="false">IF($K486="","",IF(INDEX('Prospect Tracker'!$T$5:$T$554,$K486)="","",INDEX('Prospect Tracker'!$T$5:$T$554,$K486)))</f>
        <v/>
      </c>
      <c r="J486" s="11" t="str">
        <f aca="false">IF($K486="","",IF(INDEX('Prospect Tracker'!$L$5:$L$554,$K486)="","",INDEX('Prospect Tracker'!$L$5:$L$554,$K486)))</f>
        <v/>
      </c>
      <c r="K486" s="1" t="n">
        <f aca="false">IFERROR(MATCH(SMALL('Prospect Tracker'!$X$5:$X$554,ROW()-4),'Prospect Tracker'!$X$5:$X$554,0),"")</f>
        <v>482</v>
      </c>
    </row>
    <row r="487" customFormat="false" ht="15" hidden="false" customHeight="true" outlineLevel="0" collapsed="false">
      <c r="A487" s="6" t="str">
        <f aca="false">IF($K487="","",IF(INDEX('Prospect Tracker'!$W$5:$W$554,$K487)="","",INDEX('Prospect Tracker'!$W$5:$W$554,$K487)))</f>
        <v/>
      </c>
      <c r="B487" s="6" t="str">
        <f aca="false">IF($K487="","",IF(INDEX('Prospect Tracker'!$A$5:$A$554,$K487)="","",INDEX('Prospect Tracker'!$A$5:$A$554,$K487)))</f>
        <v/>
      </c>
      <c r="C487" s="6" t="str">
        <f aca="false">IF($K487="","",IF(INDEX('Prospect Tracker'!$B$5:$B$554,$K487)="","",INDEX('Prospect Tracker'!$B$5:$B$554,$K487)))</f>
        <v/>
      </c>
      <c r="D487" s="6" t="str">
        <f aca="false">IF($K487="","",IF(INDEX('Prospect Tracker'!$M$5:$M$554,$K487)="","",INDEX('Prospect Tracker'!$M$5:$M$554,$K487)))</f>
        <v/>
      </c>
      <c r="E487" s="6" t="str">
        <f aca="false">IF($K487="","",IF(INDEX('Prospect Tracker'!$R$5:$R$554,$K487)="","",INDEX('Prospect Tracker'!$R$5:$R$554,$K487)))</f>
        <v/>
      </c>
      <c r="F487" s="6" t="str">
        <f aca="false">IF($K487="","",IF(INDEX('Prospect Tracker'!$J$5:$J$554,$K487)="","",INDEX('Prospect Tracker'!$J$5:$J$554,$K487)))</f>
        <v/>
      </c>
      <c r="G487" s="6" t="str">
        <f aca="false">IF($K487="","",IF(INDEX('Prospect Tracker'!$H$5:$H$554,$K487)="","",INDEX('Prospect Tracker'!$H$5:$H$554,$K487)))</f>
        <v/>
      </c>
      <c r="H487" s="7" t="str">
        <f aca="false">IF($K487="","",IF(INDEX('Prospect Tracker'!$K$5:$K$554,$K487)="","",INDEX('Prospect Tracker'!$K$5:$K$554,$K487)))</f>
        <v/>
      </c>
      <c r="I487" s="6" t="str">
        <f aca="false">IF($K487="","",IF(INDEX('Prospect Tracker'!$T$5:$T$554,$K487)="","",INDEX('Prospect Tracker'!$T$5:$T$554,$K487)))</f>
        <v/>
      </c>
      <c r="J487" s="6" t="str">
        <f aca="false">IF($K487="","",IF(INDEX('Prospect Tracker'!$L$5:$L$554,$K487)="","",INDEX('Prospect Tracker'!$L$5:$L$554,$K487)))</f>
        <v/>
      </c>
      <c r="K487" s="1" t="n">
        <f aca="false">IFERROR(MATCH(SMALL('Prospect Tracker'!$X$5:$X$554,ROW()-4),'Prospect Tracker'!$X$5:$X$554,0),"")</f>
        <v>483</v>
      </c>
    </row>
    <row r="488" customFormat="false" ht="15" hidden="false" customHeight="true" outlineLevel="0" collapsed="false">
      <c r="A488" s="11" t="str">
        <f aca="false">IF($K488="","",IF(INDEX('Prospect Tracker'!$W$5:$W$554,$K488)="","",INDEX('Prospect Tracker'!$W$5:$W$554,$K488)))</f>
        <v/>
      </c>
      <c r="B488" s="11" t="str">
        <f aca="false">IF($K488="","",IF(INDEX('Prospect Tracker'!$A$5:$A$554,$K488)="","",INDEX('Prospect Tracker'!$A$5:$A$554,$K488)))</f>
        <v/>
      </c>
      <c r="C488" s="11" t="str">
        <f aca="false">IF($K488="","",IF(INDEX('Prospect Tracker'!$B$5:$B$554,$K488)="","",INDEX('Prospect Tracker'!$B$5:$B$554,$K488)))</f>
        <v/>
      </c>
      <c r="D488" s="11" t="str">
        <f aca="false">IF($K488="","",IF(INDEX('Prospect Tracker'!$M$5:$M$554,$K488)="","",INDEX('Prospect Tracker'!$M$5:$M$554,$K488)))</f>
        <v/>
      </c>
      <c r="E488" s="11" t="str">
        <f aca="false">IF($K488="","",IF(INDEX('Prospect Tracker'!$R$5:$R$554,$K488)="","",INDEX('Prospect Tracker'!$R$5:$R$554,$K488)))</f>
        <v/>
      </c>
      <c r="F488" s="11" t="str">
        <f aca="false">IF($K488="","",IF(INDEX('Prospect Tracker'!$J$5:$J$554,$K488)="","",INDEX('Prospect Tracker'!$J$5:$J$554,$K488)))</f>
        <v/>
      </c>
      <c r="G488" s="11" t="str">
        <f aca="false">IF($K488="","",IF(INDEX('Prospect Tracker'!$H$5:$H$554,$K488)="","",INDEX('Prospect Tracker'!$H$5:$H$554,$K488)))</f>
        <v/>
      </c>
      <c r="H488" s="12" t="str">
        <f aca="false">IF($K488="","",IF(INDEX('Prospect Tracker'!$K$5:$K$554,$K488)="","",INDEX('Prospect Tracker'!$K$5:$K$554,$K488)))</f>
        <v/>
      </c>
      <c r="I488" s="11" t="str">
        <f aca="false">IF($K488="","",IF(INDEX('Prospect Tracker'!$T$5:$T$554,$K488)="","",INDEX('Prospect Tracker'!$T$5:$T$554,$K488)))</f>
        <v/>
      </c>
      <c r="J488" s="11" t="str">
        <f aca="false">IF($K488="","",IF(INDEX('Prospect Tracker'!$L$5:$L$554,$K488)="","",INDEX('Prospect Tracker'!$L$5:$L$554,$K488)))</f>
        <v/>
      </c>
      <c r="K488" s="1" t="n">
        <f aca="false">IFERROR(MATCH(SMALL('Prospect Tracker'!$X$5:$X$554,ROW()-4),'Prospect Tracker'!$X$5:$X$554,0),"")</f>
        <v>484</v>
      </c>
    </row>
    <row r="489" customFormat="false" ht="15" hidden="false" customHeight="true" outlineLevel="0" collapsed="false">
      <c r="A489" s="6" t="str">
        <f aca="false">IF($K489="","",IF(INDEX('Prospect Tracker'!$W$5:$W$554,$K489)="","",INDEX('Prospect Tracker'!$W$5:$W$554,$K489)))</f>
        <v/>
      </c>
      <c r="B489" s="6" t="str">
        <f aca="false">IF($K489="","",IF(INDEX('Prospect Tracker'!$A$5:$A$554,$K489)="","",INDEX('Prospect Tracker'!$A$5:$A$554,$K489)))</f>
        <v/>
      </c>
      <c r="C489" s="6" t="str">
        <f aca="false">IF($K489="","",IF(INDEX('Prospect Tracker'!$B$5:$B$554,$K489)="","",INDEX('Prospect Tracker'!$B$5:$B$554,$K489)))</f>
        <v/>
      </c>
      <c r="D489" s="6" t="str">
        <f aca="false">IF($K489="","",IF(INDEX('Prospect Tracker'!$M$5:$M$554,$K489)="","",INDEX('Prospect Tracker'!$M$5:$M$554,$K489)))</f>
        <v/>
      </c>
      <c r="E489" s="6" t="str">
        <f aca="false">IF($K489="","",IF(INDEX('Prospect Tracker'!$R$5:$R$554,$K489)="","",INDEX('Prospect Tracker'!$R$5:$R$554,$K489)))</f>
        <v/>
      </c>
      <c r="F489" s="6" t="str">
        <f aca="false">IF($K489="","",IF(INDEX('Prospect Tracker'!$J$5:$J$554,$K489)="","",INDEX('Prospect Tracker'!$J$5:$J$554,$K489)))</f>
        <v/>
      </c>
      <c r="G489" s="6" t="str">
        <f aca="false">IF($K489="","",IF(INDEX('Prospect Tracker'!$H$5:$H$554,$K489)="","",INDEX('Prospect Tracker'!$H$5:$H$554,$K489)))</f>
        <v/>
      </c>
      <c r="H489" s="7" t="str">
        <f aca="false">IF($K489="","",IF(INDEX('Prospect Tracker'!$K$5:$K$554,$K489)="","",INDEX('Prospect Tracker'!$K$5:$K$554,$K489)))</f>
        <v/>
      </c>
      <c r="I489" s="6" t="str">
        <f aca="false">IF($K489="","",IF(INDEX('Prospect Tracker'!$T$5:$T$554,$K489)="","",INDEX('Prospect Tracker'!$T$5:$T$554,$K489)))</f>
        <v/>
      </c>
      <c r="J489" s="6" t="str">
        <f aca="false">IF($K489="","",IF(INDEX('Prospect Tracker'!$L$5:$L$554,$K489)="","",INDEX('Prospect Tracker'!$L$5:$L$554,$K489)))</f>
        <v/>
      </c>
      <c r="K489" s="1" t="n">
        <f aca="false">IFERROR(MATCH(SMALL('Prospect Tracker'!$X$5:$X$554,ROW()-4),'Prospect Tracker'!$X$5:$X$554,0),"")</f>
        <v>485</v>
      </c>
    </row>
    <row r="490" customFormat="false" ht="15" hidden="false" customHeight="true" outlineLevel="0" collapsed="false">
      <c r="A490" s="11" t="str">
        <f aca="false">IF($K490="","",IF(INDEX('Prospect Tracker'!$W$5:$W$554,$K490)="","",INDEX('Prospect Tracker'!$W$5:$W$554,$K490)))</f>
        <v/>
      </c>
      <c r="B490" s="11" t="str">
        <f aca="false">IF($K490="","",IF(INDEX('Prospect Tracker'!$A$5:$A$554,$K490)="","",INDEX('Prospect Tracker'!$A$5:$A$554,$K490)))</f>
        <v/>
      </c>
      <c r="C490" s="11" t="str">
        <f aca="false">IF($K490="","",IF(INDEX('Prospect Tracker'!$B$5:$B$554,$K490)="","",INDEX('Prospect Tracker'!$B$5:$B$554,$K490)))</f>
        <v/>
      </c>
      <c r="D490" s="11" t="str">
        <f aca="false">IF($K490="","",IF(INDEX('Prospect Tracker'!$M$5:$M$554,$K490)="","",INDEX('Prospect Tracker'!$M$5:$M$554,$K490)))</f>
        <v/>
      </c>
      <c r="E490" s="11" t="str">
        <f aca="false">IF($K490="","",IF(INDEX('Prospect Tracker'!$R$5:$R$554,$K490)="","",INDEX('Prospect Tracker'!$R$5:$R$554,$K490)))</f>
        <v/>
      </c>
      <c r="F490" s="11" t="str">
        <f aca="false">IF($K490="","",IF(INDEX('Prospect Tracker'!$J$5:$J$554,$K490)="","",INDEX('Prospect Tracker'!$J$5:$J$554,$K490)))</f>
        <v/>
      </c>
      <c r="G490" s="11" t="str">
        <f aca="false">IF($K490="","",IF(INDEX('Prospect Tracker'!$H$5:$H$554,$K490)="","",INDEX('Prospect Tracker'!$H$5:$H$554,$K490)))</f>
        <v/>
      </c>
      <c r="H490" s="12" t="str">
        <f aca="false">IF($K490="","",IF(INDEX('Prospect Tracker'!$K$5:$K$554,$K490)="","",INDEX('Prospect Tracker'!$K$5:$K$554,$K490)))</f>
        <v/>
      </c>
      <c r="I490" s="11" t="str">
        <f aca="false">IF($K490="","",IF(INDEX('Prospect Tracker'!$T$5:$T$554,$K490)="","",INDEX('Prospect Tracker'!$T$5:$T$554,$K490)))</f>
        <v/>
      </c>
      <c r="J490" s="11" t="str">
        <f aca="false">IF($K490="","",IF(INDEX('Prospect Tracker'!$L$5:$L$554,$K490)="","",INDEX('Prospect Tracker'!$L$5:$L$554,$K490)))</f>
        <v/>
      </c>
      <c r="K490" s="1" t="n">
        <f aca="false">IFERROR(MATCH(SMALL('Prospect Tracker'!$X$5:$X$554,ROW()-4),'Prospect Tracker'!$X$5:$X$554,0),"")</f>
        <v>486</v>
      </c>
    </row>
    <row r="491" customFormat="false" ht="15" hidden="false" customHeight="true" outlineLevel="0" collapsed="false">
      <c r="A491" s="6" t="str">
        <f aca="false">IF($K491="","",IF(INDEX('Prospect Tracker'!$W$5:$W$554,$K491)="","",INDEX('Prospect Tracker'!$W$5:$W$554,$K491)))</f>
        <v/>
      </c>
      <c r="B491" s="6" t="str">
        <f aca="false">IF($K491="","",IF(INDEX('Prospect Tracker'!$A$5:$A$554,$K491)="","",INDEX('Prospect Tracker'!$A$5:$A$554,$K491)))</f>
        <v/>
      </c>
      <c r="C491" s="6" t="str">
        <f aca="false">IF($K491="","",IF(INDEX('Prospect Tracker'!$B$5:$B$554,$K491)="","",INDEX('Prospect Tracker'!$B$5:$B$554,$K491)))</f>
        <v/>
      </c>
      <c r="D491" s="6" t="str">
        <f aca="false">IF($K491="","",IF(INDEX('Prospect Tracker'!$M$5:$M$554,$K491)="","",INDEX('Prospect Tracker'!$M$5:$M$554,$K491)))</f>
        <v/>
      </c>
      <c r="E491" s="6" t="str">
        <f aca="false">IF($K491="","",IF(INDEX('Prospect Tracker'!$R$5:$R$554,$K491)="","",INDEX('Prospect Tracker'!$R$5:$R$554,$K491)))</f>
        <v/>
      </c>
      <c r="F491" s="6" t="str">
        <f aca="false">IF($K491="","",IF(INDEX('Prospect Tracker'!$J$5:$J$554,$K491)="","",INDEX('Prospect Tracker'!$J$5:$J$554,$K491)))</f>
        <v/>
      </c>
      <c r="G491" s="6" t="str">
        <f aca="false">IF($K491="","",IF(INDEX('Prospect Tracker'!$H$5:$H$554,$K491)="","",INDEX('Prospect Tracker'!$H$5:$H$554,$K491)))</f>
        <v/>
      </c>
      <c r="H491" s="7" t="str">
        <f aca="false">IF($K491="","",IF(INDEX('Prospect Tracker'!$K$5:$K$554,$K491)="","",INDEX('Prospect Tracker'!$K$5:$K$554,$K491)))</f>
        <v/>
      </c>
      <c r="I491" s="6" t="str">
        <f aca="false">IF($K491="","",IF(INDEX('Prospect Tracker'!$T$5:$T$554,$K491)="","",INDEX('Prospect Tracker'!$T$5:$T$554,$K491)))</f>
        <v/>
      </c>
      <c r="J491" s="6" t="str">
        <f aca="false">IF($K491="","",IF(INDEX('Prospect Tracker'!$L$5:$L$554,$K491)="","",INDEX('Prospect Tracker'!$L$5:$L$554,$K491)))</f>
        <v/>
      </c>
      <c r="K491" s="1" t="n">
        <f aca="false">IFERROR(MATCH(SMALL('Prospect Tracker'!$X$5:$X$554,ROW()-4),'Prospect Tracker'!$X$5:$X$554,0),"")</f>
        <v>487</v>
      </c>
    </row>
    <row r="492" customFormat="false" ht="15" hidden="false" customHeight="true" outlineLevel="0" collapsed="false">
      <c r="A492" s="11" t="str">
        <f aca="false">IF($K492="","",IF(INDEX('Prospect Tracker'!$W$5:$W$554,$K492)="","",INDEX('Prospect Tracker'!$W$5:$W$554,$K492)))</f>
        <v/>
      </c>
      <c r="B492" s="11" t="str">
        <f aca="false">IF($K492="","",IF(INDEX('Prospect Tracker'!$A$5:$A$554,$K492)="","",INDEX('Prospect Tracker'!$A$5:$A$554,$K492)))</f>
        <v/>
      </c>
      <c r="C492" s="11" t="str">
        <f aca="false">IF($K492="","",IF(INDEX('Prospect Tracker'!$B$5:$B$554,$K492)="","",INDEX('Prospect Tracker'!$B$5:$B$554,$K492)))</f>
        <v/>
      </c>
      <c r="D492" s="11" t="str">
        <f aca="false">IF($K492="","",IF(INDEX('Prospect Tracker'!$M$5:$M$554,$K492)="","",INDEX('Prospect Tracker'!$M$5:$M$554,$K492)))</f>
        <v/>
      </c>
      <c r="E492" s="11" t="str">
        <f aca="false">IF($K492="","",IF(INDEX('Prospect Tracker'!$R$5:$R$554,$K492)="","",INDEX('Prospect Tracker'!$R$5:$R$554,$K492)))</f>
        <v/>
      </c>
      <c r="F492" s="11" t="str">
        <f aca="false">IF($K492="","",IF(INDEX('Prospect Tracker'!$J$5:$J$554,$K492)="","",INDEX('Prospect Tracker'!$J$5:$J$554,$K492)))</f>
        <v/>
      </c>
      <c r="G492" s="11" t="str">
        <f aca="false">IF($K492="","",IF(INDEX('Prospect Tracker'!$H$5:$H$554,$K492)="","",INDEX('Prospect Tracker'!$H$5:$H$554,$K492)))</f>
        <v/>
      </c>
      <c r="H492" s="12" t="str">
        <f aca="false">IF($K492="","",IF(INDEX('Prospect Tracker'!$K$5:$K$554,$K492)="","",INDEX('Prospect Tracker'!$K$5:$K$554,$K492)))</f>
        <v/>
      </c>
      <c r="I492" s="11" t="str">
        <f aca="false">IF($K492="","",IF(INDEX('Prospect Tracker'!$T$5:$T$554,$K492)="","",INDEX('Prospect Tracker'!$T$5:$T$554,$K492)))</f>
        <v/>
      </c>
      <c r="J492" s="11" t="str">
        <f aca="false">IF($K492="","",IF(INDEX('Prospect Tracker'!$L$5:$L$554,$K492)="","",INDEX('Prospect Tracker'!$L$5:$L$554,$K492)))</f>
        <v/>
      </c>
      <c r="K492" s="1" t="n">
        <f aca="false">IFERROR(MATCH(SMALL('Prospect Tracker'!$X$5:$X$554,ROW()-4),'Prospect Tracker'!$X$5:$X$554,0),"")</f>
        <v>488</v>
      </c>
    </row>
    <row r="493" customFormat="false" ht="15" hidden="false" customHeight="true" outlineLevel="0" collapsed="false">
      <c r="A493" s="6" t="str">
        <f aca="false">IF($K493="","",IF(INDEX('Prospect Tracker'!$W$5:$W$554,$K493)="","",INDEX('Prospect Tracker'!$W$5:$W$554,$K493)))</f>
        <v/>
      </c>
      <c r="B493" s="6" t="str">
        <f aca="false">IF($K493="","",IF(INDEX('Prospect Tracker'!$A$5:$A$554,$K493)="","",INDEX('Prospect Tracker'!$A$5:$A$554,$K493)))</f>
        <v/>
      </c>
      <c r="C493" s="6" t="str">
        <f aca="false">IF($K493="","",IF(INDEX('Prospect Tracker'!$B$5:$B$554,$K493)="","",INDEX('Prospect Tracker'!$B$5:$B$554,$K493)))</f>
        <v/>
      </c>
      <c r="D493" s="6" t="str">
        <f aca="false">IF($K493="","",IF(INDEX('Prospect Tracker'!$M$5:$M$554,$K493)="","",INDEX('Prospect Tracker'!$M$5:$M$554,$K493)))</f>
        <v/>
      </c>
      <c r="E493" s="6" t="str">
        <f aca="false">IF($K493="","",IF(INDEX('Prospect Tracker'!$R$5:$R$554,$K493)="","",INDEX('Prospect Tracker'!$R$5:$R$554,$K493)))</f>
        <v/>
      </c>
      <c r="F493" s="6" t="str">
        <f aca="false">IF($K493="","",IF(INDEX('Prospect Tracker'!$J$5:$J$554,$K493)="","",INDEX('Prospect Tracker'!$J$5:$J$554,$K493)))</f>
        <v/>
      </c>
      <c r="G493" s="6" t="str">
        <f aca="false">IF($K493="","",IF(INDEX('Prospect Tracker'!$H$5:$H$554,$K493)="","",INDEX('Prospect Tracker'!$H$5:$H$554,$K493)))</f>
        <v/>
      </c>
      <c r="H493" s="7" t="str">
        <f aca="false">IF($K493="","",IF(INDEX('Prospect Tracker'!$K$5:$K$554,$K493)="","",INDEX('Prospect Tracker'!$K$5:$K$554,$K493)))</f>
        <v/>
      </c>
      <c r="I493" s="6" t="str">
        <f aca="false">IF($K493="","",IF(INDEX('Prospect Tracker'!$T$5:$T$554,$K493)="","",INDEX('Prospect Tracker'!$T$5:$T$554,$K493)))</f>
        <v/>
      </c>
      <c r="J493" s="6" t="str">
        <f aca="false">IF($K493="","",IF(INDEX('Prospect Tracker'!$L$5:$L$554,$K493)="","",INDEX('Prospect Tracker'!$L$5:$L$554,$K493)))</f>
        <v/>
      </c>
      <c r="K493" s="1" t="n">
        <f aca="false">IFERROR(MATCH(SMALL('Prospect Tracker'!$X$5:$X$554,ROW()-4),'Prospect Tracker'!$X$5:$X$554,0),"")</f>
        <v>489</v>
      </c>
    </row>
    <row r="494" customFormat="false" ht="15" hidden="false" customHeight="true" outlineLevel="0" collapsed="false">
      <c r="A494" s="11" t="str">
        <f aca="false">IF($K494="","",IF(INDEX('Prospect Tracker'!$W$5:$W$554,$K494)="","",INDEX('Prospect Tracker'!$W$5:$W$554,$K494)))</f>
        <v/>
      </c>
      <c r="B494" s="11" t="str">
        <f aca="false">IF($K494="","",IF(INDEX('Prospect Tracker'!$A$5:$A$554,$K494)="","",INDEX('Prospect Tracker'!$A$5:$A$554,$K494)))</f>
        <v/>
      </c>
      <c r="C494" s="11" t="str">
        <f aca="false">IF($K494="","",IF(INDEX('Prospect Tracker'!$B$5:$B$554,$K494)="","",INDEX('Prospect Tracker'!$B$5:$B$554,$K494)))</f>
        <v/>
      </c>
      <c r="D494" s="11" t="str">
        <f aca="false">IF($K494="","",IF(INDEX('Prospect Tracker'!$M$5:$M$554,$K494)="","",INDEX('Prospect Tracker'!$M$5:$M$554,$K494)))</f>
        <v/>
      </c>
      <c r="E494" s="11" t="str">
        <f aca="false">IF($K494="","",IF(INDEX('Prospect Tracker'!$R$5:$R$554,$K494)="","",INDEX('Prospect Tracker'!$R$5:$R$554,$K494)))</f>
        <v/>
      </c>
      <c r="F494" s="11" t="str">
        <f aca="false">IF($K494="","",IF(INDEX('Prospect Tracker'!$J$5:$J$554,$K494)="","",INDEX('Prospect Tracker'!$J$5:$J$554,$K494)))</f>
        <v/>
      </c>
      <c r="G494" s="11" t="str">
        <f aca="false">IF($K494="","",IF(INDEX('Prospect Tracker'!$H$5:$H$554,$K494)="","",INDEX('Prospect Tracker'!$H$5:$H$554,$K494)))</f>
        <v/>
      </c>
      <c r="H494" s="12" t="str">
        <f aca="false">IF($K494="","",IF(INDEX('Prospect Tracker'!$K$5:$K$554,$K494)="","",INDEX('Prospect Tracker'!$K$5:$K$554,$K494)))</f>
        <v/>
      </c>
      <c r="I494" s="11" t="str">
        <f aca="false">IF($K494="","",IF(INDEX('Prospect Tracker'!$T$5:$T$554,$K494)="","",INDEX('Prospect Tracker'!$T$5:$T$554,$K494)))</f>
        <v/>
      </c>
      <c r="J494" s="11" t="str">
        <f aca="false">IF($K494="","",IF(INDEX('Prospect Tracker'!$L$5:$L$554,$K494)="","",INDEX('Prospect Tracker'!$L$5:$L$554,$K494)))</f>
        <v/>
      </c>
      <c r="K494" s="1" t="n">
        <f aca="false">IFERROR(MATCH(SMALL('Prospect Tracker'!$X$5:$X$554,ROW()-4),'Prospect Tracker'!$X$5:$X$554,0),"")</f>
        <v>490</v>
      </c>
    </row>
    <row r="495" customFormat="false" ht="15" hidden="false" customHeight="true" outlineLevel="0" collapsed="false">
      <c r="A495" s="6" t="str">
        <f aca="false">IF($K495="","",IF(INDEX('Prospect Tracker'!$W$5:$W$554,$K495)="","",INDEX('Prospect Tracker'!$W$5:$W$554,$K495)))</f>
        <v/>
      </c>
      <c r="B495" s="6" t="str">
        <f aca="false">IF($K495="","",IF(INDEX('Prospect Tracker'!$A$5:$A$554,$K495)="","",INDEX('Prospect Tracker'!$A$5:$A$554,$K495)))</f>
        <v/>
      </c>
      <c r="C495" s="6" t="str">
        <f aca="false">IF($K495="","",IF(INDEX('Prospect Tracker'!$B$5:$B$554,$K495)="","",INDEX('Prospect Tracker'!$B$5:$B$554,$K495)))</f>
        <v/>
      </c>
      <c r="D495" s="6" t="str">
        <f aca="false">IF($K495="","",IF(INDEX('Prospect Tracker'!$M$5:$M$554,$K495)="","",INDEX('Prospect Tracker'!$M$5:$M$554,$K495)))</f>
        <v/>
      </c>
      <c r="E495" s="6" t="str">
        <f aca="false">IF($K495="","",IF(INDEX('Prospect Tracker'!$R$5:$R$554,$K495)="","",INDEX('Prospect Tracker'!$R$5:$R$554,$K495)))</f>
        <v/>
      </c>
      <c r="F495" s="6" t="str">
        <f aca="false">IF($K495="","",IF(INDEX('Prospect Tracker'!$J$5:$J$554,$K495)="","",INDEX('Prospect Tracker'!$J$5:$J$554,$K495)))</f>
        <v/>
      </c>
      <c r="G495" s="6" t="str">
        <f aca="false">IF($K495="","",IF(INDEX('Prospect Tracker'!$H$5:$H$554,$K495)="","",INDEX('Prospect Tracker'!$H$5:$H$554,$K495)))</f>
        <v/>
      </c>
      <c r="H495" s="7" t="str">
        <f aca="false">IF($K495="","",IF(INDEX('Prospect Tracker'!$K$5:$K$554,$K495)="","",INDEX('Prospect Tracker'!$K$5:$K$554,$K495)))</f>
        <v/>
      </c>
      <c r="I495" s="6" t="str">
        <f aca="false">IF($K495="","",IF(INDEX('Prospect Tracker'!$T$5:$T$554,$K495)="","",INDEX('Prospect Tracker'!$T$5:$T$554,$K495)))</f>
        <v/>
      </c>
      <c r="J495" s="6" t="str">
        <f aca="false">IF($K495="","",IF(INDEX('Prospect Tracker'!$L$5:$L$554,$K495)="","",INDEX('Prospect Tracker'!$L$5:$L$554,$K495)))</f>
        <v/>
      </c>
      <c r="K495" s="1" t="n">
        <f aca="false">IFERROR(MATCH(SMALL('Prospect Tracker'!$X$5:$X$554,ROW()-4),'Prospect Tracker'!$X$5:$X$554,0),"")</f>
        <v>491</v>
      </c>
    </row>
    <row r="496" customFormat="false" ht="15" hidden="false" customHeight="true" outlineLevel="0" collapsed="false">
      <c r="A496" s="11" t="str">
        <f aca="false">IF($K496="","",IF(INDEX('Prospect Tracker'!$W$5:$W$554,$K496)="","",INDEX('Prospect Tracker'!$W$5:$W$554,$K496)))</f>
        <v/>
      </c>
      <c r="B496" s="11" t="str">
        <f aca="false">IF($K496="","",IF(INDEX('Prospect Tracker'!$A$5:$A$554,$K496)="","",INDEX('Prospect Tracker'!$A$5:$A$554,$K496)))</f>
        <v/>
      </c>
      <c r="C496" s="11" t="str">
        <f aca="false">IF($K496="","",IF(INDEX('Prospect Tracker'!$B$5:$B$554,$K496)="","",INDEX('Prospect Tracker'!$B$5:$B$554,$K496)))</f>
        <v/>
      </c>
      <c r="D496" s="11" t="str">
        <f aca="false">IF($K496="","",IF(INDEX('Prospect Tracker'!$M$5:$M$554,$K496)="","",INDEX('Prospect Tracker'!$M$5:$M$554,$K496)))</f>
        <v/>
      </c>
      <c r="E496" s="11" t="str">
        <f aca="false">IF($K496="","",IF(INDEX('Prospect Tracker'!$R$5:$R$554,$K496)="","",INDEX('Prospect Tracker'!$R$5:$R$554,$K496)))</f>
        <v/>
      </c>
      <c r="F496" s="11" t="str">
        <f aca="false">IF($K496="","",IF(INDEX('Prospect Tracker'!$J$5:$J$554,$K496)="","",INDEX('Prospect Tracker'!$J$5:$J$554,$K496)))</f>
        <v/>
      </c>
      <c r="G496" s="11" t="str">
        <f aca="false">IF($K496="","",IF(INDEX('Prospect Tracker'!$H$5:$H$554,$K496)="","",INDEX('Prospect Tracker'!$H$5:$H$554,$K496)))</f>
        <v/>
      </c>
      <c r="H496" s="12" t="str">
        <f aca="false">IF($K496="","",IF(INDEX('Prospect Tracker'!$K$5:$K$554,$K496)="","",INDEX('Prospect Tracker'!$K$5:$K$554,$K496)))</f>
        <v/>
      </c>
      <c r="I496" s="11" t="str">
        <f aca="false">IF($K496="","",IF(INDEX('Prospect Tracker'!$T$5:$T$554,$K496)="","",INDEX('Prospect Tracker'!$T$5:$T$554,$K496)))</f>
        <v/>
      </c>
      <c r="J496" s="11" t="str">
        <f aca="false">IF($K496="","",IF(INDEX('Prospect Tracker'!$L$5:$L$554,$K496)="","",INDEX('Prospect Tracker'!$L$5:$L$554,$K496)))</f>
        <v/>
      </c>
      <c r="K496" s="1" t="n">
        <f aca="false">IFERROR(MATCH(SMALL('Prospect Tracker'!$X$5:$X$554,ROW()-4),'Prospect Tracker'!$X$5:$X$554,0),"")</f>
        <v>492</v>
      </c>
    </row>
    <row r="497" customFormat="false" ht="15" hidden="false" customHeight="true" outlineLevel="0" collapsed="false">
      <c r="A497" s="6" t="str">
        <f aca="false">IF($K497="","",IF(INDEX('Prospect Tracker'!$W$5:$W$554,$K497)="","",INDEX('Prospect Tracker'!$W$5:$W$554,$K497)))</f>
        <v/>
      </c>
      <c r="B497" s="6" t="str">
        <f aca="false">IF($K497="","",IF(INDEX('Prospect Tracker'!$A$5:$A$554,$K497)="","",INDEX('Prospect Tracker'!$A$5:$A$554,$K497)))</f>
        <v/>
      </c>
      <c r="C497" s="6" t="str">
        <f aca="false">IF($K497="","",IF(INDEX('Prospect Tracker'!$B$5:$B$554,$K497)="","",INDEX('Prospect Tracker'!$B$5:$B$554,$K497)))</f>
        <v/>
      </c>
      <c r="D497" s="6" t="str">
        <f aca="false">IF($K497="","",IF(INDEX('Prospect Tracker'!$M$5:$M$554,$K497)="","",INDEX('Prospect Tracker'!$M$5:$M$554,$K497)))</f>
        <v/>
      </c>
      <c r="E497" s="6" t="str">
        <f aca="false">IF($K497="","",IF(INDEX('Prospect Tracker'!$R$5:$R$554,$K497)="","",INDEX('Prospect Tracker'!$R$5:$R$554,$K497)))</f>
        <v/>
      </c>
      <c r="F497" s="6" t="str">
        <f aca="false">IF($K497="","",IF(INDEX('Prospect Tracker'!$J$5:$J$554,$K497)="","",INDEX('Prospect Tracker'!$J$5:$J$554,$K497)))</f>
        <v/>
      </c>
      <c r="G497" s="6" t="str">
        <f aca="false">IF($K497="","",IF(INDEX('Prospect Tracker'!$H$5:$H$554,$K497)="","",INDEX('Prospect Tracker'!$H$5:$H$554,$K497)))</f>
        <v/>
      </c>
      <c r="H497" s="7" t="str">
        <f aca="false">IF($K497="","",IF(INDEX('Prospect Tracker'!$K$5:$K$554,$K497)="","",INDEX('Prospect Tracker'!$K$5:$K$554,$K497)))</f>
        <v/>
      </c>
      <c r="I497" s="6" t="str">
        <f aca="false">IF($K497="","",IF(INDEX('Prospect Tracker'!$T$5:$T$554,$K497)="","",INDEX('Prospect Tracker'!$T$5:$T$554,$K497)))</f>
        <v/>
      </c>
      <c r="J497" s="6" t="str">
        <f aca="false">IF($K497="","",IF(INDEX('Prospect Tracker'!$L$5:$L$554,$K497)="","",INDEX('Prospect Tracker'!$L$5:$L$554,$K497)))</f>
        <v/>
      </c>
      <c r="K497" s="1" t="n">
        <f aca="false">IFERROR(MATCH(SMALL('Prospect Tracker'!$X$5:$X$554,ROW()-4),'Prospect Tracker'!$X$5:$X$554,0),"")</f>
        <v>493</v>
      </c>
    </row>
    <row r="498" customFormat="false" ht="15" hidden="false" customHeight="true" outlineLevel="0" collapsed="false">
      <c r="A498" s="11" t="str">
        <f aca="false">IF($K498="","",IF(INDEX('Prospect Tracker'!$W$5:$W$554,$K498)="","",INDEX('Prospect Tracker'!$W$5:$W$554,$K498)))</f>
        <v/>
      </c>
      <c r="B498" s="11" t="str">
        <f aca="false">IF($K498="","",IF(INDEX('Prospect Tracker'!$A$5:$A$554,$K498)="","",INDEX('Prospect Tracker'!$A$5:$A$554,$K498)))</f>
        <v/>
      </c>
      <c r="C498" s="11" t="str">
        <f aca="false">IF($K498="","",IF(INDEX('Prospect Tracker'!$B$5:$B$554,$K498)="","",INDEX('Prospect Tracker'!$B$5:$B$554,$K498)))</f>
        <v/>
      </c>
      <c r="D498" s="11" t="str">
        <f aca="false">IF($K498="","",IF(INDEX('Prospect Tracker'!$M$5:$M$554,$K498)="","",INDEX('Prospect Tracker'!$M$5:$M$554,$K498)))</f>
        <v/>
      </c>
      <c r="E498" s="11" t="str">
        <f aca="false">IF($K498="","",IF(INDEX('Prospect Tracker'!$R$5:$R$554,$K498)="","",INDEX('Prospect Tracker'!$R$5:$R$554,$K498)))</f>
        <v/>
      </c>
      <c r="F498" s="11" t="str">
        <f aca="false">IF($K498="","",IF(INDEX('Prospect Tracker'!$J$5:$J$554,$K498)="","",INDEX('Prospect Tracker'!$J$5:$J$554,$K498)))</f>
        <v/>
      </c>
      <c r="G498" s="11" t="str">
        <f aca="false">IF($K498="","",IF(INDEX('Prospect Tracker'!$H$5:$H$554,$K498)="","",INDEX('Prospect Tracker'!$H$5:$H$554,$K498)))</f>
        <v/>
      </c>
      <c r="H498" s="12" t="str">
        <f aca="false">IF($K498="","",IF(INDEX('Prospect Tracker'!$K$5:$K$554,$K498)="","",INDEX('Prospect Tracker'!$K$5:$K$554,$K498)))</f>
        <v/>
      </c>
      <c r="I498" s="11" t="str">
        <f aca="false">IF($K498="","",IF(INDEX('Prospect Tracker'!$T$5:$T$554,$K498)="","",INDEX('Prospect Tracker'!$T$5:$T$554,$K498)))</f>
        <v/>
      </c>
      <c r="J498" s="11" t="str">
        <f aca="false">IF($K498="","",IF(INDEX('Prospect Tracker'!$L$5:$L$554,$K498)="","",INDEX('Prospect Tracker'!$L$5:$L$554,$K498)))</f>
        <v/>
      </c>
      <c r="K498" s="1" t="n">
        <f aca="false">IFERROR(MATCH(SMALL('Prospect Tracker'!$X$5:$X$554,ROW()-4),'Prospect Tracker'!$X$5:$X$554,0),"")</f>
        <v>494</v>
      </c>
    </row>
    <row r="499" customFormat="false" ht="15" hidden="false" customHeight="true" outlineLevel="0" collapsed="false">
      <c r="A499" s="6" t="str">
        <f aca="false">IF($K499="","",IF(INDEX('Prospect Tracker'!$W$5:$W$554,$K499)="","",INDEX('Prospect Tracker'!$W$5:$W$554,$K499)))</f>
        <v/>
      </c>
      <c r="B499" s="6" t="str">
        <f aca="false">IF($K499="","",IF(INDEX('Prospect Tracker'!$A$5:$A$554,$K499)="","",INDEX('Prospect Tracker'!$A$5:$A$554,$K499)))</f>
        <v/>
      </c>
      <c r="C499" s="6" t="str">
        <f aca="false">IF($K499="","",IF(INDEX('Prospect Tracker'!$B$5:$B$554,$K499)="","",INDEX('Prospect Tracker'!$B$5:$B$554,$K499)))</f>
        <v/>
      </c>
      <c r="D499" s="6" t="str">
        <f aca="false">IF($K499="","",IF(INDEX('Prospect Tracker'!$M$5:$M$554,$K499)="","",INDEX('Prospect Tracker'!$M$5:$M$554,$K499)))</f>
        <v/>
      </c>
      <c r="E499" s="6" t="str">
        <f aca="false">IF($K499="","",IF(INDEX('Prospect Tracker'!$R$5:$R$554,$K499)="","",INDEX('Prospect Tracker'!$R$5:$R$554,$K499)))</f>
        <v/>
      </c>
      <c r="F499" s="6" t="str">
        <f aca="false">IF($K499="","",IF(INDEX('Prospect Tracker'!$J$5:$J$554,$K499)="","",INDEX('Prospect Tracker'!$J$5:$J$554,$K499)))</f>
        <v/>
      </c>
      <c r="G499" s="6" t="str">
        <f aca="false">IF($K499="","",IF(INDEX('Prospect Tracker'!$H$5:$H$554,$K499)="","",INDEX('Prospect Tracker'!$H$5:$H$554,$K499)))</f>
        <v/>
      </c>
      <c r="H499" s="7" t="str">
        <f aca="false">IF($K499="","",IF(INDEX('Prospect Tracker'!$K$5:$K$554,$K499)="","",INDEX('Prospect Tracker'!$K$5:$K$554,$K499)))</f>
        <v/>
      </c>
      <c r="I499" s="6" t="str">
        <f aca="false">IF($K499="","",IF(INDEX('Prospect Tracker'!$T$5:$T$554,$K499)="","",INDEX('Prospect Tracker'!$T$5:$T$554,$K499)))</f>
        <v/>
      </c>
      <c r="J499" s="6" t="str">
        <f aca="false">IF($K499="","",IF(INDEX('Prospect Tracker'!$L$5:$L$554,$K499)="","",INDEX('Prospect Tracker'!$L$5:$L$554,$K499)))</f>
        <v/>
      </c>
      <c r="K499" s="1" t="n">
        <f aca="false">IFERROR(MATCH(SMALL('Prospect Tracker'!$X$5:$X$554,ROW()-4),'Prospect Tracker'!$X$5:$X$554,0),"")</f>
        <v>495</v>
      </c>
    </row>
    <row r="500" customFormat="false" ht="15" hidden="false" customHeight="true" outlineLevel="0" collapsed="false">
      <c r="A500" s="11" t="str">
        <f aca="false">IF($K500="","",IF(INDEX('Prospect Tracker'!$W$5:$W$554,$K500)="","",INDEX('Prospect Tracker'!$W$5:$W$554,$K500)))</f>
        <v/>
      </c>
      <c r="B500" s="11" t="str">
        <f aca="false">IF($K500="","",IF(INDEX('Prospect Tracker'!$A$5:$A$554,$K500)="","",INDEX('Prospect Tracker'!$A$5:$A$554,$K500)))</f>
        <v/>
      </c>
      <c r="C500" s="11" t="str">
        <f aca="false">IF($K500="","",IF(INDEX('Prospect Tracker'!$B$5:$B$554,$K500)="","",INDEX('Prospect Tracker'!$B$5:$B$554,$K500)))</f>
        <v/>
      </c>
      <c r="D500" s="11" t="str">
        <f aca="false">IF($K500="","",IF(INDEX('Prospect Tracker'!$M$5:$M$554,$K500)="","",INDEX('Prospect Tracker'!$M$5:$M$554,$K500)))</f>
        <v/>
      </c>
      <c r="E500" s="11" t="str">
        <f aca="false">IF($K500="","",IF(INDEX('Prospect Tracker'!$R$5:$R$554,$K500)="","",INDEX('Prospect Tracker'!$R$5:$R$554,$K500)))</f>
        <v/>
      </c>
      <c r="F500" s="11" t="str">
        <f aca="false">IF($K500="","",IF(INDEX('Prospect Tracker'!$J$5:$J$554,$K500)="","",INDEX('Prospect Tracker'!$J$5:$J$554,$K500)))</f>
        <v/>
      </c>
      <c r="G500" s="11" t="str">
        <f aca="false">IF($K500="","",IF(INDEX('Prospect Tracker'!$H$5:$H$554,$K500)="","",INDEX('Prospect Tracker'!$H$5:$H$554,$K500)))</f>
        <v/>
      </c>
      <c r="H500" s="12" t="str">
        <f aca="false">IF($K500="","",IF(INDEX('Prospect Tracker'!$K$5:$K$554,$K500)="","",INDEX('Prospect Tracker'!$K$5:$K$554,$K500)))</f>
        <v/>
      </c>
      <c r="I500" s="11" t="str">
        <f aca="false">IF($K500="","",IF(INDEX('Prospect Tracker'!$T$5:$T$554,$K500)="","",INDEX('Prospect Tracker'!$T$5:$T$554,$K500)))</f>
        <v/>
      </c>
      <c r="J500" s="11" t="str">
        <f aca="false">IF($K500="","",IF(INDEX('Prospect Tracker'!$L$5:$L$554,$K500)="","",INDEX('Prospect Tracker'!$L$5:$L$554,$K500)))</f>
        <v/>
      </c>
      <c r="K500" s="1" t="n">
        <f aca="false">IFERROR(MATCH(SMALL('Prospect Tracker'!$X$5:$X$554,ROW()-4),'Prospect Tracker'!$X$5:$X$554,0),"")</f>
        <v>496</v>
      </c>
    </row>
    <row r="501" customFormat="false" ht="15" hidden="false" customHeight="true" outlineLevel="0" collapsed="false">
      <c r="A501" s="6" t="str">
        <f aca="false">IF($K501="","",IF(INDEX('Prospect Tracker'!$W$5:$W$554,$K501)="","",INDEX('Prospect Tracker'!$W$5:$W$554,$K501)))</f>
        <v/>
      </c>
      <c r="B501" s="6" t="str">
        <f aca="false">IF($K501="","",IF(INDEX('Prospect Tracker'!$A$5:$A$554,$K501)="","",INDEX('Prospect Tracker'!$A$5:$A$554,$K501)))</f>
        <v/>
      </c>
      <c r="C501" s="6" t="str">
        <f aca="false">IF($K501="","",IF(INDEX('Prospect Tracker'!$B$5:$B$554,$K501)="","",INDEX('Prospect Tracker'!$B$5:$B$554,$K501)))</f>
        <v/>
      </c>
      <c r="D501" s="6" t="str">
        <f aca="false">IF($K501="","",IF(INDEX('Prospect Tracker'!$M$5:$M$554,$K501)="","",INDEX('Prospect Tracker'!$M$5:$M$554,$K501)))</f>
        <v/>
      </c>
      <c r="E501" s="6" t="str">
        <f aca="false">IF($K501="","",IF(INDEX('Prospect Tracker'!$R$5:$R$554,$K501)="","",INDEX('Prospect Tracker'!$R$5:$R$554,$K501)))</f>
        <v/>
      </c>
      <c r="F501" s="6" t="str">
        <f aca="false">IF($K501="","",IF(INDEX('Prospect Tracker'!$J$5:$J$554,$K501)="","",INDEX('Prospect Tracker'!$J$5:$J$554,$K501)))</f>
        <v/>
      </c>
      <c r="G501" s="6" t="str">
        <f aca="false">IF($K501="","",IF(INDEX('Prospect Tracker'!$H$5:$H$554,$K501)="","",INDEX('Prospect Tracker'!$H$5:$H$554,$K501)))</f>
        <v/>
      </c>
      <c r="H501" s="7" t="str">
        <f aca="false">IF($K501="","",IF(INDEX('Prospect Tracker'!$K$5:$K$554,$K501)="","",INDEX('Prospect Tracker'!$K$5:$K$554,$K501)))</f>
        <v/>
      </c>
      <c r="I501" s="6" t="str">
        <f aca="false">IF($K501="","",IF(INDEX('Prospect Tracker'!$T$5:$T$554,$K501)="","",INDEX('Prospect Tracker'!$T$5:$T$554,$K501)))</f>
        <v/>
      </c>
      <c r="J501" s="6" t="str">
        <f aca="false">IF($K501="","",IF(INDEX('Prospect Tracker'!$L$5:$L$554,$K501)="","",INDEX('Prospect Tracker'!$L$5:$L$554,$K501)))</f>
        <v/>
      </c>
      <c r="K501" s="1" t="n">
        <f aca="false">IFERROR(MATCH(SMALL('Prospect Tracker'!$X$5:$X$554,ROW()-4),'Prospect Tracker'!$X$5:$X$554,0),"")</f>
        <v>497</v>
      </c>
    </row>
    <row r="502" customFormat="false" ht="15" hidden="false" customHeight="true" outlineLevel="0" collapsed="false">
      <c r="A502" s="11" t="str">
        <f aca="false">IF($K502="","",IF(INDEX('Prospect Tracker'!$W$5:$W$554,$K502)="","",INDEX('Prospect Tracker'!$W$5:$W$554,$K502)))</f>
        <v/>
      </c>
      <c r="B502" s="11" t="str">
        <f aca="false">IF($K502="","",IF(INDEX('Prospect Tracker'!$A$5:$A$554,$K502)="","",INDEX('Prospect Tracker'!$A$5:$A$554,$K502)))</f>
        <v/>
      </c>
      <c r="C502" s="11" t="str">
        <f aca="false">IF($K502="","",IF(INDEX('Prospect Tracker'!$B$5:$B$554,$K502)="","",INDEX('Prospect Tracker'!$B$5:$B$554,$K502)))</f>
        <v/>
      </c>
      <c r="D502" s="11" t="str">
        <f aca="false">IF($K502="","",IF(INDEX('Prospect Tracker'!$M$5:$M$554,$K502)="","",INDEX('Prospect Tracker'!$M$5:$M$554,$K502)))</f>
        <v/>
      </c>
      <c r="E502" s="11" t="str">
        <f aca="false">IF($K502="","",IF(INDEX('Prospect Tracker'!$R$5:$R$554,$K502)="","",INDEX('Prospect Tracker'!$R$5:$R$554,$K502)))</f>
        <v/>
      </c>
      <c r="F502" s="11" t="str">
        <f aca="false">IF($K502="","",IF(INDEX('Prospect Tracker'!$J$5:$J$554,$K502)="","",INDEX('Prospect Tracker'!$J$5:$J$554,$K502)))</f>
        <v/>
      </c>
      <c r="G502" s="11" t="str">
        <f aca="false">IF($K502="","",IF(INDEX('Prospect Tracker'!$H$5:$H$554,$K502)="","",INDEX('Prospect Tracker'!$H$5:$H$554,$K502)))</f>
        <v/>
      </c>
      <c r="H502" s="12" t="str">
        <f aca="false">IF($K502="","",IF(INDEX('Prospect Tracker'!$K$5:$K$554,$K502)="","",INDEX('Prospect Tracker'!$K$5:$K$554,$K502)))</f>
        <v/>
      </c>
      <c r="I502" s="11" t="str">
        <f aca="false">IF($K502="","",IF(INDEX('Prospect Tracker'!$T$5:$T$554,$K502)="","",INDEX('Prospect Tracker'!$T$5:$T$554,$K502)))</f>
        <v/>
      </c>
      <c r="J502" s="11" t="str">
        <f aca="false">IF($K502="","",IF(INDEX('Prospect Tracker'!$L$5:$L$554,$K502)="","",INDEX('Prospect Tracker'!$L$5:$L$554,$K502)))</f>
        <v/>
      </c>
      <c r="K502" s="1" t="n">
        <f aca="false">IFERROR(MATCH(SMALL('Prospect Tracker'!$X$5:$X$554,ROW()-4),'Prospect Tracker'!$X$5:$X$554,0),"")</f>
        <v>498</v>
      </c>
    </row>
    <row r="503" customFormat="false" ht="15" hidden="false" customHeight="true" outlineLevel="0" collapsed="false">
      <c r="A503" s="6" t="str">
        <f aca="false">IF($K503="","",IF(INDEX('Prospect Tracker'!$W$5:$W$554,$K503)="","",INDEX('Prospect Tracker'!$W$5:$W$554,$K503)))</f>
        <v/>
      </c>
      <c r="B503" s="6" t="str">
        <f aca="false">IF($K503="","",IF(INDEX('Prospect Tracker'!$A$5:$A$554,$K503)="","",INDEX('Prospect Tracker'!$A$5:$A$554,$K503)))</f>
        <v/>
      </c>
      <c r="C503" s="6" t="str">
        <f aca="false">IF($K503="","",IF(INDEX('Prospect Tracker'!$B$5:$B$554,$K503)="","",INDEX('Prospect Tracker'!$B$5:$B$554,$K503)))</f>
        <v/>
      </c>
      <c r="D503" s="6" t="str">
        <f aca="false">IF($K503="","",IF(INDEX('Prospect Tracker'!$M$5:$M$554,$K503)="","",INDEX('Prospect Tracker'!$M$5:$M$554,$K503)))</f>
        <v/>
      </c>
      <c r="E503" s="6" t="str">
        <f aca="false">IF($K503="","",IF(INDEX('Prospect Tracker'!$R$5:$R$554,$K503)="","",INDEX('Prospect Tracker'!$R$5:$R$554,$K503)))</f>
        <v/>
      </c>
      <c r="F503" s="6" t="str">
        <f aca="false">IF($K503="","",IF(INDEX('Prospect Tracker'!$J$5:$J$554,$K503)="","",INDEX('Prospect Tracker'!$J$5:$J$554,$K503)))</f>
        <v/>
      </c>
      <c r="G503" s="6" t="str">
        <f aca="false">IF($K503="","",IF(INDEX('Prospect Tracker'!$H$5:$H$554,$K503)="","",INDEX('Prospect Tracker'!$H$5:$H$554,$K503)))</f>
        <v/>
      </c>
      <c r="H503" s="7" t="str">
        <f aca="false">IF($K503="","",IF(INDEX('Prospect Tracker'!$K$5:$K$554,$K503)="","",INDEX('Prospect Tracker'!$K$5:$K$554,$K503)))</f>
        <v/>
      </c>
      <c r="I503" s="6" t="str">
        <f aca="false">IF($K503="","",IF(INDEX('Prospect Tracker'!$T$5:$T$554,$K503)="","",INDEX('Prospect Tracker'!$T$5:$T$554,$K503)))</f>
        <v/>
      </c>
      <c r="J503" s="6" t="str">
        <f aca="false">IF($K503="","",IF(INDEX('Prospect Tracker'!$L$5:$L$554,$K503)="","",INDEX('Prospect Tracker'!$L$5:$L$554,$K503)))</f>
        <v/>
      </c>
      <c r="K503" s="1" t="n">
        <f aca="false">IFERROR(MATCH(SMALL('Prospect Tracker'!$X$5:$X$554,ROW()-4),'Prospect Tracker'!$X$5:$X$554,0),"")</f>
        <v>499</v>
      </c>
    </row>
    <row r="504" customFormat="false" ht="15" hidden="false" customHeight="true" outlineLevel="0" collapsed="false">
      <c r="A504" s="11" t="str">
        <f aca="false">IF($K504="","",IF(INDEX('Prospect Tracker'!$W$5:$W$554,$K504)="","",INDEX('Prospect Tracker'!$W$5:$W$554,$K504)))</f>
        <v/>
      </c>
      <c r="B504" s="11" t="str">
        <f aca="false">IF($K504="","",IF(INDEX('Prospect Tracker'!$A$5:$A$554,$K504)="","",INDEX('Prospect Tracker'!$A$5:$A$554,$K504)))</f>
        <v/>
      </c>
      <c r="C504" s="11" t="str">
        <f aca="false">IF($K504="","",IF(INDEX('Prospect Tracker'!$B$5:$B$554,$K504)="","",INDEX('Prospect Tracker'!$B$5:$B$554,$K504)))</f>
        <v/>
      </c>
      <c r="D504" s="11" t="str">
        <f aca="false">IF($K504="","",IF(INDEX('Prospect Tracker'!$M$5:$M$554,$K504)="","",INDEX('Prospect Tracker'!$M$5:$M$554,$K504)))</f>
        <v/>
      </c>
      <c r="E504" s="11" t="str">
        <f aca="false">IF($K504="","",IF(INDEX('Prospect Tracker'!$R$5:$R$554,$K504)="","",INDEX('Prospect Tracker'!$R$5:$R$554,$K504)))</f>
        <v/>
      </c>
      <c r="F504" s="11" t="str">
        <f aca="false">IF($K504="","",IF(INDEX('Prospect Tracker'!$J$5:$J$554,$K504)="","",INDEX('Prospect Tracker'!$J$5:$J$554,$K504)))</f>
        <v/>
      </c>
      <c r="G504" s="11" t="str">
        <f aca="false">IF($K504="","",IF(INDEX('Prospect Tracker'!$H$5:$H$554,$K504)="","",INDEX('Prospect Tracker'!$H$5:$H$554,$K504)))</f>
        <v/>
      </c>
      <c r="H504" s="12" t="str">
        <f aca="false">IF($K504="","",IF(INDEX('Prospect Tracker'!$K$5:$K$554,$K504)="","",INDEX('Prospect Tracker'!$K$5:$K$554,$K504)))</f>
        <v/>
      </c>
      <c r="I504" s="11" t="str">
        <f aca="false">IF($K504="","",IF(INDEX('Prospect Tracker'!$T$5:$T$554,$K504)="","",INDEX('Prospect Tracker'!$T$5:$T$554,$K504)))</f>
        <v/>
      </c>
      <c r="J504" s="11" t="str">
        <f aca="false">IF($K504="","",IF(INDEX('Prospect Tracker'!$L$5:$L$554,$K504)="","",INDEX('Prospect Tracker'!$L$5:$L$554,$K504)))</f>
        <v/>
      </c>
      <c r="K504" s="1" t="n">
        <f aca="false">IFERROR(MATCH(SMALL('Prospect Tracker'!$X$5:$X$554,ROW()-4),'Prospect Tracker'!$X$5:$X$554,0),"")</f>
        <v>500</v>
      </c>
    </row>
    <row r="505" customFormat="false" ht="15" hidden="false" customHeight="true" outlineLevel="0" collapsed="false">
      <c r="A505" s="6" t="str">
        <f aca="false">IF($K505="","",IF(INDEX('Prospect Tracker'!$W$5:$W$554,$K505)="","",INDEX('Prospect Tracker'!$W$5:$W$554,$K505)))</f>
        <v/>
      </c>
      <c r="B505" s="6" t="str">
        <f aca="false">IF($K505="","",IF(INDEX('Prospect Tracker'!$A$5:$A$554,$K505)="","",INDEX('Prospect Tracker'!$A$5:$A$554,$K505)))</f>
        <v/>
      </c>
      <c r="C505" s="6" t="str">
        <f aca="false">IF($K505="","",IF(INDEX('Prospect Tracker'!$B$5:$B$554,$K505)="","",INDEX('Prospect Tracker'!$B$5:$B$554,$K505)))</f>
        <v/>
      </c>
      <c r="D505" s="6" t="str">
        <f aca="false">IF($K505="","",IF(INDEX('Prospect Tracker'!$M$5:$M$554,$K505)="","",INDEX('Prospect Tracker'!$M$5:$M$554,$K505)))</f>
        <v/>
      </c>
      <c r="E505" s="6" t="str">
        <f aca="false">IF($K505="","",IF(INDEX('Prospect Tracker'!$R$5:$R$554,$K505)="","",INDEX('Prospect Tracker'!$R$5:$R$554,$K505)))</f>
        <v/>
      </c>
      <c r="F505" s="6" t="str">
        <f aca="false">IF($K505="","",IF(INDEX('Prospect Tracker'!$J$5:$J$554,$K505)="","",INDEX('Prospect Tracker'!$J$5:$J$554,$K505)))</f>
        <v/>
      </c>
      <c r="G505" s="6" t="str">
        <f aca="false">IF($K505="","",IF(INDEX('Prospect Tracker'!$H$5:$H$554,$K505)="","",INDEX('Prospect Tracker'!$H$5:$H$554,$K505)))</f>
        <v/>
      </c>
      <c r="H505" s="7" t="str">
        <f aca="false">IF($K505="","",IF(INDEX('Prospect Tracker'!$K$5:$K$554,$K505)="","",INDEX('Prospect Tracker'!$K$5:$K$554,$K505)))</f>
        <v/>
      </c>
      <c r="I505" s="6" t="str">
        <f aca="false">IF($K505="","",IF(INDEX('Prospect Tracker'!$T$5:$T$554,$K505)="","",INDEX('Prospect Tracker'!$T$5:$T$554,$K505)))</f>
        <v/>
      </c>
      <c r="J505" s="6" t="str">
        <f aca="false">IF($K505="","",IF(INDEX('Prospect Tracker'!$L$5:$L$554,$K505)="","",INDEX('Prospect Tracker'!$L$5:$L$554,$K505)))</f>
        <v/>
      </c>
      <c r="K505" s="1" t="n">
        <f aca="false">IFERROR(MATCH(SMALL('Prospect Tracker'!$X$5:$X$554,ROW()-4),'Prospect Tracker'!$X$5:$X$554,0),"")</f>
        <v>501</v>
      </c>
    </row>
    <row r="506" customFormat="false" ht="15" hidden="false" customHeight="true" outlineLevel="0" collapsed="false">
      <c r="A506" s="11" t="str">
        <f aca="false">IF($K506="","",IF(INDEX('Prospect Tracker'!$W$5:$W$554,$K506)="","",INDEX('Prospect Tracker'!$W$5:$W$554,$K506)))</f>
        <v/>
      </c>
      <c r="B506" s="11" t="str">
        <f aca="false">IF($K506="","",IF(INDEX('Prospect Tracker'!$A$5:$A$554,$K506)="","",INDEX('Prospect Tracker'!$A$5:$A$554,$K506)))</f>
        <v/>
      </c>
      <c r="C506" s="11" t="str">
        <f aca="false">IF($K506="","",IF(INDEX('Prospect Tracker'!$B$5:$B$554,$K506)="","",INDEX('Prospect Tracker'!$B$5:$B$554,$K506)))</f>
        <v/>
      </c>
      <c r="D506" s="11" t="str">
        <f aca="false">IF($K506="","",IF(INDEX('Prospect Tracker'!$M$5:$M$554,$K506)="","",INDEX('Prospect Tracker'!$M$5:$M$554,$K506)))</f>
        <v/>
      </c>
      <c r="E506" s="11" t="str">
        <f aca="false">IF($K506="","",IF(INDEX('Prospect Tracker'!$R$5:$R$554,$K506)="","",INDEX('Prospect Tracker'!$R$5:$R$554,$K506)))</f>
        <v/>
      </c>
      <c r="F506" s="11" t="str">
        <f aca="false">IF($K506="","",IF(INDEX('Prospect Tracker'!$J$5:$J$554,$K506)="","",INDEX('Prospect Tracker'!$J$5:$J$554,$K506)))</f>
        <v/>
      </c>
      <c r="G506" s="11" t="str">
        <f aca="false">IF($K506="","",IF(INDEX('Prospect Tracker'!$H$5:$H$554,$K506)="","",INDEX('Prospect Tracker'!$H$5:$H$554,$K506)))</f>
        <v/>
      </c>
      <c r="H506" s="12" t="str">
        <f aca="false">IF($K506="","",IF(INDEX('Prospect Tracker'!$K$5:$K$554,$K506)="","",INDEX('Prospect Tracker'!$K$5:$K$554,$K506)))</f>
        <v/>
      </c>
      <c r="I506" s="11" t="str">
        <f aca="false">IF($K506="","",IF(INDEX('Prospect Tracker'!$T$5:$T$554,$K506)="","",INDEX('Prospect Tracker'!$T$5:$T$554,$K506)))</f>
        <v/>
      </c>
      <c r="J506" s="11" t="str">
        <f aca="false">IF($K506="","",IF(INDEX('Prospect Tracker'!$L$5:$L$554,$K506)="","",INDEX('Prospect Tracker'!$L$5:$L$554,$K506)))</f>
        <v/>
      </c>
      <c r="K506" s="1" t="n">
        <f aca="false">IFERROR(MATCH(SMALL('Prospect Tracker'!$X$5:$X$554,ROW()-4),'Prospect Tracker'!$X$5:$X$554,0),"")</f>
        <v>502</v>
      </c>
    </row>
    <row r="507" customFormat="false" ht="15" hidden="false" customHeight="true" outlineLevel="0" collapsed="false">
      <c r="A507" s="6" t="str">
        <f aca="false">IF($K507="","",IF(INDEX('Prospect Tracker'!$W$5:$W$554,$K507)="","",INDEX('Prospect Tracker'!$W$5:$W$554,$K507)))</f>
        <v/>
      </c>
      <c r="B507" s="6" t="str">
        <f aca="false">IF($K507="","",IF(INDEX('Prospect Tracker'!$A$5:$A$554,$K507)="","",INDEX('Prospect Tracker'!$A$5:$A$554,$K507)))</f>
        <v/>
      </c>
      <c r="C507" s="6" t="str">
        <f aca="false">IF($K507="","",IF(INDEX('Prospect Tracker'!$B$5:$B$554,$K507)="","",INDEX('Prospect Tracker'!$B$5:$B$554,$K507)))</f>
        <v/>
      </c>
      <c r="D507" s="6" t="str">
        <f aca="false">IF($K507="","",IF(INDEX('Prospect Tracker'!$M$5:$M$554,$K507)="","",INDEX('Prospect Tracker'!$M$5:$M$554,$K507)))</f>
        <v/>
      </c>
      <c r="E507" s="6" t="str">
        <f aca="false">IF($K507="","",IF(INDEX('Prospect Tracker'!$R$5:$R$554,$K507)="","",INDEX('Prospect Tracker'!$R$5:$R$554,$K507)))</f>
        <v/>
      </c>
      <c r="F507" s="6" t="str">
        <f aca="false">IF($K507="","",IF(INDEX('Prospect Tracker'!$J$5:$J$554,$K507)="","",INDEX('Prospect Tracker'!$J$5:$J$554,$K507)))</f>
        <v/>
      </c>
      <c r="G507" s="6" t="str">
        <f aca="false">IF($K507="","",IF(INDEX('Prospect Tracker'!$H$5:$H$554,$K507)="","",INDEX('Prospect Tracker'!$H$5:$H$554,$K507)))</f>
        <v/>
      </c>
      <c r="H507" s="7" t="str">
        <f aca="false">IF($K507="","",IF(INDEX('Prospect Tracker'!$K$5:$K$554,$K507)="","",INDEX('Prospect Tracker'!$K$5:$K$554,$K507)))</f>
        <v/>
      </c>
      <c r="I507" s="6" t="str">
        <f aca="false">IF($K507="","",IF(INDEX('Prospect Tracker'!$T$5:$T$554,$K507)="","",INDEX('Prospect Tracker'!$T$5:$T$554,$K507)))</f>
        <v/>
      </c>
      <c r="J507" s="6" t="str">
        <f aca="false">IF($K507="","",IF(INDEX('Prospect Tracker'!$L$5:$L$554,$K507)="","",INDEX('Prospect Tracker'!$L$5:$L$554,$K507)))</f>
        <v/>
      </c>
      <c r="K507" s="1" t="n">
        <f aca="false">IFERROR(MATCH(SMALL('Prospect Tracker'!$X$5:$X$554,ROW()-4),'Prospect Tracker'!$X$5:$X$554,0),"")</f>
        <v>503</v>
      </c>
    </row>
    <row r="508" customFormat="false" ht="15" hidden="false" customHeight="true" outlineLevel="0" collapsed="false">
      <c r="A508" s="11" t="str">
        <f aca="false">IF($K508="","",IF(INDEX('Prospect Tracker'!$W$5:$W$554,$K508)="","",INDEX('Prospect Tracker'!$W$5:$W$554,$K508)))</f>
        <v/>
      </c>
      <c r="B508" s="11" t="str">
        <f aca="false">IF($K508="","",IF(INDEX('Prospect Tracker'!$A$5:$A$554,$K508)="","",INDEX('Prospect Tracker'!$A$5:$A$554,$K508)))</f>
        <v/>
      </c>
      <c r="C508" s="11" t="str">
        <f aca="false">IF($K508="","",IF(INDEX('Prospect Tracker'!$B$5:$B$554,$K508)="","",INDEX('Prospect Tracker'!$B$5:$B$554,$K508)))</f>
        <v/>
      </c>
      <c r="D508" s="11" t="str">
        <f aca="false">IF($K508="","",IF(INDEX('Prospect Tracker'!$M$5:$M$554,$K508)="","",INDEX('Prospect Tracker'!$M$5:$M$554,$K508)))</f>
        <v/>
      </c>
      <c r="E508" s="11" t="str">
        <f aca="false">IF($K508="","",IF(INDEX('Prospect Tracker'!$R$5:$R$554,$K508)="","",INDEX('Prospect Tracker'!$R$5:$R$554,$K508)))</f>
        <v/>
      </c>
      <c r="F508" s="11" t="str">
        <f aca="false">IF($K508="","",IF(INDEX('Prospect Tracker'!$J$5:$J$554,$K508)="","",INDEX('Prospect Tracker'!$J$5:$J$554,$K508)))</f>
        <v/>
      </c>
      <c r="G508" s="11" t="str">
        <f aca="false">IF($K508="","",IF(INDEX('Prospect Tracker'!$H$5:$H$554,$K508)="","",INDEX('Prospect Tracker'!$H$5:$H$554,$K508)))</f>
        <v/>
      </c>
      <c r="H508" s="12" t="str">
        <f aca="false">IF($K508="","",IF(INDEX('Prospect Tracker'!$K$5:$K$554,$K508)="","",INDEX('Prospect Tracker'!$K$5:$K$554,$K508)))</f>
        <v/>
      </c>
      <c r="I508" s="11" t="str">
        <f aca="false">IF($K508="","",IF(INDEX('Prospect Tracker'!$T$5:$T$554,$K508)="","",INDEX('Prospect Tracker'!$T$5:$T$554,$K508)))</f>
        <v/>
      </c>
      <c r="J508" s="11" t="str">
        <f aca="false">IF($K508="","",IF(INDEX('Prospect Tracker'!$L$5:$L$554,$K508)="","",INDEX('Prospect Tracker'!$L$5:$L$554,$K508)))</f>
        <v/>
      </c>
      <c r="K508" s="1" t="n">
        <f aca="false">IFERROR(MATCH(SMALL('Prospect Tracker'!$X$5:$X$554,ROW()-4),'Prospect Tracker'!$X$5:$X$554,0),"")</f>
        <v>504</v>
      </c>
    </row>
    <row r="509" customFormat="false" ht="15" hidden="false" customHeight="true" outlineLevel="0" collapsed="false">
      <c r="A509" s="6" t="str">
        <f aca="false">IF($K509="","",IF(INDEX('Prospect Tracker'!$W$5:$W$554,$K509)="","",INDEX('Prospect Tracker'!$W$5:$W$554,$K509)))</f>
        <v/>
      </c>
      <c r="B509" s="6" t="str">
        <f aca="false">IF($K509="","",IF(INDEX('Prospect Tracker'!$A$5:$A$554,$K509)="","",INDEX('Prospect Tracker'!$A$5:$A$554,$K509)))</f>
        <v/>
      </c>
      <c r="C509" s="6" t="str">
        <f aca="false">IF($K509="","",IF(INDEX('Prospect Tracker'!$B$5:$B$554,$K509)="","",INDEX('Prospect Tracker'!$B$5:$B$554,$K509)))</f>
        <v/>
      </c>
      <c r="D509" s="6" t="str">
        <f aca="false">IF($K509="","",IF(INDEX('Prospect Tracker'!$M$5:$M$554,$K509)="","",INDEX('Prospect Tracker'!$M$5:$M$554,$K509)))</f>
        <v/>
      </c>
      <c r="E509" s="6" t="str">
        <f aca="false">IF($K509="","",IF(INDEX('Prospect Tracker'!$R$5:$R$554,$K509)="","",INDEX('Prospect Tracker'!$R$5:$R$554,$K509)))</f>
        <v/>
      </c>
      <c r="F509" s="6" t="str">
        <f aca="false">IF($K509="","",IF(INDEX('Prospect Tracker'!$J$5:$J$554,$K509)="","",INDEX('Prospect Tracker'!$J$5:$J$554,$K509)))</f>
        <v/>
      </c>
      <c r="G509" s="6" t="str">
        <f aca="false">IF($K509="","",IF(INDEX('Prospect Tracker'!$H$5:$H$554,$K509)="","",INDEX('Prospect Tracker'!$H$5:$H$554,$K509)))</f>
        <v/>
      </c>
      <c r="H509" s="7" t="str">
        <f aca="false">IF($K509="","",IF(INDEX('Prospect Tracker'!$K$5:$K$554,$K509)="","",INDEX('Prospect Tracker'!$K$5:$K$554,$K509)))</f>
        <v/>
      </c>
      <c r="I509" s="6" t="str">
        <f aca="false">IF($K509="","",IF(INDEX('Prospect Tracker'!$T$5:$T$554,$K509)="","",INDEX('Prospect Tracker'!$T$5:$T$554,$K509)))</f>
        <v/>
      </c>
      <c r="J509" s="6" t="str">
        <f aca="false">IF($K509="","",IF(INDEX('Prospect Tracker'!$L$5:$L$554,$K509)="","",INDEX('Prospect Tracker'!$L$5:$L$554,$K509)))</f>
        <v/>
      </c>
      <c r="K509" s="1" t="n">
        <f aca="false">IFERROR(MATCH(SMALL('Prospect Tracker'!$X$5:$X$554,ROW()-4),'Prospect Tracker'!$X$5:$X$554,0),"")</f>
        <v>505</v>
      </c>
    </row>
    <row r="510" customFormat="false" ht="15" hidden="false" customHeight="true" outlineLevel="0" collapsed="false">
      <c r="A510" s="11" t="str">
        <f aca="false">IF($K510="","",IF(INDEX('Prospect Tracker'!$W$5:$W$554,$K510)="","",INDEX('Prospect Tracker'!$W$5:$W$554,$K510)))</f>
        <v/>
      </c>
      <c r="B510" s="11" t="str">
        <f aca="false">IF($K510="","",IF(INDEX('Prospect Tracker'!$A$5:$A$554,$K510)="","",INDEX('Prospect Tracker'!$A$5:$A$554,$K510)))</f>
        <v/>
      </c>
      <c r="C510" s="11" t="str">
        <f aca="false">IF($K510="","",IF(INDEX('Prospect Tracker'!$B$5:$B$554,$K510)="","",INDEX('Prospect Tracker'!$B$5:$B$554,$K510)))</f>
        <v/>
      </c>
      <c r="D510" s="11" t="str">
        <f aca="false">IF($K510="","",IF(INDEX('Prospect Tracker'!$M$5:$M$554,$K510)="","",INDEX('Prospect Tracker'!$M$5:$M$554,$K510)))</f>
        <v/>
      </c>
      <c r="E510" s="11" t="str">
        <f aca="false">IF($K510="","",IF(INDEX('Prospect Tracker'!$R$5:$R$554,$K510)="","",INDEX('Prospect Tracker'!$R$5:$R$554,$K510)))</f>
        <v/>
      </c>
      <c r="F510" s="11" t="str">
        <f aca="false">IF($K510="","",IF(INDEX('Prospect Tracker'!$J$5:$J$554,$K510)="","",INDEX('Prospect Tracker'!$J$5:$J$554,$K510)))</f>
        <v/>
      </c>
      <c r="G510" s="11" t="str">
        <f aca="false">IF($K510="","",IF(INDEX('Prospect Tracker'!$H$5:$H$554,$K510)="","",INDEX('Prospect Tracker'!$H$5:$H$554,$K510)))</f>
        <v/>
      </c>
      <c r="H510" s="12" t="str">
        <f aca="false">IF($K510="","",IF(INDEX('Prospect Tracker'!$K$5:$K$554,$K510)="","",INDEX('Prospect Tracker'!$K$5:$K$554,$K510)))</f>
        <v/>
      </c>
      <c r="I510" s="11" t="str">
        <f aca="false">IF($K510="","",IF(INDEX('Prospect Tracker'!$T$5:$T$554,$K510)="","",INDEX('Prospect Tracker'!$T$5:$T$554,$K510)))</f>
        <v/>
      </c>
      <c r="J510" s="11" t="str">
        <f aca="false">IF($K510="","",IF(INDEX('Prospect Tracker'!$L$5:$L$554,$K510)="","",INDEX('Prospect Tracker'!$L$5:$L$554,$K510)))</f>
        <v/>
      </c>
      <c r="K510" s="1" t="n">
        <f aca="false">IFERROR(MATCH(SMALL('Prospect Tracker'!$X$5:$X$554,ROW()-4),'Prospect Tracker'!$X$5:$X$554,0),"")</f>
        <v>506</v>
      </c>
    </row>
    <row r="511" customFormat="false" ht="15" hidden="false" customHeight="true" outlineLevel="0" collapsed="false">
      <c r="A511" s="6" t="str">
        <f aca="false">IF($K511="","",IF(INDEX('Prospect Tracker'!$W$5:$W$554,$K511)="","",INDEX('Prospect Tracker'!$W$5:$W$554,$K511)))</f>
        <v/>
      </c>
      <c r="B511" s="6" t="str">
        <f aca="false">IF($K511="","",IF(INDEX('Prospect Tracker'!$A$5:$A$554,$K511)="","",INDEX('Prospect Tracker'!$A$5:$A$554,$K511)))</f>
        <v/>
      </c>
      <c r="C511" s="6" t="str">
        <f aca="false">IF($K511="","",IF(INDEX('Prospect Tracker'!$B$5:$B$554,$K511)="","",INDEX('Prospect Tracker'!$B$5:$B$554,$K511)))</f>
        <v/>
      </c>
      <c r="D511" s="6" t="str">
        <f aca="false">IF($K511="","",IF(INDEX('Prospect Tracker'!$M$5:$M$554,$K511)="","",INDEX('Prospect Tracker'!$M$5:$M$554,$K511)))</f>
        <v/>
      </c>
      <c r="E511" s="6" t="str">
        <f aca="false">IF($K511="","",IF(INDEX('Prospect Tracker'!$R$5:$R$554,$K511)="","",INDEX('Prospect Tracker'!$R$5:$R$554,$K511)))</f>
        <v/>
      </c>
      <c r="F511" s="6" t="str">
        <f aca="false">IF($K511="","",IF(INDEX('Prospect Tracker'!$J$5:$J$554,$K511)="","",INDEX('Prospect Tracker'!$J$5:$J$554,$K511)))</f>
        <v/>
      </c>
      <c r="G511" s="6" t="str">
        <f aca="false">IF($K511="","",IF(INDEX('Prospect Tracker'!$H$5:$H$554,$K511)="","",INDEX('Prospect Tracker'!$H$5:$H$554,$K511)))</f>
        <v/>
      </c>
      <c r="H511" s="7" t="str">
        <f aca="false">IF($K511="","",IF(INDEX('Prospect Tracker'!$K$5:$K$554,$K511)="","",INDEX('Prospect Tracker'!$K$5:$K$554,$K511)))</f>
        <v/>
      </c>
      <c r="I511" s="6" t="str">
        <f aca="false">IF($K511="","",IF(INDEX('Prospect Tracker'!$T$5:$T$554,$K511)="","",INDEX('Prospect Tracker'!$T$5:$T$554,$K511)))</f>
        <v/>
      </c>
      <c r="J511" s="6" t="str">
        <f aca="false">IF($K511="","",IF(INDEX('Prospect Tracker'!$L$5:$L$554,$K511)="","",INDEX('Prospect Tracker'!$L$5:$L$554,$K511)))</f>
        <v/>
      </c>
      <c r="K511" s="1" t="n">
        <f aca="false">IFERROR(MATCH(SMALL('Prospect Tracker'!$X$5:$X$554,ROW()-4),'Prospect Tracker'!$X$5:$X$554,0),"")</f>
        <v>507</v>
      </c>
    </row>
    <row r="512" customFormat="false" ht="15" hidden="false" customHeight="true" outlineLevel="0" collapsed="false">
      <c r="A512" s="11" t="str">
        <f aca="false">IF($K512="","",IF(INDEX('Prospect Tracker'!$W$5:$W$554,$K512)="","",INDEX('Prospect Tracker'!$W$5:$W$554,$K512)))</f>
        <v/>
      </c>
      <c r="B512" s="11" t="str">
        <f aca="false">IF($K512="","",IF(INDEX('Prospect Tracker'!$A$5:$A$554,$K512)="","",INDEX('Prospect Tracker'!$A$5:$A$554,$K512)))</f>
        <v/>
      </c>
      <c r="C512" s="11" t="str">
        <f aca="false">IF($K512="","",IF(INDEX('Prospect Tracker'!$B$5:$B$554,$K512)="","",INDEX('Prospect Tracker'!$B$5:$B$554,$K512)))</f>
        <v/>
      </c>
      <c r="D512" s="11" t="str">
        <f aca="false">IF($K512="","",IF(INDEX('Prospect Tracker'!$M$5:$M$554,$K512)="","",INDEX('Prospect Tracker'!$M$5:$M$554,$K512)))</f>
        <v/>
      </c>
      <c r="E512" s="11" t="str">
        <f aca="false">IF($K512="","",IF(INDEX('Prospect Tracker'!$R$5:$R$554,$K512)="","",INDEX('Prospect Tracker'!$R$5:$R$554,$K512)))</f>
        <v/>
      </c>
      <c r="F512" s="11" t="str">
        <f aca="false">IF($K512="","",IF(INDEX('Prospect Tracker'!$J$5:$J$554,$K512)="","",INDEX('Prospect Tracker'!$J$5:$J$554,$K512)))</f>
        <v/>
      </c>
      <c r="G512" s="11" t="str">
        <f aca="false">IF($K512="","",IF(INDEX('Prospect Tracker'!$H$5:$H$554,$K512)="","",INDEX('Prospect Tracker'!$H$5:$H$554,$K512)))</f>
        <v/>
      </c>
      <c r="H512" s="12" t="str">
        <f aca="false">IF($K512="","",IF(INDEX('Prospect Tracker'!$K$5:$K$554,$K512)="","",INDEX('Prospect Tracker'!$K$5:$K$554,$K512)))</f>
        <v/>
      </c>
      <c r="I512" s="11" t="str">
        <f aca="false">IF($K512="","",IF(INDEX('Prospect Tracker'!$T$5:$T$554,$K512)="","",INDEX('Prospect Tracker'!$T$5:$T$554,$K512)))</f>
        <v/>
      </c>
      <c r="J512" s="11" t="str">
        <f aca="false">IF($K512="","",IF(INDEX('Prospect Tracker'!$L$5:$L$554,$K512)="","",INDEX('Prospect Tracker'!$L$5:$L$554,$K512)))</f>
        <v/>
      </c>
      <c r="K512" s="1" t="n">
        <f aca="false">IFERROR(MATCH(SMALL('Prospect Tracker'!$X$5:$X$554,ROW()-4),'Prospect Tracker'!$X$5:$X$554,0),"")</f>
        <v>508</v>
      </c>
    </row>
    <row r="513" customFormat="false" ht="15" hidden="false" customHeight="true" outlineLevel="0" collapsed="false">
      <c r="A513" s="6" t="str">
        <f aca="false">IF($K513="","",IF(INDEX('Prospect Tracker'!$W$5:$W$554,$K513)="","",INDEX('Prospect Tracker'!$W$5:$W$554,$K513)))</f>
        <v/>
      </c>
      <c r="B513" s="6" t="str">
        <f aca="false">IF($K513="","",IF(INDEX('Prospect Tracker'!$A$5:$A$554,$K513)="","",INDEX('Prospect Tracker'!$A$5:$A$554,$K513)))</f>
        <v/>
      </c>
      <c r="C513" s="6" t="str">
        <f aca="false">IF($K513="","",IF(INDEX('Prospect Tracker'!$B$5:$B$554,$K513)="","",INDEX('Prospect Tracker'!$B$5:$B$554,$K513)))</f>
        <v/>
      </c>
      <c r="D513" s="6" t="str">
        <f aca="false">IF($K513="","",IF(INDEX('Prospect Tracker'!$M$5:$M$554,$K513)="","",INDEX('Prospect Tracker'!$M$5:$M$554,$K513)))</f>
        <v/>
      </c>
      <c r="E513" s="6" t="str">
        <f aca="false">IF($K513="","",IF(INDEX('Prospect Tracker'!$R$5:$R$554,$K513)="","",INDEX('Prospect Tracker'!$R$5:$R$554,$K513)))</f>
        <v/>
      </c>
      <c r="F513" s="6" t="str">
        <f aca="false">IF($K513="","",IF(INDEX('Prospect Tracker'!$J$5:$J$554,$K513)="","",INDEX('Prospect Tracker'!$J$5:$J$554,$K513)))</f>
        <v/>
      </c>
      <c r="G513" s="6" t="str">
        <f aca="false">IF($K513="","",IF(INDEX('Prospect Tracker'!$H$5:$H$554,$K513)="","",INDEX('Prospect Tracker'!$H$5:$H$554,$K513)))</f>
        <v/>
      </c>
      <c r="H513" s="7" t="str">
        <f aca="false">IF($K513="","",IF(INDEX('Prospect Tracker'!$K$5:$K$554,$K513)="","",INDEX('Prospect Tracker'!$K$5:$K$554,$K513)))</f>
        <v/>
      </c>
      <c r="I513" s="6" t="str">
        <f aca="false">IF($K513="","",IF(INDEX('Prospect Tracker'!$T$5:$T$554,$K513)="","",INDEX('Prospect Tracker'!$T$5:$T$554,$K513)))</f>
        <v/>
      </c>
      <c r="J513" s="6" t="str">
        <f aca="false">IF($K513="","",IF(INDEX('Prospect Tracker'!$L$5:$L$554,$K513)="","",INDEX('Prospect Tracker'!$L$5:$L$554,$K513)))</f>
        <v/>
      </c>
      <c r="K513" s="1" t="n">
        <f aca="false">IFERROR(MATCH(SMALL('Prospect Tracker'!$X$5:$X$554,ROW()-4),'Prospect Tracker'!$X$5:$X$554,0),"")</f>
        <v>509</v>
      </c>
    </row>
    <row r="514" customFormat="false" ht="15" hidden="false" customHeight="true" outlineLevel="0" collapsed="false">
      <c r="A514" s="11" t="str">
        <f aca="false">IF($K514="","",IF(INDEX('Prospect Tracker'!$W$5:$W$554,$K514)="","",INDEX('Prospect Tracker'!$W$5:$W$554,$K514)))</f>
        <v/>
      </c>
      <c r="B514" s="11" t="str">
        <f aca="false">IF($K514="","",IF(INDEX('Prospect Tracker'!$A$5:$A$554,$K514)="","",INDEX('Prospect Tracker'!$A$5:$A$554,$K514)))</f>
        <v/>
      </c>
      <c r="C514" s="11" t="str">
        <f aca="false">IF($K514="","",IF(INDEX('Prospect Tracker'!$B$5:$B$554,$K514)="","",INDEX('Prospect Tracker'!$B$5:$B$554,$K514)))</f>
        <v/>
      </c>
      <c r="D514" s="11" t="str">
        <f aca="false">IF($K514="","",IF(INDEX('Prospect Tracker'!$M$5:$M$554,$K514)="","",INDEX('Prospect Tracker'!$M$5:$M$554,$K514)))</f>
        <v/>
      </c>
      <c r="E514" s="11" t="str">
        <f aca="false">IF($K514="","",IF(INDEX('Prospect Tracker'!$R$5:$R$554,$K514)="","",INDEX('Prospect Tracker'!$R$5:$R$554,$K514)))</f>
        <v/>
      </c>
      <c r="F514" s="11" t="str">
        <f aca="false">IF($K514="","",IF(INDEX('Prospect Tracker'!$J$5:$J$554,$K514)="","",INDEX('Prospect Tracker'!$J$5:$J$554,$K514)))</f>
        <v/>
      </c>
      <c r="G514" s="11" t="str">
        <f aca="false">IF($K514="","",IF(INDEX('Prospect Tracker'!$H$5:$H$554,$K514)="","",INDEX('Prospect Tracker'!$H$5:$H$554,$K514)))</f>
        <v/>
      </c>
      <c r="H514" s="12" t="str">
        <f aca="false">IF($K514="","",IF(INDEX('Prospect Tracker'!$K$5:$K$554,$K514)="","",INDEX('Prospect Tracker'!$K$5:$K$554,$K514)))</f>
        <v/>
      </c>
      <c r="I514" s="11" t="str">
        <f aca="false">IF($K514="","",IF(INDEX('Prospect Tracker'!$T$5:$T$554,$K514)="","",INDEX('Prospect Tracker'!$T$5:$T$554,$K514)))</f>
        <v/>
      </c>
      <c r="J514" s="11" t="str">
        <f aca="false">IF($K514="","",IF(INDEX('Prospect Tracker'!$L$5:$L$554,$K514)="","",INDEX('Prospect Tracker'!$L$5:$L$554,$K514)))</f>
        <v/>
      </c>
      <c r="K514" s="1" t="n">
        <f aca="false">IFERROR(MATCH(SMALL('Prospect Tracker'!$X$5:$X$554,ROW()-4),'Prospect Tracker'!$X$5:$X$554,0),"")</f>
        <v>510</v>
      </c>
    </row>
    <row r="515" customFormat="false" ht="15" hidden="false" customHeight="true" outlineLevel="0" collapsed="false">
      <c r="A515" s="6" t="str">
        <f aca="false">IF($K515="","",IF(INDEX('Prospect Tracker'!$W$5:$W$554,$K515)="","",INDEX('Prospect Tracker'!$W$5:$W$554,$K515)))</f>
        <v/>
      </c>
      <c r="B515" s="6" t="str">
        <f aca="false">IF($K515="","",IF(INDEX('Prospect Tracker'!$A$5:$A$554,$K515)="","",INDEX('Prospect Tracker'!$A$5:$A$554,$K515)))</f>
        <v/>
      </c>
      <c r="C515" s="6" t="str">
        <f aca="false">IF($K515="","",IF(INDEX('Prospect Tracker'!$B$5:$B$554,$K515)="","",INDEX('Prospect Tracker'!$B$5:$B$554,$K515)))</f>
        <v/>
      </c>
      <c r="D515" s="6" t="str">
        <f aca="false">IF($K515="","",IF(INDEX('Prospect Tracker'!$M$5:$M$554,$K515)="","",INDEX('Prospect Tracker'!$M$5:$M$554,$K515)))</f>
        <v/>
      </c>
      <c r="E515" s="6" t="str">
        <f aca="false">IF($K515="","",IF(INDEX('Prospect Tracker'!$R$5:$R$554,$K515)="","",INDEX('Prospect Tracker'!$R$5:$R$554,$K515)))</f>
        <v/>
      </c>
      <c r="F515" s="6" t="str">
        <f aca="false">IF($K515="","",IF(INDEX('Prospect Tracker'!$J$5:$J$554,$K515)="","",INDEX('Prospect Tracker'!$J$5:$J$554,$K515)))</f>
        <v/>
      </c>
      <c r="G515" s="6" t="str">
        <f aca="false">IF($K515="","",IF(INDEX('Prospect Tracker'!$H$5:$H$554,$K515)="","",INDEX('Prospect Tracker'!$H$5:$H$554,$K515)))</f>
        <v/>
      </c>
      <c r="H515" s="7" t="str">
        <f aca="false">IF($K515="","",IF(INDEX('Prospect Tracker'!$K$5:$K$554,$K515)="","",INDEX('Prospect Tracker'!$K$5:$K$554,$K515)))</f>
        <v/>
      </c>
      <c r="I515" s="6" t="str">
        <f aca="false">IF($K515="","",IF(INDEX('Prospect Tracker'!$T$5:$T$554,$K515)="","",INDEX('Prospect Tracker'!$T$5:$T$554,$K515)))</f>
        <v/>
      </c>
      <c r="J515" s="6" t="str">
        <f aca="false">IF($K515="","",IF(INDEX('Prospect Tracker'!$L$5:$L$554,$K515)="","",INDEX('Prospect Tracker'!$L$5:$L$554,$K515)))</f>
        <v/>
      </c>
      <c r="K515" s="1" t="n">
        <f aca="false">IFERROR(MATCH(SMALL('Prospect Tracker'!$X$5:$X$554,ROW()-4),'Prospect Tracker'!$X$5:$X$554,0),"")</f>
        <v>511</v>
      </c>
    </row>
    <row r="516" customFormat="false" ht="15" hidden="false" customHeight="true" outlineLevel="0" collapsed="false">
      <c r="A516" s="11" t="str">
        <f aca="false">IF($K516="","",IF(INDEX('Prospect Tracker'!$W$5:$W$554,$K516)="","",INDEX('Prospect Tracker'!$W$5:$W$554,$K516)))</f>
        <v/>
      </c>
      <c r="B516" s="11" t="str">
        <f aca="false">IF($K516="","",IF(INDEX('Prospect Tracker'!$A$5:$A$554,$K516)="","",INDEX('Prospect Tracker'!$A$5:$A$554,$K516)))</f>
        <v/>
      </c>
      <c r="C516" s="11" t="str">
        <f aca="false">IF($K516="","",IF(INDEX('Prospect Tracker'!$B$5:$B$554,$K516)="","",INDEX('Prospect Tracker'!$B$5:$B$554,$K516)))</f>
        <v/>
      </c>
      <c r="D516" s="11" t="str">
        <f aca="false">IF($K516="","",IF(INDEX('Prospect Tracker'!$M$5:$M$554,$K516)="","",INDEX('Prospect Tracker'!$M$5:$M$554,$K516)))</f>
        <v/>
      </c>
      <c r="E516" s="11" t="str">
        <f aca="false">IF($K516="","",IF(INDEX('Prospect Tracker'!$R$5:$R$554,$K516)="","",INDEX('Prospect Tracker'!$R$5:$R$554,$K516)))</f>
        <v/>
      </c>
      <c r="F516" s="11" t="str">
        <f aca="false">IF($K516="","",IF(INDEX('Prospect Tracker'!$J$5:$J$554,$K516)="","",INDEX('Prospect Tracker'!$J$5:$J$554,$K516)))</f>
        <v/>
      </c>
      <c r="G516" s="11" t="str">
        <f aca="false">IF($K516="","",IF(INDEX('Prospect Tracker'!$H$5:$H$554,$K516)="","",INDEX('Prospect Tracker'!$H$5:$H$554,$K516)))</f>
        <v/>
      </c>
      <c r="H516" s="12" t="str">
        <f aca="false">IF($K516="","",IF(INDEX('Prospect Tracker'!$K$5:$K$554,$K516)="","",INDEX('Prospect Tracker'!$K$5:$K$554,$K516)))</f>
        <v/>
      </c>
      <c r="I516" s="11" t="str">
        <f aca="false">IF($K516="","",IF(INDEX('Prospect Tracker'!$T$5:$T$554,$K516)="","",INDEX('Prospect Tracker'!$T$5:$T$554,$K516)))</f>
        <v/>
      </c>
      <c r="J516" s="11" t="str">
        <f aca="false">IF($K516="","",IF(INDEX('Prospect Tracker'!$L$5:$L$554,$K516)="","",INDEX('Prospect Tracker'!$L$5:$L$554,$K516)))</f>
        <v/>
      </c>
      <c r="K516" s="1" t="n">
        <f aca="false">IFERROR(MATCH(SMALL('Prospect Tracker'!$X$5:$X$554,ROW()-4),'Prospect Tracker'!$X$5:$X$554,0),"")</f>
        <v>512</v>
      </c>
    </row>
    <row r="517" customFormat="false" ht="15" hidden="false" customHeight="true" outlineLevel="0" collapsed="false">
      <c r="A517" s="6" t="str">
        <f aca="false">IF($K517="","",IF(INDEX('Prospect Tracker'!$W$5:$W$554,$K517)="","",INDEX('Prospect Tracker'!$W$5:$W$554,$K517)))</f>
        <v/>
      </c>
      <c r="B517" s="6" t="str">
        <f aca="false">IF($K517="","",IF(INDEX('Prospect Tracker'!$A$5:$A$554,$K517)="","",INDEX('Prospect Tracker'!$A$5:$A$554,$K517)))</f>
        <v/>
      </c>
      <c r="C517" s="6" t="str">
        <f aca="false">IF($K517="","",IF(INDEX('Prospect Tracker'!$B$5:$B$554,$K517)="","",INDEX('Prospect Tracker'!$B$5:$B$554,$K517)))</f>
        <v/>
      </c>
      <c r="D517" s="6" t="str">
        <f aca="false">IF($K517="","",IF(INDEX('Prospect Tracker'!$M$5:$M$554,$K517)="","",INDEX('Prospect Tracker'!$M$5:$M$554,$K517)))</f>
        <v/>
      </c>
      <c r="E517" s="6" t="str">
        <f aca="false">IF($K517="","",IF(INDEX('Prospect Tracker'!$R$5:$R$554,$K517)="","",INDEX('Prospect Tracker'!$R$5:$R$554,$K517)))</f>
        <v/>
      </c>
      <c r="F517" s="6" t="str">
        <f aca="false">IF($K517="","",IF(INDEX('Prospect Tracker'!$J$5:$J$554,$K517)="","",INDEX('Prospect Tracker'!$J$5:$J$554,$K517)))</f>
        <v/>
      </c>
      <c r="G517" s="6" t="str">
        <f aca="false">IF($K517="","",IF(INDEX('Prospect Tracker'!$H$5:$H$554,$K517)="","",INDEX('Prospect Tracker'!$H$5:$H$554,$K517)))</f>
        <v/>
      </c>
      <c r="H517" s="7" t="str">
        <f aca="false">IF($K517="","",IF(INDEX('Prospect Tracker'!$K$5:$K$554,$K517)="","",INDEX('Prospect Tracker'!$K$5:$K$554,$K517)))</f>
        <v/>
      </c>
      <c r="I517" s="6" t="str">
        <f aca="false">IF($K517="","",IF(INDEX('Prospect Tracker'!$T$5:$T$554,$K517)="","",INDEX('Prospect Tracker'!$T$5:$T$554,$K517)))</f>
        <v/>
      </c>
      <c r="J517" s="6" t="str">
        <f aca="false">IF($K517="","",IF(INDEX('Prospect Tracker'!$L$5:$L$554,$K517)="","",INDEX('Prospect Tracker'!$L$5:$L$554,$K517)))</f>
        <v/>
      </c>
      <c r="K517" s="1" t="n">
        <f aca="false">IFERROR(MATCH(SMALL('Prospect Tracker'!$X$5:$X$554,ROW()-4),'Prospect Tracker'!$X$5:$X$554,0),"")</f>
        <v>513</v>
      </c>
    </row>
    <row r="518" customFormat="false" ht="15" hidden="false" customHeight="true" outlineLevel="0" collapsed="false">
      <c r="A518" s="11" t="str">
        <f aca="false">IF($K518="","",IF(INDEX('Prospect Tracker'!$W$5:$W$554,$K518)="","",INDEX('Prospect Tracker'!$W$5:$W$554,$K518)))</f>
        <v/>
      </c>
      <c r="B518" s="11" t="str">
        <f aca="false">IF($K518="","",IF(INDEX('Prospect Tracker'!$A$5:$A$554,$K518)="","",INDEX('Prospect Tracker'!$A$5:$A$554,$K518)))</f>
        <v/>
      </c>
      <c r="C518" s="11" t="str">
        <f aca="false">IF($K518="","",IF(INDEX('Prospect Tracker'!$B$5:$B$554,$K518)="","",INDEX('Prospect Tracker'!$B$5:$B$554,$K518)))</f>
        <v/>
      </c>
      <c r="D518" s="11" t="str">
        <f aca="false">IF($K518="","",IF(INDEX('Prospect Tracker'!$M$5:$M$554,$K518)="","",INDEX('Prospect Tracker'!$M$5:$M$554,$K518)))</f>
        <v/>
      </c>
      <c r="E518" s="11" t="str">
        <f aca="false">IF($K518="","",IF(INDEX('Prospect Tracker'!$R$5:$R$554,$K518)="","",INDEX('Prospect Tracker'!$R$5:$R$554,$K518)))</f>
        <v/>
      </c>
      <c r="F518" s="11" t="str">
        <f aca="false">IF($K518="","",IF(INDEX('Prospect Tracker'!$J$5:$J$554,$K518)="","",INDEX('Prospect Tracker'!$J$5:$J$554,$K518)))</f>
        <v/>
      </c>
      <c r="G518" s="11" t="str">
        <f aca="false">IF($K518="","",IF(INDEX('Prospect Tracker'!$H$5:$H$554,$K518)="","",INDEX('Prospect Tracker'!$H$5:$H$554,$K518)))</f>
        <v/>
      </c>
      <c r="H518" s="12" t="str">
        <f aca="false">IF($K518="","",IF(INDEX('Prospect Tracker'!$K$5:$K$554,$K518)="","",INDEX('Prospect Tracker'!$K$5:$K$554,$K518)))</f>
        <v/>
      </c>
      <c r="I518" s="11" t="str">
        <f aca="false">IF($K518="","",IF(INDEX('Prospect Tracker'!$T$5:$T$554,$K518)="","",INDEX('Prospect Tracker'!$T$5:$T$554,$K518)))</f>
        <v/>
      </c>
      <c r="J518" s="11" t="str">
        <f aca="false">IF($K518="","",IF(INDEX('Prospect Tracker'!$L$5:$L$554,$K518)="","",INDEX('Prospect Tracker'!$L$5:$L$554,$K518)))</f>
        <v/>
      </c>
      <c r="K518" s="1" t="n">
        <f aca="false">IFERROR(MATCH(SMALL('Prospect Tracker'!$X$5:$X$554,ROW()-4),'Prospect Tracker'!$X$5:$X$554,0),"")</f>
        <v>514</v>
      </c>
    </row>
    <row r="519" customFormat="false" ht="15" hidden="false" customHeight="true" outlineLevel="0" collapsed="false">
      <c r="A519" s="6" t="str">
        <f aca="false">IF($K519="","",IF(INDEX('Prospect Tracker'!$W$5:$W$554,$K519)="","",INDEX('Prospect Tracker'!$W$5:$W$554,$K519)))</f>
        <v/>
      </c>
      <c r="B519" s="6" t="str">
        <f aca="false">IF($K519="","",IF(INDEX('Prospect Tracker'!$A$5:$A$554,$K519)="","",INDEX('Prospect Tracker'!$A$5:$A$554,$K519)))</f>
        <v/>
      </c>
      <c r="C519" s="6" t="str">
        <f aca="false">IF($K519="","",IF(INDEX('Prospect Tracker'!$B$5:$B$554,$K519)="","",INDEX('Prospect Tracker'!$B$5:$B$554,$K519)))</f>
        <v/>
      </c>
      <c r="D519" s="6" t="str">
        <f aca="false">IF($K519="","",IF(INDEX('Prospect Tracker'!$M$5:$M$554,$K519)="","",INDEX('Prospect Tracker'!$M$5:$M$554,$K519)))</f>
        <v/>
      </c>
      <c r="E519" s="6" t="str">
        <f aca="false">IF($K519="","",IF(INDEX('Prospect Tracker'!$R$5:$R$554,$K519)="","",INDEX('Prospect Tracker'!$R$5:$R$554,$K519)))</f>
        <v/>
      </c>
      <c r="F519" s="6" t="str">
        <f aca="false">IF($K519="","",IF(INDEX('Prospect Tracker'!$J$5:$J$554,$K519)="","",INDEX('Prospect Tracker'!$J$5:$J$554,$K519)))</f>
        <v/>
      </c>
      <c r="G519" s="6" t="str">
        <f aca="false">IF($K519="","",IF(INDEX('Prospect Tracker'!$H$5:$H$554,$K519)="","",INDEX('Prospect Tracker'!$H$5:$H$554,$K519)))</f>
        <v/>
      </c>
      <c r="H519" s="7" t="str">
        <f aca="false">IF($K519="","",IF(INDEX('Prospect Tracker'!$K$5:$K$554,$K519)="","",INDEX('Prospect Tracker'!$K$5:$K$554,$K519)))</f>
        <v/>
      </c>
      <c r="I519" s="6" t="str">
        <f aca="false">IF($K519="","",IF(INDEX('Prospect Tracker'!$T$5:$T$554,$K519)="","",INDEX('Prospect Tracker'!$T$5:$T$554,$K519)))</f>
        <v/>
      </c>
      <c r="J519" s="6" t="str">
        <f aca="false">IF($K519="","",IF(INDEX('Prospect Tracker'!$L$5:$L$554,$K519)="","",INDEX('Prospect Tracker'!$L$5:$L$554,$K519)))</f>
        <v/>
      </c>
      <c r="K519" s="1" t="n">
        <f aca="false">IFERROR(MATCH(SMALL('Prospect Tracker'!$X$5:$X$554,ROW()-4),'Prospect Tracker'!$X$5:$X$554,0),"")</f>
        <v>515</v>
      </c>
    </row>
    <row r="520" customFormat="false" ht="15" hidden="false" customHeight="true" outlineLevel="0" collapsed="false">
      <c r="A520" s="11" t="str">
        <f aca="false">IF($K520="","",IF(INDEX('Prospect Tracker'!$W$5:$W$554,$K520)="","",INDEX('Prospect Tracker'!$W$5:$W$554,$K520)))</f>
        <v/>
      </c>
      <c r="B520" s="11" t="str">
        <f aca="false">IF($K520="","",IF(INDEX('Prospect Tracker'!$A$5:$A$554,$K520)="","",INDEX('Prospect Tracker'!$A$5:$A$554,$K520)))</f>
        <v/>
      </c>
      <c r="C520" s="11" t="str">
        <f aca="false">IF($K520="","",IF(INDEX('Prospect Tracker'!$B$5:$B$554,$K520)="","",INDEX('Prospect Tracker'!$B$5:$B$554,$K520)))</f>
        <v/>
      </c>
      <c r="D520" s="11" t="str">
        <f aca="false">IF($K520="","",IF(INDEX('Prospect Tracker'!$M$5:$M$554,$K520)="","",INDEX('Prospect Tracker'!$M$5:$M$554,$K520)))</f>
        <v/>
      </c>
      <c r="E520" s="11" t="str">
        <f aca="false">IF($K520="","",IF(INDEX('Prospect Tracker'!$R$5:$R$554,$K520)="","",INDEX('Prospect Tracker'!$R$5:$R$554,$K520)))</f>
        <v/>
      </c>
      <c r="F520" s="11" t="str">
        <f aca="false">IF($K520="","",IF(INDEX('Prospect Tracker'!$J$5:$J$554,$K520)="","",INDEX('Prospect Tracker'!$J$5:$J$554,$K520)))</f>
        <v/>
      </c>
      <c r="G520" s="11" t="str">
        <f aca="false">IF($K520="","",IF(INDEX('Prospect Tracker'!$H$5:$H$554,$K520)="","",INDEX('Prospect Tracker'!$H$5:$H$554,$K520)))</f>
        <v/>
      </c>
      <c r="H520" s="12" t="str">
        <f aca="false">IF($K520="","",IF(INDEX('Prospect Tracker'!$K$5:$K$554,$K520)="","",INDEX('Prospect Tracker'!$K$5:$K$554,$K520)))</f>
        <v/>
      </c>
      <c r="I520" s="11" t="str">
        <f aca="false">IF($K520="","",IF(INDEX('Prospect Tracker'!$T$5:$T$554,$K520)="","",INDEX('Prospect Tracker'!$T$5:$T$554,$K520)))</f>
        <v/>
      </c>
      <c r="J520" s="11" t="str">
        <f aca="false">IF($K520="","",IF(INDEX('Prospect Tracker'!$L$5:$L$554,$K520)="","",INDEX('Prospect Tracker'!$L$5:$L$554,$K520)))</f>
        <v/>
      </c>
      <c r="K520" s="1" t="n">
        <f aca="false">IFERROR(MATCH(SMALL('Prospect Tracker'!$X$5:$X$554,ROW()-4),'Prospect Tracker'!$X$5:$X$554,0),"")</f>
        <v>516</v>
      </c>
    </row>
    <row r="521" customFormat="false" ht="15" hidden="false" customHeight="true" outlineLevel="0" collapsed="false">
      <c r="A521" s="6" t="str">
        <f aca="false">IF($K521="","",IF(INDEX('Prospect Tracker'!$W$5:$W$554,$K521)="","",INDEX('Prospect Tracker'!$W$5:$W$554,$K521)))</f>
        <v/>
      </c>
      <c r="B521" s="6" t="str">
        <f aca="false">IF($K521="","",IF(INDEX('Prospect Tracker'!$A$5:$A$554,$K521)="","",INDEX('Prospect Tracker'!$A$5:$A$554,$K521)))</f>
        <v/>
      </c>
      <c r="C521" s="6" t="str">
        <f aca="false">IF($K521="","",IF(INDEX('Prospect Tracker'!$B$5:$B$554,$K521)="","",INDEX('Prospect Tracker'!$B$5:$B$554,$K521)))</f>
        <v/>
      </c>
      <c r="D521" s="6" t="str">
        <f aca="false">IF($K521="","",IF(INDEX('Prospect Tracker'!$M$5:$M$554,$K521)="","",INDEX('Prospect Tracker'!$M$5:$M$554,$K521)))</f>
        <v/>
      </c>
      <c r="E521" s="6" t="str">
        <f aca="false">IF($K521="","",IF(INDEX('Prospect Tracker'!$R$5:$R$554,$K521)="","",INDEX('Prospect Tracker'!$R$5:$R$554,$K521)))</f>
        <v/>
      </c>
      <c r="F521" s="6" t="str">
        <f aca="false">IF($K521="","",IF(INDEX('Prospect Tracker'!$J$5:$J$554,$K521)="","",INDEX('Prospect Tracker'!$J$5:$J$554,$K521)))</f>
        <v/>
      </c>
      <c r="G521" s="6" t="str">
        <f aca="false">IF($K521="","",IF(INDEX('Prospect Tracker'!$H$5:$H$554,$K521)="","",INDEX('Prospect Tracker'!$H$5:$H$554,$K521)))</f>
        <v/>
      </c>
      <c r="H521" s="7" t="str">
        <f aca="false">IF($K521="","",IF(INDEX('Prospect Tracker'!$K$5:$K$554,$K521)="","",INDEX('Prospect Tracker'!$K$5:$K$554,$K521)))</f>
        <v/>
      </c>
      <c r="I521" s="6" t="str">
        <f aca="false">IF($K521="","",IF(INDEX('Prospect Tracker'!$T$5:$T$554,$K521)="","",INDEX('Prospect Tracker'!$T$5:$T$554,$K521)))</f>
        <v/>
      </c>
      <c r="J521" s="6" t="str">
        <f aca="false">IF($K521="","",IF(INDEX('Prospect Tracker'!$L$5:$L$554,$K521)="","",INDEX('Prospect Tracker'!$L$5:$L$554,$K521)))</f>
        <v/>
      </c>
      <c r="K521" s="1" t="n">
        <f aca="false">IFERROR(MATCH(SMALL('Prospect Tracker'!$X$5:$X$554,ROW()-4),'Prospect Tracker'!$X$5:$X$554,0),"")</f>
        <v>517</v>
      </c>
    </row>
    <row r="522" customFormat="false" ht="15" hidden="false" customHeight="true" outlineLevel="0" collapsed="false">
      <c r="A522" s="11" t="str">
        <f aca="false">IF($K522="","",IF(INDEX('Prospect Tracker'!$W$5:$W$554,$K522)="","",INDEX('Prospect Tracker'!$W$5:$W$554,$K522)))</f>
        <v/>
      </c>
      <c r="B522" s="11" t="str">
        <f aca="false">IF($K522="","",IF(INDEX('Prospect Tracker'!$A$5:$A$554,$K522)="","",INDEX('Prospect Tracker'!$A$5:$A$554,$K522)))</f>
        <v/>
      </c>
      <c r="C522" s="11" t="str">
        <f aca="false">IF($K522="","",IF(INDEX('Prospect Tracker'!$B$5:$B$554,$K522)="","",INDEX('Prospect Tracker'!$B$5:$B$554,$K522)))</f>
        <v/>
      </c>
      <c r="D522" s="11" t="str">
        <f aca="false">IF($K522="","",IF(INDEX('Prospect Tracker'!$M$5:$M$554,$K522)="","",INDEX('Prospect Tracker'!$M$5:$M$554,$K522)))</f>
        <v/>
      </c>
      <c r="E522" s="11" t="str">
        <f aca="false">IF($K522="","",IF(INDEX('Prospect Tracker'!$R$5:$R$554,$K522)="","",INDEX('Prospect Tracker'!$R$5:$R$554,$K522)))</f>
        <v/>
      </c>
      <c r="F522" s="11" t="str">
        <f aca="false">IF($K522="","",IF(INDEX('Prospect Tracker'!$J$5:$J$554,$K522)="","",INDEX('Prospect Tracker'!$J$5:$J$554,$K522)))</f>
        <v/>
      </c>
      <c r="G522" s="11" t="str">
        <f aca="false">IF($K522="","",IF(INDEX('Prospect Tracker'!$H$5:$H$554,$K522)="","",INDEX('Prospect Tracker'!$H$5:$H$554,$K522)))</f>
        <v/>
      </c>
      <c r="H522" s="12" t="str">
        <f aca="false">IF($K522="","",IF(INDEX('Prospect Tracker'!$K$5:$K$554,$K522)="","",INDEX('Prospect Tracker'!$K$5:$K$554,$K522)))</f>
        <v/>
      </c>
      <c r="I522" s="11" t="str">
        <f aca="false">IF($K522="","",IF(INDEX('Prospect Tracker'!$T$5:$T$554,$K522)="","",INDEX('Prospect Tracker'!$T$5:$T$554,$K522)))</f>
        <v/>
      </c>
      <c r="J522" s="11" t="str">
        <f aca="false">IF($K522="","",IF(INDEX('Prospect Tracker'!$L$5:$L$554,$K522)="","",INDEX('Prospect Tracker'!$L$5:$L$554,$K522)))</f>
        <v/>
      </c>
      <c r="K522" s="1" t="n">
        <f aca="false">IFERROR(MATCH(SMALL('Prospect Tracker'!$X$5:$X$554,ROW()-4),'Prospect Tracker'!$X$5:$X$554,0),"")</f>
        <v>518</v>
      </c>
    </row>
    <row r="523" customFormat="false" ht="15" hidden="false" customHeight="true" outlineLevel="0" collapsed="false">
      <c r="A523" s="6" t="str">
        <f aca="false">IF($K523="","",IF(INDEX('Prospect Tracker'!$W$5:$W$554,$K523)="","",INDEX('Prospect Tracker'!$W$5:$W$554,$K523)))</f>
        <v/>
      </c>
      <c r="B523" s="6" t="str">
        <f aca="false">IF($K523="","",IF(INDEX('Prospect Tracker'!$A$5:$A$554,$K523)="","",INDEX('Prospect Tracker'!$A$5:$A$554,$K523)))</f>
        <v/>
      </c>
      <c r="C523" s="6" t="str">
        <f aca="false">IF($K523="","",IF(INDEX('Prospect Tracker'!$B$5:$B$554,$K523)="","",INDEX('Prospect Tracker'!$B$5:$B$554,$K523)))</f>
        <v/>
      </c>
      <c r="D523" s="6" t="str">
        <f aca="false">IF($K523="","",IF(INDEX('Prospect Tracker'!$M$5:$M$554,$K523)="","",INDEX('Prospect Tracker'!$M$5:$M$554,$K523)))</f>
        <v/>
      </c>
      <c r="E523" s="6" t="str">
        <f aca="false">IF($K523="","",IF(INDEX('Prospect Tracker'!$R$5:$R$554,$K523)="","",INDEX('Prospect Tracker'!$R$5:$R$554,$K523)))</f>
        <v/>
      </c>
      <c r="F523" s="6" t="str">
        <f aca="false">IF($K523="","",IF(INDEX('Prospect Tracker'!$J$5:$J$554,$K523)="","",INDEX('Prospect Tracker'!$J$5:$J$554,$K523)))</f>
        <v/>
      </c>
      <c r="G523" s="6" t="str">
        <f aca="false">IF($K523="","",IF(INDEX('Prospect Tracker'!$H$5:$H$554,$K523)="","",INDEX('Prospect Tracker'!$H$5:$H$554,$K523)))</f>
        <v/>
      </c>
      <c r="H523" s="7" t="str">
        <f aca="false">IF($K523="","",IF(INDEX('Prospect Tracker'!$K$5:$K$554,$K523)="","",INDEX('Prospect Tracker'!$K$5:$K$554,$K523)))</f>
        <v/>
      </c>
      <c r="I523" s="6" t="str">
        <f aca="false">IF($K523="","",IF(INDEX('Prospect Tracker'!$T$5:$T$554,$K523)="","",INDEX('Prospect Tracker'!$T$5:$T$554,$K523)))</f>
        <v/>
      </c>
      <c r="J523" s="6" t="str">
        <f aca="false">IF($K523="","",IF(INDEX('Prospect Tracker'!$L$5:$L$554,$K523)="","",INDEX('Prospect Tracker'!$L$5:$L$554,$K523)))</f>
        <v/>
      </c>
      <c r="K523" s="1" t="n">
        <f aca="false">IFERROR(MATCH(SMALL('Prospect Tracker'!$X$5:$X$554,ROW()-4),'Prospect Tracker'!$X$5:$X$554,0),"")</f>
        <v>519</v>
      </c>
    </row>
    <row r="524" customFormat="false" ht="15" hidden="false" customHeight="true" outlineLevel="0" collapsed="false">
      <c r="A524" s="11" t="str">
        <f aca="false">IF($K524="","",IF(INDEX('Prospect Tracker'!$W$5:$W$554,$K524)="","",INDEX('Prospect Tracker'!$W$5:$W$554,$K524)))</f>
        <v/>
      </c>
      <c r="B524" s="11" t="str">
        <f aca="false">IF($K524="","",IF(INDEX('Prospect Tracker'!$A$5:$A$554,$K524)="","",INDEX('Prospect Tracker'!$A$5:$A$554,$K524)))</f>
        <v/>
      </c>
      <c r="C524" s="11" t="str">
        <f aca="false">IF($K524="","",IF(INDEX('Prospect Tracker'!$B$5:$B$554,$K524)="","",INDEX('Prospect Tracker'!$B$5:$B$554,$K524)))</f>
        <v/>
      </c>
      <c r="D524" s="11" t="str">
        <f aca="false">IF($K524="","",IF(INDEX('Prospect Tracker'!$M$5:$M$554,$K524)="","",INDEX('Prospect Tracker'!$M$5:$M$554,$K524)))</f>
        <v/>
      </c>
      <c r="E524" s="11" t="str">
        <f aca="false">IF($K524="","",IF(INDEX('Prospect Tracker'!$R$5:$R$554,$K524)="","",INDEX('Prospect Tracker'!$R$5:$R$554,$K524)))</f>
        <v/>
      </c>
      <c r="F524" s="11" t="str">
        <f aca="false">IF($K524="","",IF(INDEX('Prospect Tracker'!$J$5:$J$554,$K524)="","",INDEX('Prospect Tracker'!$J$5:$J$554,$K524)))</f>
        <v/>
      </c>
      <c r="G524" s="11" t="str">
        <f aca="false">IF($K524="","",IF(INDEX('Prospect Tracker'!$H$5:$H$554,$K524)="","",INDEX('Prospect Tracker'!$H$5:$H$554,$K524)))</f>
        <v/>
      </c>
      <c r="H524" s="12" t="str">
        <f aca="false">IF($K524="","",IF(INDEX('Prospect Tracker'!$K$5:$K$554,$K524)="","",INDEX('Prospect Tracker'!$K$5:$K$554,$K524)))</f>
        <v/>
      </c>
      <c r="I524" s="11" t="str">
        <f aca="false">IF($K524="","",IF(INDEX('Prospect Tracker'!$T$5:$T$554,$K524)="","",INDEX('Prospect Tracker'!$T$5:$T$554,$K524)))</f>
        <v/>
      </c>
      <c r="J524" s="11" t="str">
        <f aca="false">IF($K524="","",IF(INDEX('Prospect Tracker'!$L$5:$L$554,$K524)="","",INDEX('Prospect Tracker'!$L$5:$L$554,$K524)))</f>
        <v/>
      </c>
      <c r="K524" s="1" t="n">
        <f aca="false">IFERROR(MATCH(SMALL('Prospect Tracker'!$X$5:$X$554,ROW()-4),'Prospect Tracker'!$X$5:$X$554,0),"")</f>
        <v>520</v>
      </c>
    </row>
    <row r="525" customFormat="false" ht="15" hidden="false" customHeight="true" outlineLevel="0" collapsed="false">
      <c r="A525" s="6" t="str">
        <f aca="false">IF($K525="","",IF(INDEX('Prospect Tracker'!$W$5:$W$554,$K525)="","",INDEX('Prospect Tracker'!$W$5:$W$554,$K525)))</f>
        <v/>
      </c>
      <c r="B525" s="6" t="str">
        <f aca="false">IF($K525="","",IF(INDEX('Prospect Tracker'!$A$5:$A$554,$K525)="","",INDEX('Prospect Tracker'!$A$5:$A$554,$K525)))</f>
        <v/>
      </c>
      <c r="C525" s="6" t="str">
        <f aca="false">IF($K525="","",IF(INDEX('Prospect Tracker'!$B$5:$B$554,$K525)="","",INDEX('Prospect Tracker'!$B$5:$B$554,$K525)))</f>
        <v/>
      </c>
      <c r="D525" s="6" t="str">
        <f aca="false">IF($K525="","",IF(INDEX('Prospect Tracker'!$M$5:$M$554,$K525)="","",INDEX('Prospect Tracker'!$M$5:$M$554,$K525)))</f>
        <v/>
      </c>
      <c r="E525" s="6" t="str">
        <f aca="false">IF($K525="","",IF(INDEX('Prospect Tracker'!$R$5:$R$554,$K525)="","",INDEX('Prospect Tracker'!$R$5:$R$554,$K525)))</f>
        <v/>
      </c>
      <c r="F525" s="6" t="str">
        <f aca="false">IF($K525="","",IF(INDEX('Prospect Tracker'!$J$5:$J$554,$K525)="","",INDEX('Prospect Tracker'!$J$5:$J$554,$K525)))</f>
        <v/>
      </c>
      <c r="G525" s="6" t="str">
        <f aca="false">IF($K525="","",IF(INDEX('Prospect Tracker'!$H$5:$H$554,$K525)="","",INDEX('Prospect Tracker'!$H$5:$H$554,$K525)))</f>
        <v/>
      </c>
      <c r="H525" s="7" t="str">
        <f aca="false">IF($K525="","",IF(INDEX('Prospect Tracker'!$K$5:$K$554,$K525)="","",INDEX('Prospect Tracker'!$K$5:$K$554,$K525)))</f>
        <v/>
      </c>
      <c r="I525" s="6" t="str">
        <f aca="false">IF($K525="","",IF(INDEX('Prospect Tracker'!$T$5:$T$554,$K525)="","",INDEX('Prospect Tracker'!$T$5:$T$554,$K525)))</f>
        <v/>
      </c>
      <c r="J525" s="6" t="str">
        <f aca="false">IF($K525="","",IF(INDEX('Prospect Tracker'!$L$5:$L$554,$K525)="","",INDEX('Prospect Tracker'!$L$5:$L$554,$K525)))</f>
        <v/>
      </c>
      <c r="K525" s="1" t="n">
        <f aca="false">IFERROR(MATCH(SMALL('Prospect Tracker'!$X$5:$X$554,ROW()-4),'Prospect Tracker'!$X$5:$X$554,0),"")</f>
        <v>521</v>
      </c>
    </row>
    <row r="526" customFormat="false" ht="15" hidden="false" customHeight="true" outlineLevel="0" collapsed="false">
      <c r="A526" s="11" t="str">
        <f aca="false">IF($K526="","",IF(INDEX('Prospect Tracker'!$W$5:$W$554,$K526)="","",INDEX('Prospect Tracker'!$W$5:$W$554,$K526)))</f>
        <v/>
      </c>
      <c r="B526" s="11" t="str">
        <f aca="false">IF($K526="","",IF(INDEX('Prospect Tracker'!$A$5:$A$554,$K526)="","",INDEX('Prospect Tracker'!$A$5:$A$554,$K526)))</f>
        <v/>
      </c>
      <c r="C526" s="11" t="str">
        <f aca="false">IF($K526="","",IF(INDEX('Prospect Tracker'!$B$5:$B$554,$K526)="","",INDEX('Prospect Tracker'!$B$5:$B$554,$K526)))</f>
        <v/>
      </c>
      <c r="D526" s="11" t="str">
        <f aca="false">IF($K526="","",IF(INDEX('Prospect Tracker'!$M$5:$M$554,$K526)="","",INDEX('Prospect Tracker'!$M$5:$M$554,$K526)))</f>
        <v/>
      </c>
      <c r="E526" s="11" t="str">
        <f aca="false">IF($K526="","",IF(INDEX('Prospect Tracker'!$R$5:$R$554,$K526)="","",INDEX('Prospect Tracker'!$R$5:$R$554,$K526)))</f>
        <v/>
      </c>
      <c r="F526" s="11" t="str">
        <f aca="false">IF($K526="","",IF(INDEX('Prospect Tracker'!$J$5:$J$554,$K526)="","",INDEX('Prospect Tracker'!$J$5:$J$554,$K526)))</f>
        <v/>
      </c>
      <c r="G526" s="11" t="str">
        <f aca="false">IF($K526="","",IF(INDEX('Prospect Tracker'!$H$5:$H$554,$K526)="","",INDEX('Prospect Tracker'!$H$5:$H$554,$K526)))</f>
        <v/>
      </c>
      <c r="H526" s="12" t="str">
        <f aca="false">IF($K526="","",IF(INDEX('Prospect Tracker'!$K$5:$K$554,$K526)="","",INDEX('Prospect Tracker'!$K$5:$K$554,$K526)))</f>
        <v/>
      </c>
      <c r="I526" s="11" t="str">
        <f aca="false">IF($K526="","",IF(INDEX('Prospect Tracker'!$T$5:$T$554,$K526)="","",INDEX('Prospect Tracker'!$T$5:$T$554,$K526)))</f>
        <v/>
      </c>
      <c r="J526" s="11" t="str">
        <f aca="false">IF($K526="","",IF(INDEX('Prospect Tracker'!$L$5:$L$554,$K526)="","",INDEX('Prospect Tracker'!$L$5:$L$554,$K526)))</f>
        <v/>
      </c>
      <c r="K526" s="1" t="n">
        <f aca="false">IFERROR(MATCH(SMALL('Prospect Tracker'!$X$5:$X$554,ROW()-4),'Prospect Tracker'!$X$5:$X$554,0),"")</f>
        <v>522</v>
      </c>
    </row>
    <row r="527" customFormat="false" ht="15" hidden="false" customHeight="true" outlineLevel="0" collapsed="false">
      <c r="A527" s="6" t="str">
        <f aca="false">IF($K527="","",IF(INDEX('Prospect Tracker'!$W$5:$W$554,$K527)="","",INDEX('Prospect Tracker'!$W$5:$W$554,$K527)))</f>
        <v/>
      </c>
      <c r="B527" s="6" t="str">
        <f aca="false">IF($K527="","",IF(INDEX('Prospect Tracker'!$A$5:$A$554,$K527)="","",INDEX('Prospect Tracker'!$A$5:$A$554,$K527)))</f>
        <v/>
      </c>
      <c r="C527" s="6" t="str">
        <f aca="false">IF($K527="","",IF(INDEX('Prospect Tracker'!$B$5:$B$554,$K527)="","",INDEX('Prospect Tracker'!$B$5:$B$554,$K527)))</f>
        <v/>
      </c>
      <c r="D527" s="6" t="str">
        <f aca="false">IF($K527="","",IF(INDEX('Prospect Tracker'!$M$5:$M$554,$K527)="","",INDEX('Prospect Tracker'!$M$5:$M$554,$K527)))</f>
        <v/>
      </c>
      <c r="E527" s="6" t="str">
        <f aca="false">IF($K527="","",IF(INDEX('Prospect Tracker'!$R$5:$R$554,$K527)="","",INDEX('Prospect Tracker'!$R$5:$R$554,$K527)))</f>
        <v/>
      </c>
      <c r="F527" s="6" t="str">
        <f aca="false">IF($K527="","",IF(INDEX('Prospect Tracker'!$J$5:$J$554,$K527)="","",INDEX('Prospect Tracker'!$J$5:$J$554,$K527)))</f>
        <v/>
      </c>
      <c r="G527" s="6" t="str">
        <f aca="false">IF($K527="","",IF(INDEX('Prospect Tracker'!$H$5:$H$554,$K527)="","",INDEX('Prospect Tracker'!$H$5:$H$554,$K527)))</f>
        <v/>
      </c>
      <c r="H527" s="7" t="str">
        <f aca="false">IF($K527="","",IF(INDEX('Prospect Tracker'!$K$5:$K$554,$K527)="","",INDEX('Prospect Tracker'!$K$5:$K$554,$K527)))</f>
        <v/>
      </c>
      <c r="I527" s="6" t="str">
        <f aca="false">IF($K527="","",IF(INDEX('Prospect Tracker'!$T$5:$T$554,$K527)="","",INDEX('Prospect Tracker'!$T$5:$T$554,$K527)))</f>
        <v/>
      </c>
      <c r="J527" s="6" t="str">
        <f aca="false">IF($K527="","",IF(INDEX('Prospect Tracker'!$L$5:$L$554,$K527)="","",INDEX('Prospect Tracker'!$L$5:$L$554,$K527)))</f>
        <v/>
      </c>
      <c r="K527" s="1" t="n">
        <f aca="false">IFERROR(MATCH(SMALL('Prospect Tracker'!$X$5:$X$554,ROW()-4),'Prospect Tracker'!$X$5:$X$554,0),"")</f>
        <v>523</v>
      </c>
    </row>
    <row r="528" customFormat="false" ht="15" hidden="false" customHeight="true" outlineLevel="0" collapsed="false">
      <c r="A528" s="11" t="str">
        <f aca="false">IF($K528="","",IF(INDEX('Prospect Tracker'!$W$5:$W$554,$K528)="","",INDEX('Prospect Tracker'!$W$5:$W$554,$K528)))</f>
        <v/>
      </c>
      <c r="B528" s="11" t="str">
        <f aca="false">IF($K528="","",IF(INDEX('Prospect Tracker'!$A$5:$A$554,$K528)="","",INDEX('Prospect Tracker'!$A$5:$A$554,$K528)))</f>
        <v/>
      </c>
      <c r="C528" s="11" t="str">
        <f aca="false">IF($K528="","",IF(INDEX('Prospect Tracker'!$B$5:$B$554,$K528)="","",INDEX('Prospect Tracker'!$B$5:$B$554,$K528)))</f>
        <v/>
      </c>
      <c r="D528" s="11" t="str">
        <f aca="false">IF($K528="","",IF(INDEX('Prospect Tracker'!$M$5:$M$554,$K528)="","",INDEX('Prospect Tracker'!$M$5:$M$554,$K528)))</f>
        <v/>
      </c>
      <c r="E528" s="11" t="str">
        <f aca="false">IF($K528="","",IF(INDEX('Prospect Tracker'!$R$5:$R$554,$K528)="","",INDEX('Prospect Tracker'!$R$5:$R$554,$K528)))</f>
        <v/>
      </c>
      <c r="F528" s="11" t="str">
        <f aca="false">IF($K528="","",IF(INDEX('Prospect Tracker'!$J$5:$J$554,$K528)="","",INDEX('Prospect Tracker'!$J$5:$J$554,$K528)))</f>
        <v/>
      </c>
      <c r="G528" s="11" t="str">
        <f aca="false">IF($K528="","",IF(INDEX('Prospect Tracker'!$H$5:$H$554,$K528)="","",INDEX('Prospect Tracker'!$H$5:$H$554,$K528)))</f>
        <v/>
      </c>
      <c r="H528" s="12" t="str">
        <f aca="false">IF($K528="","",IF(INDEX('Prospect Tracker'!$K$5:$K$554,$K528)="","",INDEX('Prospect Tracker'!$K$5:$K$554,$K528)))</f>
        <v/>
      </c>
      <c r="I528" s="11" t="str">
        <f aca="false">IF($K528="","",IF(INDEX('Prospect Tracker'!$T$5:$T$554,$K528)="","",INDEX('Prospect Tracker'!$T$5:$T$554,$K528)))</f>
        <v/>
      </c>
      <c r="J528" s="11" t="str">
        <f aca="false">IF($K528="","",IF(INDEX('Prospect Tracker'!$L$5:$L$554,$K528)="","",INDEX('Prospect Tracker'!$L$5:$L$554,$K528)))</f>
        <v/>
      </c>
      <c r="K528" s="1" t="n">
        <f aca="false">IFERROR(MATCH(SMALL('Prospect Tracker'!$X$5:$X$554,ROW()-4),'Prospect Tracker'!$X$5:$X$554,0),"")</f>
        <v>524</v>
      </c>
    </row>
    <row r="529" customFormat="false" ht="15" hidden="false" customHeight="true" outlineLevel="0" collapsed="false">
      <c r="A529" s="6" t="str">
        <f aca="false">IF($K529="","",IF(INDEX('Prospect Tracker'!$W$5:$W$554,$K529)="","",INDEX('Prospect Tracker'!$W$5:$W$554,$K529)))</f>
        <v/>
      </c>
      <c r="B529" s="6" t="str">
        <f aca="false">IF($K529="","",IF(INDEX('Prospect Tracker'!$A$5:$A$554,$K529)="","",INDEX('Prospect Tracker'!$A$5:$A$554,$K529)))</f>
        <v/>
      </c>
      <c r="C529" s="6" t="str">
        <f aca="false">IF($K529="","",IF(INDEX('Prospect Tracker'!$B$5:$B$554,$K529)="","",INDEX('Prospect Tracker'!$B$5:$B$554,$K529)))</f>
        <v/>
      </c>
      <c r="D529" s="6" t="str">
        <f aca="false">IF($K529="","",IF(INDEX('Prospect Tracker'!$M$5:$M$554,$K529)="","",INDEX('Prospect Tracker'!$M$5:$M$554,$K529)))</f>
        <v/>
      </c>
      <c r="E529" s="6" t="str">
        <f aca="false">IF($K529="","",IF(INDEX('Prospect Tracker'!$R$5:$R$554,$K529)="","",INDEX('Prospect Tracker'!$R$5:$R$554,$K529)))</f>
        <v/>
      </c>
      <c r="F529" s="6" t="str">
        <f aca="false">IF($K529="","",IF(INDEX('Prospect Tracker'!$J$5:$J$554,$K529)="","",INDEX('Prospect Tracker'!$J$5:$J$554,$K529)))</f>
        <v/>
      </c>
      <c r="G529" s="6" t="str">
        <f aca="false">IF($K529="","",IF(INDEX('Prospect Tracker'!$H$5:$H$554,$K529)="","",INDEX('Prospect Tracker'!$H$5:$H$554,$K529)))</f>
        <v/>
      </c>
      <c r="H529" s="7" t="str">
        <f aca="false">IF($K529="","",IF(INDEX('Prospect Tracker'!$K$5:$K$554,$K529)="","",INDEX('Prospect Tracker'!$K$5:$K$554,$K529)))</f>
        <v/>
      </c>
      <c r="I529" s="6" t="str">
        <f aca="false">IF($K529="","",IF(INDEX('Prospect Tracker'!$T$5:$T$554,$K529)="","",INDEX('Prospect Tracker'!$T$5:$T$554,$K529)))</f>
        <v/>
      </c>
      <c r="J529" s="6" t="str">
        <f aca="false">IF($K529="","",IF(INDEX('Prospect Tracker'!$L$5:$L$554,$K529)="","",INDEX('Prospect Tracker'!$L$5:$L$554,$K529)))</f>
        <v/>
      </c>
      <c r="K529" s="1" t="n">
        <f aca="false">IFERROR(MATCH(SMALL('Prospect Tracker'!$X$5:$X$554,ROW()-4),'Prospect Tracker'!$X$5:$X$554,0),"")</f>
        <v>525</v>
      </c>
    </row>
    <row r="530" customFormat="false" ht="15" hidden="false" customHeight="true" outlineLevel="0" collapsed="false">
      <c r="A530" s="11" t="str">
        <f aca="false">IF($K530="","",IF(INDEX('Prospect Tracker'!$W$5:$W$554,$K530)="","",INDEX('Prospect Tracker'!$W$5:$W$554,$K530)))</f>
        <v/>
      </c>
      <c r="B530" s="11" t="str">
        <f aca="false">IF($K530="","",IF(INDEX('Prospect Tracker'!$A$5:$A$554,$K530)="","",INDEX('Prospect Tracker'!$A$5:$A$554,$K530)))</f>
        <v/>
      </c>
      <c r="C530" s="11" t="str">
        <f aca="false">IF($K530="","",IF(INDEX('Prospect Tracker'!$B$5:$B$554,$K530)="","",INDEX('Prospect Tracker'!$B$5:$B$554,$K530)))</f>
        <v/>
      </c>
      <c r="D530" s="11" t="str">
        <f aca="false">IF($K530="","",IF(INDEX('Prospect Tracker'!$M$5:$M$554,$K530)="","",INDEX('Prospect Tracker'!$M$5:$M$554,$K530)))</f>
        <v/>
      </c>
      <c r="E530" s="11" t="str">
        <f aca="false">IF($K530="","",IF(INDEX('Prospect Tracker'!$R$5:$R$554,$K530)="","",INDEX('Prospect Tracker'!$R$5:$R$554,$K530)))</f>
        <v/>
      </c>
      <c r="F530" s="11" t="str">
        <f aca="false">IF($K530="","",IF(INDEX('Prospect Tracker'!$J$5:$J$554,$K530)="","",INDEX('Prospect Tracker'!$J$5:$J$554,$K530)))</f>
        <v/>
      </c>
      <c r="G530" s="11" t="str">
        <f aca="false">IF($K530="","",IF(INDEX('Prospect Tracker'!$H$5:$H$554,$K530)="","",INDEX('Prospect Tracker'!$H$5:$H$554,$K530)))</f>
        <v/>
      </c>
      <c r="H530" s="12" t="str">
        <f aca="false">IF($K530="","",IF(INDEX('Prospect Tracker'!$K$5:$K$554,$K530)="","",INDEX('Prospect Tracker'!$K$5:$K$554,$K530)))</f>
        <v/>
      </c>
      <c r="I530" s="11" t="str">
        <f aca="false">IF($K530="","",IF(INDEX('Prospect Tracker'!$T$5:$T$554,$K530)="","",INDEX('Prospect Tracker'!$T$5:$T$554,$K530)))</f>
        <v/>
      </c>
      <c r="J530" s="11" t="str">
        <f aca="false">IF($K530="","",IF(INDEX('Prospect Tracker'!$L$5:$L$554,$K530)="","",INDEX('Prospect Tracker'!$L$5:$L$554,$K530)))</f>
        <v/>
      </c>
      <c r="K530" s="1" t="n">
        <f aca="false">IFERROR(MATCH(SMALL('Prospect Tracker'!$X$5:$X$554,ROW()-4),'Prospect Tracker'!$X$5:$X$554,0),"")</f>
        <v>526</v>
      </c>
    </row>
    <row r="531" customFormat="false" ht="15" hidden="false" customHeight="true" outlineLevel="0" collapsed="false">
      <c r="A531" s="6" t="str">
        <f aca="false">IF($K531="","",IF(INDEX('Prospect Tracker'!$W$5:$W$554,$K531)="","",INDEX('Prospect Tracker'!$W$5:$W$554,$K531)))</f>
        <v/>
      </c>
      <c r="B531" s="6" t="str">
        <f aca="false">IF($K531="","",IF(INDEX('Prospect Tracker'!$A$5:$A$554,$K531)="","",INDEX('Prospect Tracker'!$A$5:$A$554,$K531)))</f>
        <v/>
      </c>
      <c r="C531" s="6" t="str">
        <f aca="false">IF($K531="","",IF(INDEX('Prospect Tracker'!$B$5:$B$554,$K531)="","",INDEX('Prospect Tracker'!$B$5:$B$554,$K531)))</f>
        <v/>
      </c>
      <c r="D531" s="6" t="str">
        <f aca="false">IF($K531="","",IF(INDEX('Prospect Tracker'!$M$5:$M$554,$K531)="","",INDEX('Prospect Tracker'!$M$5:$M$554,$K531)))</f>
        <v/>
      </c>
      <c r="E531" s="6" t="str">
        <f aca="false">IF($K531="","",IF(INDEX('Prospect Tracker'!$R$5:$R$554,$K531)="","",INDEX('Prospect Tracker'!$R$5:$R$554,$K531)))</f>
        <v/>
      </c>
      <c r="F531" s="6" t="str">
        <f aca="false">IF($K531="","",IF(INDEX('Prospect Tracker'!$J$5:$J$554,$K531)="","",INDEX('Prospect Tracker'!$J$5:$J$554,$K531)))</f>
        <v/>
      </c>
      <c r="G531" s="6" t="str">
        <f aca="false">IF($K531="","",IF(INDEX('Prospect Tracker'!$H$5:$H$554,$K531)="","",INDEX('Prospect Tracker'!$H$5:$H$554,$K531)))</f>
        <v/>
      </c>
      <c r="H531" s="7" t="str">
        <f aca="false">IF($K531="","",IF(INDEX('Prospect Tracker'!$K$5:$K$554,$K531)="","",INDEX('Prospect Tracker'!$K$5:$K$554,$K531)))</f>
        <v/>
      </c>
      <c r="I531" s="6" t="str">
        <f aca="false">IF($K531="","",IF(INDEX('Prospect Tracker'!$T$5:$T$554,$K531)="","",INDEX('Prospect Tracker'!$T$5:$T$554,$K531)))</f>
        <v/>
      </c>
      <c r="J531" s="6" t="str">
        <f aca="false">IF($K531="","",IF(INDEX('Prospect Tracker'!$L$5:$L$554,$K531)="","",INDEX('Prospect Tracker'!$L$5:$L$554,$K531)))</f>
        <v/>
      </c>
      <c r="K531" s="1" t="n">
        <f aca="false">IFERROR(MATCH(SMALL('Prospect Tracker'!$X$5:$X$554,ROW()-4),'Prospect Tracker'!$X$5:$X$554,0),"")</f>
        <v>527</v>
      </c>
    </row>
    <row r="532" customFormat="false" ht="15" hidden="false" customHeight="true" outlineLevel="0" collapsed="false">
      <c r="A532" s="11" t="str">
        <f aca="false">IF($K532="","",IF(INDEX('Prospect Tracker'!$W$5:$W$554,$K532)="","",INDEX('Prospect Tracker'!$W$5:$W$554,$K532)))</f>
        <v/>
      </c>
      <c r="B532" s="11" t="str">
        <f aca="false">IF($K532="","",IF(INDEX('Prospect Tracker'!$A$5:$A$554,$K532)="","",INDEX('Prospect Tracker'!$A$5:$A$554,$K532)))</f>
        <v/>
      </c>
      <c r="C532" s="11" t="str">
        <f aca="false">IF($K532="","",IF(INDEX('Prospect Tracker'!$B$5:$B$554,$K532)="","",INDEX('Prospect Tracker'!$B$5:$B$554,$K532)))</f>
        <v/>
      </c>
      <c r="D532" s="11" t="str">
        <f aca="false">IF($K532="","",IF(INDEX('Prospect Tracker'!$M$5:$M$554,$K532)="","",INDEX('Prospect Tracker'!$M$5:$M$554,$K532)))</f>
        <v/>
      </c>
      <c r="E532" s="11" t="str">
        <f aca="false">IF($K532="","",IF(INDEX('Prospect Tracker'!$R$5:$R$554,$K532)="","",INDEX('Prospect Tracker'!$R$5:$R$554,$K532)))</f>
        <v/>
      </c>
      <c r="F532" s="11" t="str">
        <f aca="false">IF($K532="","",IF(INDEX('Prospect Tracker'!$J$5:$J$554,$K532)="","",INDEX('Prospect Tracker'!$J$5:$J$554,$K532)))</f>
        <v/>
      </c>
      <c r="G532" s="11" t="str">
        <f aca="false">IF($K532="","",IF(INDEX('Prospect Tracker'!$H$5:$H$554,$K532)="","",INDEX('Prospect Tracker'!$H$5:$H$554,$K532)))</f>
        <v/>
      </c>
      <c r="H532" s="12" t="str">
        <f aca="false">IF($K532="","",IF(INDEX('Prospect Tracker'!$K$5:$K$554,$K532)="","",INDEX('Prospect Tracker'!$K$5:$K$554,$K532)))</f>
        <v/>
      </c>
      <c r="I532" s="11" t="str">
        <f aca="false">IF($K532="","",IF(INDEX('Prospect Tracker'!$T$5:$T$554,$K532)="","",INDEX('Prospect Tracker'!$T$5:$T$554,$K532)))</f>
        <v/>
      </c>
      <c r="J532" s="11" t="str">
        <f aca="false">IF($K532="","",IF(INDEX('Prospect Tracker'!$L$5:$L$554,$K532)="","",INDEX('Prospect Tracker'!$L$5:$L$554,$K532)))</f>
        <v/>
      </c>
      <c r="K532" s="1" t="n">
        <f aca="false">IFERROR(MATCH(SMALL('Prospect Tracker'!$X$5:$X$554,ROW()-4),'Prospect Tracker'!$X$5:$X$554,0),"")</f>
        <v>528</v>
      </c>
    </row>
    <row r="533" customFormat="false" ht="15" hidden="false" customHeight="true" outlineLevel="0" collapsed="false">
      <c r="A533" s="6" t="str">
        <f aca="false">IF($K533="","",IF(INDEX('Prospect Tracker'!$W$5:$W$554,$K533)="","",INDEX('Prospect Tracker'!$W$5:$W$554,$K533)))</f>
        <v/>
      </c>
      <c r="B533" s="6" t="str">
        <f aca="false">IF($K533="","",IF(INDEX('Prospect Tracker'!$A$5:$A$554,$K533)="","",INDEX('Prospect Tracker'!$A$5:$A$554,$K533)))</f>
        <v/>
      </c>
      <c r="C533" s="6" t="str">
        <f aca="false">IF($K533="","",IF(INDEX('Prospect Tracker'!$B$5:$B$554,$K533)="","",INDEX('Prospect Tracker'!$B$5:$B$554,$K533)))</f>
        <v/>
      </c>
      <c r="D533" s="6" t="str">
        <f aca="false">IF($K533="","",IF(INDEX('Prospect Tracker'!$M$5:$M$554,$K533)="","",INDEX('Prospect Tracker'!$M$5:$M$554,$K533)))</f>
        <v/>
      </c>
      <c r="E533" s="6" t="str">
        <f aca="false">IF($K533="","",IF(INDEX('Prospect Tracker'!$R$5:$R$554,$K533)="","",INDEX('Prospect Tracker'!$R$5:$R$554,$K533)))</f>
        <v/>
      </c>
      <c r="F533" s="6" t="str">
        <f aca="false">IF($K533="","",IF(INDEX('Prospect Tracker'!$J$5:$J$554,$K533)="","",INDEX('Prospect Tracker'!$J$5:$J$554,$K533)))</f>
        <v/>
      </c>
      <c r="G533" s="6" t="str">
        <f aca="false">IF($K533="","",IF(INDEX('Prospect Tracker'!$H$5:$H$554,$K533)="","",INDEX('Prospect Tracker'!$H$5:$H$554,$K533)))</f>
        <v/>
      </c>
      <c r="H533" s="7" t="str">
        <f aca="false">IF($K533="","",IF(INDEX('Prospect Tracker'!$K$5:$K$554,$K533)="","",INDEX('Prospect Tracker'!$K$5:$K$554,$K533)))</f>
        <v/>
      </c>
      <c r="I533" s="6" t="str">
        <f aca="false">IF($K533="","",IF(INDEX('Prospect Tracker'!$T$5:$T$554,$K533)="","",INDEX('Prospect Tracker'!$T$5:$T$554,$K533)))</f>
        <v/>
      </c>
      <c r="J533" s="6" t="str">
        <f aca="false">IF($K533="","",IF(INDEX('Prospect Tracker'!$L$5:$L$554,$K533)="","",INDEX('Prospect Tracker'!$L$5:$L$554,$K533)))</f>
        <v/>
      </c>
      <c r="K533" s="1" t="n">
        <f aca="false">IFERROR(MATCH(SMALL('Prospect Tracker'!$X$5:$X$554,ROW()-4),'Prospect Tracker'!$X$5:$X$554,0),"")</f>
        <v>529</v>
      </c>
    </row>
    <row r="534" customFormat="false" ht="15" hidden="false" customHeight="true" outlineLevel="0" collapsed="false">
      <c r="A534" s="11" t="str">
        <f aca="false">IF($K534="","",IF(INDEX('Prospect Tracker'!$W$5:$W$554,$K534)="","",INDEX('Prospect Tracker'!$W$5:$W$554,$K534)))</f>
        <v/>
      </c>
      <c r="B534" s="11" t="str">
        <f aca="false">IF($K534="","",IF(INDEX('Prospect Tracker'!$A$5:$A$554,$K534)="","",INDEX('Prospect Tracker'!$A$5:$A$554,$K534)))</f>
        <v/>
      </c>
      <c r="C534" s="11" t="str">
        <f aca="false">IF($K534="","",IF(INDEX('Prospect Tracker'!$B$5:$B$554,$K534)="","",INDEX('Prospect Tracker'!$B$5:$B$554,$K534)))</f>
        <v/>
      </c>
      <c r="D534" s="11" t="str">
        <f aca="false">IF($K534="","",IF(INDEX('Prospect Tracker'!$M$5:$M$554,$K534)="","",INDEX('Prospect Tracker'!$M$5:$M$554,$K534)))</f>
        <v/>
      </c>
      <c r="E534" s="11" t="str">
        <f aca="false">IF($K534="","",IF(INDEX('Prospect Tracker'!$R$5:$R$554,$K534)="","",INDEX('Prospect Tracker'!$R$5:$R$554,$K534)))</f>
        <v/>
      </c>
      <c r="F534" s="11" t="str">
        <f aca="false">IF($K534="","",IF(INDEX('Prospect Tracker'!$J$5:$J$554,$K534)="","",INDEX('Prospect Tracker'!$J$5:$J$554,$K534)))</f>
        <v/>
      </c>
      <c r="G534" s="11" t="str">
        <f aca="false">IF($K534="","",IF(INDEX('Prospect Tracker'!$H$5:$H$554,$K534)="","",INDEX('Prospect Tracker'!$H$5:$H$554,$K534)))</f>
        <v/>
      </c>
      <c r="H534" s="12" t="str">
        <f aca="false">IF($K534="","",IF(INDEX('Prospect Tracker'!$K$5:$K$554,$K534)="","",INDEX('Prospect Tracker'!$K$5:$K$554,$K534)))</f>
        <v/>
      </c>
      <c r="I534" s="11" t="str">
        <f aca="false">IF($K534="","",IF(INDEX('Prospect Tracker'!$T$5:$T$554,$K534)="","",INDEX('Prospect Tracker'!$T$5:$T$554,$K534)))</f>
        <v/>
      </c>
      <c r="J534" s="11" t="str">
        <f aca="false">IF($K534="","",IF(INDEX('Prospect Tracker'!$L$5:$L$554,$K534)="","",INDEX('Prospect Tracker'!$L$5:$L$554,$K534)))</f>
        <v/>
      </c>
      <c r="K534" s="1" t="n">
        <f aca="false">IFERROR(MATCH(SMALL('Prospect Tracker'!$X$5:$X$554,ROW()-4),'Prospect Tracker'!$X$5:$X$554,0),"")</f>
        <v>530</v>
      </c>
    </row>
    <row r="535" customFormat="false" ht="15" hidden="false" customHeight="true" outlineLevel="0" collapsed="false">
      <c r="A535" s="6" t="str">
        <f aca="false">IF($K535="","",IF(INDEX('Prospect Tracker'!$W$5:$W$554,$K535)="","",INDEX('Prospect Tracker'!$W$5:$W$554,$K535)))</f>
        <v/>
      </c>
      <c r="B535" s="6" t="str">
        <f aca="false">IF($K535="","",IF(INDEX('Prospect Tracker'!$A$5:$A$554,$K535)="","",INDEX('Prospect Tracker'!$A$5:$A$554,$K535)))</f>
        <v/>
      </c>
      <c r="C535" s="6" t="str">
        <f aca="false">IF($K535="","",IF(INDEX('Prospect Tracker'!$B$5:$B$554,$K535)="","",INDEX('Prospect Tracker'!$B$5:$B$554,$K535)))</f>
        <v/>
      </c>
      <c r="D535" s="6" t="str">
        <f aca="false">IF($K535="","",IF(INDEX('Prospect Tracker'!$M$5:$M$554,$K535)="","",INDEX('Prospect Tracker'!$M$5:$M$554,$K535)))</f>
        <v/>
      </c>
      <c r="E535" s="6" t="str">
        <f aca="false">IF($K535="","",IF(INDEX('Prospect Tracker'!$R$5:$R$554,$K535)="","",INDEX('Prospect Tracker'!$R$5:$R$554,$K535)))</f>
        <v/>
      </c>
      <c r="F535" s="6" t="str">
        <f aca="false">IF($K535="","",IF(INDEX('Prospect Tracker'!$J$5:$J$554,$K535)="","",INDEX('Prospect Tracker'!$J$5:$J$554,$K535)))</f>
        <v/>
      </c>
      <c r="G535" s="6" t="str">
        <f aca="false">IF($K535="","",IF(INDEX('Prospect Tracker'!$H$5:$H$554,$K535)="","",INDEX('Prospect Tracker'!$H$5:$H$554,$K535)))</f>
        <v/>
      </c>
      <c r="H535" s="7" t="str">
        <f aca="false">IF($K535="","",IF(INDEX('Prospect Tracker'!$K$5:$K$554,$K535)="","",INDEX('Prospect Tracker'!$K$5:$K$554,$K535)))</f>
        <v/>
      </c>
      <c r="I535" s="6" t="str">
        <f aca="false">IF($K535="","",IF(INDEX('Prospect Tracker'!$T$5:$T$554,$K535)="","",INDEX('Prospect Tracker'!$T$5:$T$554,$K535)))</f>
        <v/>
      </c>
      <c r="J535" s="6" t="str">
        <f aca="false">IF($K535="","",IF(INDEX('Prospect Tracker'!$L$5:$L$554,$K535)="","",INDEX('Prospect Tracker'!$L$5:$L$554,$K535)))</f>
        <v/>
      </c>
      <c r="K535" s="1" t="n">
        <f aca="false">IFERROR(MATCH(SMALL('Prospect Tracker'!$X$5:$X$554,ROW()-4),'Prospect Tracker'!$X$5:$X$554,0),"")</f>
        <v>531</v>
      </c>
    </row>
    <row r="536" customFormat="false" ht="15" hidden="false" customHeight="true" outlineLevel="0" collapsed="false">
      <c r="A536" s="11" t="str">
        <f aca="false">IF($K536="","",IF(INDEX('Prospect Tracker'!$W$5:$W$554,$K536)="","",INDEX('Prospect Tracker'!$W$5:$W$554,$K536)))</f>
        <v/>
      </c>
      <c r="B536" s="11" t="str">
        <f aca="false">IF($K536="","",IF(INDEX('Prospect Tracker'!$A$5:$A$554,$K536)="","",INDEX('Prospect Tracker'!$A$5:$A$554,$K536)))</f>
        <v/>
      </c>
      <c r="C536" s="11" t="str">
        <f aca="false">IF($K536="","",IF(INDEX('Prospect Tracker'!$B$5:$B$554,$K536)="","",INDEX('Prospect Tracker'!$B$5:$B$554,$K536)))</f>
        <v/>
      </c>
      <c r="D536" s="11" t="str">
        <f aca="false">IF($K536="","",IF(INDEX('Prospect Tracker'!$M$5:$M$554,$K536)="","",INDEX('Prospect Tracker'!$M$5:$M$554,$K536)))</f>
        <v/>
      </c>
      <c r="E536" s="11" t="str">
        <f aca="false">IF($K536="","",IF(INDEX('Prospect Tracker'!$R$5:$R$554,$K536)="","",INDEX('Prospect Tracker'!$R$5:$R$554,$K536)))</f>
        <v/>
      </c>
      <c r="F536" s="11" t="str">
        <f aca="false">IF($K536="","",IF(INDEX('Prospect Tracker'!$J$5:$J$554,$K536)="","",INDEX('Prospect Tracker'!$J$5:$J$554,$K536)))</f>
        <v/>
      </c>
      <c r="G536" s="11" t="str">
        <f aca="false">IF($K536="","",IF(INDEX('Prospect Tracker'!$H$5:$H$554,$K536)="","",INDEX('Prospect Tracker'!$H$5:$H$554,$K536)))</f>
        <v/>
      </c>
      <c r="H536" s="12" t="str">
        <f aca="false">IF($K536="","",IF(INDEX('Prospect Tracker'!$K$5:$K$554,$K536)="","",INDEX('Prospect Tracker'!$K$5:$K$554,$K536)))</f>
        <v/>
      </c>
      <c r="I536" s="11" t="str">
        <f aca="false">IF($K536="","",IF(INDEX('Prospect Tracker'!$T$5:$T$554,$K536)="","",INDEX('Prospect Tracker'!$T$5:$T$554,$K536)))</f>
        <v/>
      </c>
      <c r="J536" s="11" t="str">
        <f aca="false">IF($K536="","",IF(INDEX('Prospect Tracker'!$L$5:$L$554,$K536)="","",INDEX('Prospect Tracker'!$L$5:$L$554,$K536)))</f>
        <v/>
      </c>
      <c r="K536" s="1" t="n">
        <f aca="false">IFERROR(MATCH(SMALL('Prospect Tracker'!$X$5:$X$554,ROW()-4),'Prospect Tracker'!$X$5:$X$554,0),"")</f>
        <v>532</v>
      </c>
    </row>
    <row r="537" customFormat="false" ht="15" hidden="false" customHeight="true" outlineLevel="0" collapsed="false">
      <c r="A537" s="6" t="str">
        <f aca="false">IF($K537="","",IF(INDEX('Prospect Tracker'!$W$5:$W$554,$K537)="","",INDEX('Prospect Tracker'!$W$5:$W$554,$K537)))</f>
        <v/>
      </c>
      <c r="B537" s="6" t="str">
        <f aca="false">IF($K537="","",IF(INDEX('Prospect Tracker'!$A$5:$A$554,$K537)="","",INDEX('Prospect Tracker'!$A$5:$A$554,$K537)))</f>
        <v/>
      </c>
      <c r="C537" s="6" t="str">
        <f aca="false">IF($K537="","",IF(INDEX('Prospect Tracker'!$B$5:$B$554,$K537)="","",INDEX('Prospect Tracker'!$B$5:$B$554,$K537)))</f>
        <v/>
      </c>
      <c r="D537" s="6" t="str">
        <f aca="false">IF($K537="","",IF(INDEX('Prospect Tracker'!$M$5:$M$554,$K537)="","",INDEX('Prospect Tracker'!$M$5:$M$554,$K537)))</f>
        <v/>
      </c>
      <c r="E537" s="6" t="str">
        <f aca="false">IF($K537="","",IF(INDEX('Prospect Tracker'!$R$5:$R$554,$K537)="","",INDEX('Prospect Tracker'!$R$5:$R$554,$K537)))</f>
        <v/>
      </c>
      <c r="F537" s="6" t="str">
        <f aca="false">IF($K537="","",IF(INDEX('Prospect Tracker'!$J$5:$J$554,$K537)="","",INDEX('Prospect Tracker'!$J$5:$J$554,$K537)))</f>
        <v/>
      </c>
      <c r="G537" s="6" t="str">
        <f aca="false">IF($K537="","",IF(INDEX('Prospect Tracker'!$H$5:$H$554,$K537)="","",INDEX('Prospect Tracker'!$H$5:$H$554,$K537)))</f>
        <v/>
      </c>
      <c r="H537" s="7" t="str">
        <f aca="false">IF($K537="","",IF(INDEX('Prospect Tracker'!$K$5:$K$554,$K537)="","",INDEX('Prospect Tracker'!$K$5:$K$554,$K537)))</f>
        <v/>
      </c>
      <c r="I537" s="6" t="str">
        <f aca="false">IF($K537="","",IF(INDEX('Prospect Tracker'!$T$5:$T$554,$K537)="","",INDEX('Prospect Tracker'!$T$5:$T$554,$K537)))</f>
        <v/>
      </c>
      <c r="J537" s="6" t="str">
        <f aca="false">IF($K537="","",IF(INDEX('Prospect Tracker'!$L$5:$L$554,$K537)="","",INDEX('Prospect Tracker'!$L$5:$L$554,$K537)))</f>
        <v/>
      </c>
      <c r="K537" s="1" t="n">
        <f aca="false">IFERROR(MATCH(SMALL('Prospect Tracker'!$X$5:$X$554,ROW()-4),'Prospect Tracker'!$X$5:$X$554,0),"")</f>
        <v>533</v>
      </c>
    </row>
    <row r="538" customFormat="false" ht="15" hidden="false" customHeight="true" outlineLevel="0" collapsed="false">
      <c r="A538" s="11" t="str">
        <f aca="false">IF($K538="","",IF(INDEX('Prospect Tracker'!$W$5:$W$554,$K538)="","",INDEX('Prospect Tracker'!$W$5:$W$554,$K538)))</f>
        <v/>
      </c>
      <c r="B538" s="11" t="str">
        <f aca="false">IF($K538="","",IF(INDEX('Prospect Tracker'!$A$5:$A$554,$K538)="","",INDEX('Prospect Tracker'!$A$5:$A$554,$K538)))</f>
        <v/>
      </c>
      <c r="C538" s="11" t="str">
        <f aca="false">IF($K538="","",IF(INDEX('Prospect Tracker'!$B$5:$B$554,$K538)="","",INDEX('Prospect Tracker'!$B$5:$B$554,$K538)))</f>
        <v/>
      </c>
      <c r="D538" s="11" t="str">
        <f aca="false">IF($K538="","",IF(INDEX('Prospect Tracker'!$M$5:$M$554,$K538)="","",INDEX('Prospect Tracker'!$M$5:$M$554,$K538)))</f>
        <v/>
      </c>
      <c r="E538" s="11" t="str">
        <f aca="false">IF($K538="","",IF(INDEX('Prospect Tracker'!$R$5:$R$554,$K538)="","",INDEX('Prospect Tracker'!$R$5:$R$554,$K538)))</f>
        <v/>
      </c>
      <c r="F538" s="11" t="str">
        <f aca="false">IF($K538="","",IF(INDEX('Prospect Tracker'!$J$5:$J$554,$K538)="","",INDEX('Prospect Tracker'!$J$5:$J$554,$K538)))</f>
        <v/>
      </c>
      <c r="G538" s="11" t="str">
        <f aca="false">IF($K538="","",IF(INDEX('Prospect Tracker'!$H$5:$H$554,$K538)="","",INDEX('Prospect Tracker'!$H$5:$H$554,$K538)))</f>
        <v/>
      </c>
      <c r="H538" s="12" t="str">
        <f aca="false">IF($K538="","",IF(INDEX('Prospect Tracker'!$K$5:$K$554,$K538)="","",INDEX('Prospect Tracker'!$K$5:$K$554,$K538)))</f>
        <v/>
      </c>
      <c r="I538" s="11" t="str">
        <f aca="false">IF($K538="","",IF(INDEX('Prospect Tracker'!$T$5:$T$554,$K538)="","",INDEX('Prospect Tracker'!$T$5:$T$554,$K538)))</f>
        <v/>
      </c>
      <c r="J538" s="11" t="str">
        <f aca="false">IF($K538="","",IF(INDEX('Prospect Tracker'!$L$5:$L$554,$K538)="","",INDEX('Prospect Tracker'!$L$5:$L$554,$K538)))</f>
        <v/>
      </c>
      <c r="K538" s="1" t="n">
        <f aca="false">IFERROR(MATCH(SMALL('Prospect Tracker'!$X$5:$X$554,ROW()-4),'Prospect Tracker'!$X$5:$X$554,0),"")</f>
        <v>534</v>
      </c>
    </row>
    <row r="539" customFormat="false" ht="15" hidden="false" customHeight="true" outlineLevel="0" collapsed="false">
      <c r="A539" s="6" t="str">
        <f aca="false">IF($K539="","",IF(INDEX('Prospect Tracker'!$W$5:$W$554,$K539)="","",INDEX('Prospect Tracker'!$W$5:$W$554,$K539)))</f>
        <v/>
      </c>
      <c r="B539" s="6" t="str">
        <f aca="false">IF($K539="","",IF(INDEX('Prospect Tracker'!$A$5:$A$554,$K539)="","",INDEX('Prospect Tracker'!$A$5:$A$554,$K539)))</f>
        <v/>
      </c>
      <c r="C539" s="6" t="str">
        <f aca="false">IF($K539="","",IF(INDEX('Prospect Tracker'!$B$5:$B$554,$K539)="","",INDEX('Prospect Tracker'!$B$5:$B$554,$K539)))</f>
        <v/>
      </c>
      <c r="D539" s="6" t="str">
        <f aca="false">IF($K539="","",IF(INDEX('Prospect Tracker'!$M$5:$M$554,$K539)="","",INDEX('Prospect Tracker'!$M$5:$M$554,$K539)))</f>
        <v/>
      </c>
      <c r="E539" s="6" t="str">
        <f aca="false">IF($K539="","",IF(INDEX('Prospect Tracker'!$R$5:$R$554,$K539)="","",INDEX('Prospect Tracker'!$R$5:$R$554,$K539)))</f>
        <v/>
      </c>
      <c r="F539" s="6" t="str">
        <f aca="false">IF($K539="","",IF(INDEX('Prospect Tracker'!$J$5:$J$554,$K539)="","",INDEX('Prospect Tracker'!$J$5:$J$554,$K539)))</f>
        <v/>
      </c>
      <c r="G539" s="6" t="str">
        <f aca="false">IF($K539="","",IF(INDEX('Prospect Tracker'!$H$5:$H$554,$K539)="","",INDEX('Prospect Tracker'!$H$5:$H$554,$K539)))</f>
        <v/>
      </c>
      <c r="H539" s="7" t="str">
        <f aca="false">IF($K539="","",IF(INDEX('Prospect Tracker'!$K$5:$K$554,$K539)="","",INDEX('Prospect Tracker'!$K$5:$K$554,$K539)))</f>
        <v/>
      </c>
      <c r="I539" s="6" t="str">
        <f aca="false">IF($K539="","",IF(INDEX('Prospect Tracker'!$T$5:$T$554,$K539)="","",INDEX('Prospect Tracker'!$T$5:$T$554,$K539)))</f>
        <v/>
      </c>
      <c r="J539" s="6" t="str">
        <f aca="false">IF($K539="","",IF(INDEX('Prospect Tracker'!$L$5:$L$554,$K539)="","",INDEX('Prospect Tracker'!$L$5:$L$554,$K539)))</f>
        <v/>
      </c>
      <c r="K539" s="1" t="n">
        <f aca="false">IFERROR(MATCH(SMALL('Prospect Tracker'!$X$5:$X$554,ROW()-4),'Prospect Tracker'!$X$5:$X$554,0),"")</f>
        <v>535</v>
      </c>
    </row>
    <row r="540" customFormat="false" ht="15" hidden="false" customHeight="true" outlineLevel="0" collapsed="false">
      <c r="A540" s="11" t="str">
        <f aca="false">IF($K540="","",IF(INDEX('Prospect Tracker'!$W$5:$W$554,$K540)="","",INDEX('Prospect Tracker'!$W$5:$W$554,$K540)))</f>
        <v/>
      </c>
      <c r="B540" s="11" t="str">
        <f aca="false">IF($K540="","",IF(INDEX('Prospect Tracker'!$A$5:$A$554,$K540)="","",INDEX('Prospect Tracker'!$A$5:$A$554,$K540)))</f>
        <v/>
      </c>
      <c r="C540" s="11" t="str">
        <f aca="false">IF($K540="","",IF(INDEX('Prospect Tracker'!$B$5:$B$554,$K540)="","",INDEX('Prospect Tracker'!$B$5:$B$554,$K540)))</f>
        <v/>
      </c>
      <c r="D540" s="11" t="str">
        <f aca="false">IF($K540="","",IF(INDEX('Prospect Tracker'!$M$5:$M$554,$K540)="","",INDEX('Prospect Tracker'!$M$5:$M$554,$K540)))</f>
        <v/>
      </c>
      <c r="E540" s="11" t="str">
        <f aca="false">IF($K540="","",IF(INDEX('Prospect Tracker'!$R$5:$R$554,$K540)="","",INDEX('Prospect Tracker'!$R$5:$R$554,$K540)))</f>
        <v/>
      </c>
      <c r="F540" s="11" t="str">
        <f aca="false">IF($K540="","",IF(INDEX('Prospect Tracker'!$J$5:$J$554,$K540)="","",INDEX('Prospect Tracker'!$J$5:$J$554,$K540)))</f>
        <v/>
      </c>
      <c r="G540" s="11" t="str">
        <f aca="false">IF($K540="","",IF(INDEX('Prospect Tracker'!$H$5:$H$554,$K540)="","",INDEX('Prospect Tracker'!$H$5:$H$554,$K540)))</f>
        <v/>
      </c>
      <c r="H540" s="12" t="str">
        <f aca="false">IF($K540="","",IF(INDEX('Prospect Tracker'!$K$5:$K$554,$K540)="","",INDEX('Prospect Tracker'!$K$5:$K$554,$K540)))</f>
        <v/>
      </c>
      <c r="I540" s="11" t="str">
        <f aca="false">IF($K540="","",IF(INDEX('Prospect Tracker'!$T$5:$T$554,$K540)="","",INDEX('Prospect Tracker'!$T$5:$T$554,$K540)))</f>
        <v/>
      </c>
      <c r="J540" s="11" t="str">
        <f aca="false">IF($K540="","",IF(INDEX('Prospect Tracker'!$L$5:$L$554,$K540)="","",INDEX('Prospect Tracker'!$L$5:$L$554,$K540)))</f>
        <v/>
      </c>
      <c r="K540" s="1" t="n">
        <f aca="false">IFERROR(MATCH(SMALL('Prospect Tracker'!$X$5:$X$554,ROW()-4),'Prospect Tracker'!$X$5:$X$554,0),"")</f>
        <v>536</v>
      </c>
    </row>
    <row r="541" customFormat="false" ht="15" hidden="false" customHeight="true" outlineLevel="0" collapsed="false">
      <c r="A541" s="6" t="str">
        <f aca="false">IF($K541="","",IF(INDEX('Prospect Tracker'!$W$5:$W$554,$K541)="","",INDEX('Prospect Tracker'!$W$5:$W$554,$K541)))</f>
        <v/>
      </c>
      <c r="B541" s="6" t="str">
        <f aca="false">IF($K541="","",IF(INDEX('Prospect Tracker'!$A$5:$A$554,$K541)="","",INDEX('Prospect Tracker'!$A$5:$A$554,$K541)))</f>
        <v/>
      </c>
      <c r="C541" s="6" t="str">
        <f aca="false">IF($K541="","",IF(INDEX('Prospect Tracker'!$B$5:$B$554,$K541)="","",INDEX('Prospect Tracker'!$B$5:$B$554,$K541)))</f>
        <v/>
      </c>
      <c r="D541" s="6" t="str">
        <f aca="false">IF($K541="","",IF(INDEX('Prospect Tracker'!$M$5:$M$554,$K541)="","",INDEX('Prospect Tracker'!$M$5:$M$554,$K541)))</f>
        <v/>
      </c>
      <c r="E541" s="6" t="str">
        <f aca="false">IF($K541="","",IF(INDEX('Prospect Tracker'!$R$5:$R$554,$K541)="","",INDEX('Prospect Tracker'!$R$5:$R$554,$K541)))</f>
        <v/>
      </c>
      <c r="F541" s="6" t="str">
        <f aca="false">IF($K541="","",IF(INDEX('Prospect Tracker'!$J$5:$J$554,$K541)="","",INDEX('Prospect Tracker'!$J$5:$J$554,$K541)))</f>
        <v/>
      </c>
      <c r="G541" s="6" t="str">
        <f aca="false">IF($K541="","",IF(INDEX('Prospect Tracker'!$H$5:$H$554,$K541)="","",INDEX('Prospect Tracker'!$H$5:$H$554,$K541)))</f>
        <v/>
      </c>
      <c r="H541" s="7" t="str">
        <f aca="false">IF($K541="","",IF(INDEX('Prospect Tracker'!$K$5:$K$554,$K541)="","",INDEX('Prospect Tracker'!$K$5:$K$554,$K541)))</f>
        <v/>
      </c>
      <c r="I541" s="6" t="str">
        <f aca="false">IF($K541="","",IF(INDEX('Prospect Tracker'!$T$5:$T$554,$K541)="","",INDEX('Prospect Tracker'!$T$5:$T$554,$K541)))</f>
        <v/>
      </c>
      <c r="J541" s="6" t="str">
        <f aca="false">IF($K541="","",IF(INDEX('Prospect Tracker'!$L$5:$L$554,$K541)="","",INDEX('Prospect Tracker'!$L$5:$L$554,$K541)))</f>
        <v/>
      </c>
      <c r="K541" s="1" t="n">
        <f aca="false">IFERROR(MATCH(SMALL('Prospect Tracker'!$X$5:$X$554,ROW()-4),'Prospect Tracker'!$X$5:$X$554,0),"")</f>
        <v>537</v>
      </c>
    </row>
    <row r="542" customFormat="false" ht="15" hidden="false" customHeight="true" outlineLevel="0" collapsed="false">
      <c r="A542" s="11" t="str">
        <f aca="false">IF($K542="","",IF(INDEX('Prospect Tracker'!$W$5:$W$554,$K542)="","",INDEX('Prospect Tracker'!$W$5:$W$554,$K542)))</f>
        <v/>
      </c>
      <c r="B542" s="11" t="str">
        <f aca="false">IF($K542="","",IF(INDEX('Prospect Tracker'!$A$5:$A$554,$K542)="","",INDEX('Prospect Tracker'!$A$5:$A$554,$K542)))</f>
        <v/>
      </c>
      <c r="C542" s="11" t="str">
        <f aca="false">IF($K542="","",IF(INDEX('Prospect Tracker'!$B$5:$B$554,$K542)="","",INDEX('Prospect Tracker'!$B$5:$B$554,$K542)))</f>
        <v/>
      </c>
      <c r="D542" s="11" t="str">
        <f aca="false">IF($K542="","",IF(INDEX('Prospect Tracker'!$M$5:$M$554,$K542)="","",INDEX('Prospect Tracker'!$M$5:$M$554,$K542)))</f>
        <v/>
      </c>
      <c r="E542" s="11" t="str">
        <f aca="false">IF($K542="","",IF(INDEX('Prospect Tracker'!$R$5:$R$554,$K542)="","",INDEX('Prospect Tracker'!$R$5:$R$554,$K542)))</f>
        <v/>
      </c>
      <c r="F542" s="11" t="str">
        <f aca="false">IF($K542="","",IF(INDEX('Prospect Tracker'!$J$5:$J$554,$K542)="","",INDEX('Prospect Tracker'!$J$5:$J$554,$K542)))</f>
        <v/>
      </c>
      <c r="G542" s="11" t="str">
        <f aca="false">IF($K542="","",IF(INDEX('Prospect Tracker'!$H$5:$H$554,$K542)="","",INDEX('Prospect Tracker'!$H$5:$H$554,$K542)))</f>
        <v/>
      </c>
      <c r="H542" s="12" t="str">
        <f aca="false">IF($K542="","",IF(INDEX('Prospect Tracker'!$K$5:$K$554,$K542)="","",INDEX('Prospect Tracker'!$K$5:$K$554,$K542)))</f>
        <v/>
      </c>
      <c r="I542" s="11" t="str">
        <f aca="false">IF($K542="","",IF(INDEX('Prospect Tracker'!$T$5:$T$554,$K542)="","",INDEX('Prospect Tracker'!$T$5:$T$554,$K542)))</f>
        <v/>
      </c>
      <c r="J542" s="11" t="str">
        <f aca="false">IF($K542="","",IF(INDEX('Prospect Tracker'!$L$5:$L$554,$K542)="","",INDEX('Prospect Tracker'!$L$5:$L$554,$K542)))</f>
        <v/>
      </c>
      <c r="K542" s="1" t="n">
        <f aca="false">IFERROR(MATCH(SMALL('Prospect Tracker'!$X$5:$X$554,ROW()-4),'Prospect Tracker'!$X$5:$X$554,0),"")</f>
        <v>538</v>
      </c>
    </row>
    <row r="543" customFormat="false" ht="15" hidden="false" customHeight="true" outlineLevel="0" collapsed="false">
      <c r="A543" s="6" t="str">
        <f aca="false">IF($K543="","",IF(INDEX('Prospect Tracker'!$W$5:$W$554,$K543)="","",INDEX('Prospect Tracker'!$W$5:$W$554,$K543)))</f>
        <v/>
      </c>
      <c r="B543" s="6" t="str">
        <f aca="false">IF($K543="","",IF(INDEX('Prospect Tracker'!$A$5:$A$554,$K543)="","",INDEX('Prospect Tracker'!$A$5:$A$554,$K543)))</f>
        <v/>
      </c>
      <c r="C543" s="6" t="str">
        <f aca="false">IF($K543="","",IF(INDEX('Prospect Tracker'!$B$5:$B$554,$K543)="","",INDEX('Prospect Tracker'!$B$5:$B$554,$K543)))</f>
        <v/>
      </c>
      <c r="D543" s="6" t="str">
        <f aca="false">IF($K543="","",IF(INDEX('Prospect Tracker'!$M$5:$M$554,$K543)="","",INDEX('Prospect Tracker'!$M$5:$M$554,$K543)))</f>
        <v/>
      </c>
      <c r="E543" s="6" t="str">
        <f aca="false">IF($K543="","",IF(INDEX('Prospect Tracker'!$R$5:$R$554,$K543)="","",INDEX('Prospect Tracker'!$R$5:$R$554,$K543)))</f>
        <v/>
      </c>
      <c r="F543" s="6" t="str">
        <f aca="false">IF($K543="","",IF(INDEX('Prospect Tracker'!$J$5:$J$554,$K543)="","",INDEX('Prospect Tracker'!$J$5:$J$554,$K543)))</f>
        <v/>
      </c>
      <c r="G543" s="6" t="str">
        <f aca="false">IF($K543="","",IF(INDEX('Prospect Tracker'!$H$5:$H$554,$K543)="","",INDEX('Prospect Tracker'!$H$5:$H$554,$K543)))</f>
        <v/>
      </c>
      <c r="H543" s="7" t="str">
        <f aca="false">IF($K543="","",IF(INDEX('Prospect Tracker'!$K$5:$K$554,$K543)="","",INDEX('Prospect Tracker'!$K$5:$K$554,$K543)))</f>
        <v/>
      </c>
      <c r="I543" s="6" t="str">
        <f aca="false">IF($K543="","",IF(INDEX('Prospect Tracker'!$T$5:$T$554,$K543)="","",INDEX('Prospect Tracker'!$T$5:$T$554,$K543)))</f>
        <v/>
      </c>
      <c r="J543" s="6" t="str">
        <f aca="false">IF($K543="","",IF(INDEX('Prospect Tracker'!$L$5:$L$554,$K543)="","",INDEX('Prospect Tracker'!$L$5:$L$554,$K543)))</f>
        <v/>
      </c>
      <c r="K543" s="1" t="n">
        <f aca="false">IFERROR(MATCH(SMALL('Prospect Tracker'!$X$5:$X$554,ROW()-4),'Prospect Tracker'!$X$5:$X$554,0),"")</f>
        <v>539</v>
      </c>
    </row>
    <row r="544" customFormat="false" ht="15" hidden="false" customHeight="true" outlineLevel="0" collapsed="false">
      <c r="A544" s="11" t="str">
        <f aca="false">IF($K544="","",IF(INDEX('Prospect Tracker'!$W$5:$W$554,$K544)="","",INDEX('Prospect Tracker'!$W$5:$W$554,$K544)))</f>
        <v/>
      </c>
      <c r="B544" s="11" t="str">
        <f aca="false">IF($K544="","",IF(INDEX('Prospect Tracker'!$A$5:$A$554,$K544)="","",INDEX('Prospect Tracker'!$A$5:$A$554,$K544)))</f>
        <v/>
      </c>
      <c r="C544" s="11" t="str">
        <f aca="false">IF($K544="","",IF(INDEX('Prospect Tracker'!$B$5:$B$554,$K544)="","",INDEX('Prospect Tracker'!$B$5:$B$554,$K544)))</f>
        <v/>
      </c>
      <c r="D544" s="11" t="str">
        <f aca="false">IF($K544="","",IF(INDEX('Prospect Tracker'!$M$5:$M$554,$K544)="","",INDEX('Prospect Tracker'!$M$5:$M$554,$K544)))</f>
        <v/>
      </c>
      <c r="E544" s="11" t="str">
        <f aca="false">IF($K544="","",IF(INDEX('Prospect Tracker'!$R$5:$R$554,$K544)="","",INDEX('Prospect Tracker'!$R$5:$R$554,$K544)))</f>
        <v/>
      </c>
      <c r="F544" s="11" t="str">
        <f aca="false">IF($K544="","",IF(INDEX('Prospect Tracker'!$J$5:$J$554,$K544)="","",INDEX('Prospect Tracker'!$J$5:$J$554,$K544)))</f>
        <v/>
      </c>
      <c r="G544" s="11" t="str">
        <f aca="false">IF($K544="","",IF(INDEX('Prospect Tracker'!$H$5:$H$554,$K544)="","",INDEX('Prospect Tracker'!$H$5:$H$554,$K544)))</f>
        <v/>
      </c>
      <c r="H544" s="12" t="str">
        <f aca="false">IF($K544="","",IF(INDEX('Prospect Tracker'!$K$5:$K$554,$K544)="","",INDEX('Prospect Tracker'!$K$5:$K$554,$K544)))</f>
        <v/>
      </c>
      <c r="I544" s="11" t="str">
        <f aca="false">IF($K544="","",IF(INDEX('Prospect Tracker'!$T$5:$T$554,$K544)="","",INDEX('Prospect Tracker'!$T$5:$T$554,$K544)))</f>
        <v/>
      </c>
      <c r="J544" s="11" t="str">
        <f aca="false">IF($K544="","",IF(INDEX('Prospect Tracker'!$L$5:$L$554,$K544)="","",INDEX('Prospect Tracker'!$L$5:$L$554,$K544)))</f>
        <v/>
      </c>
      <c r="K544" s="1" t="n">
        <f aca="false">IFERROR(MATCH(SMALL('Prospect Tracker'!$X$5:$X$554,ROW()-4),'Prospect Tracker'!$X$5:$X$554,0),"")</f>
        <v>540</v>
      </c>
    </row>
    <row r="545" customFormat="false" ht="15" hidden="false" customHeight="true" outlineLevel="0" collapsed="false">
      <c r="A545" s="6" t="str">
        <f aca="false">IF($K545="","",IF(INDEX('Prospect Tracker'!$W$5:$W$554,$K545)="","",INDEX('Prospect Tracker'!$W$5:$W$554,$K545)))</f>
        <v/>
      </c>
      <c r="B545" s="6" t="str">
        <f aca="false">IF($K545="","",IF(INDEX('Prospect Tracker'!$A$5:$A$554,$K545)="","",INDEX('Prospect Tracker'!$A$5:$A$554,$K545)))</f>
        <v/>
      </c>
      <c r="C545" s="6" t="str">
        <f aca="false">IF($K545="","",IF(INDEX('Prospect Tracker'!$B$5:$B$554,$K545)="","",INDEX('Prospect Tracker'!$B$5:$B$554,$K545)))</f>
        <v/>
      </c>
      <c r="D545" s="6" t="str">
        <f aca="false">IF($K545="","",IF(INDEX('Prospect Tracker'!$M$5:$M$554,$K545)="","",INDEX('Prospect Tracker'!$M$5:$M$554,$K545)))</f>
        <v/>
      </c>
      <c r="E545" s="6" t="str">
        <f aca="false">IF($K545="","",IF(INDEX('Prospect Tracker'!$R$5:$R$554,$K545)="","",INDEX('Prospect Tracker'!$R$5:$R$554,$K545)))</f>
        <v/>
      </c>
      <c r="F545" s="6" t="str">
        <f aca="false">IF($K545="","",IF(INDEX('Prospect Tracker'!$J$5:$J$554,$K545)="","",INDEX('Prospect Tracker'!$J$5:$J$554,$K545)))</f>
        <v/>
      </c>
      <c r="G545" s="6" t="str">
        <f aca="false">IF($K545="","",IF(INDEX('Prospect Tracker'!$H$5:$H$554,$K545)="","",INDEX('Prospect Tracker'!$H$5:$H$554,$K545)))</f>
        <v/>
      </c>
      <c r="H545" s="7" t="str">
        <f aca="false">IF($K545="","",IF(INDEX('Prospect Tracker'!$K$5:$K$554,$K545)="","",INDEX('Prospect Tracker'!$K$5:$K$554,$K545)))</f>
        <v/>
      </c>
      <c r="I545" s="6" t="str">
        <f aca="false">IF($K545="","",IF(INDEX('Prospect Tracker'!$T$5:$T$554,$K545)="","",INDEX('Prospect Tracker'!$T$5:$T$554,$K545)))</f>
        <v/>
      </c>
      <c r="J545" s="6" t="str">
        <f aca="false">IF($K545="","",IF(INDEX('Prospect Tracker'!$L$5:$L$554,$K545)="","",INDEX('Prospect Tracker'!$L$5:$L$554,$K545)))</f>
        <v/>
      </c>
      <c r="K545" s="1" t="n">
        <f aca="false">IFERROR(MATCH(SMALL('Prospect Tracker'!$X$5:$X$554,ROW()-4),'Prospect Tracker'!$X$5:$X$554,0),"")</f>
        <v>541</v>
      </c>
    </row>
    <row r="546" customFormat="false" ht="15" hidden="false" customHeight="true" outlineLevel="0" collapsed="false">
      <c r="A546" s="11" t="str">
        <f aca="false">IF($K546="","",IF(INDEX('Prospect Tracker'!$W$5:$W$554,$K546)="","",INDEX('Prospect Tracker'!$W$5:$W$554,$K546)))</f>
        <v/>
      </c>
      <c r="B546" s="11" t="str">
        <f aca="false">IF($K546="","",IF(INDEX('Prospect Tracker'!$A$5:$A$554,$K546)="","",INDEX('Prospect Tracker'!$A$5:$A$554,$K546)))</f>
        <v/>
      </c>
      <c r="C546" s="11" t="str">
        <f aca="false">IF($K546="","",IF(INDEX('Prospect Tracker'!$B$5:$B$554,$K546)="","",INDEX('Prospect Tracker'!$B$5:$B$554,$K546)))</f>
        <v/>
      </c>
      <c r="D546" s="11" t="str">
        <f aca="false">IF($K546="","",IF(INDEX('Prospect Tracker'!$M$5:$M$554,$K546)="","",INDEX('Prospect Tracker'!$M$5:$M$554,$K546)))</f>
        <v/>
      </c>
      <c r="E546" s="11" t="str">
        <f aca="false">IF($K546="","",IF(INDEX('Prospect Tracker'!$R$5:$R$554,$K546)="","",INDEX('Prospect Tracker'!$R$5:$R$554,$K546)))</f>
        <v/>
      </c>
      <c r="F546" s="11" t="str">
        <f aca="false">IF($K546="","",IF(INDEX('Prospect Tracker'!$J$5:$J$554,$K546)="","",INDEX('Prospect Tracker'!$J$5:$J$554,$K546)))</f>
        <v/>
      </c>
      <c r="G546" s="11" t="str">
        <f aca="false">IF($K546="","",IF(INDEX('Prospect Tracker'!$H$5:$H$554,$K546)="","",INDEX('Prospect Tracker'!$H$5:$H$554,$K546)))</f>
        <v/>
      </c>
      <c r="H546" s="12" t="str">
        <f aca="false">IF($K546="","",IF(INDEX('Prospect Tracker'!$K$5:$K$554,$K546)="","",INDEX('Prospect Tracker'!$K$5:$K$554,$K546)))</f>
        <v/>
      </c>
      <c r="I546" s="11" t="str">
        <f aca="false">IF($K546="","",IF(INDEX('Prospect Tracker'!$T$5:$T$554,$K546)="","",INDEX('Prospect Tracker'!$T$5:$T$554,$K546)))</f>
        <v/>
      </c>
      <c r="J546" s="11" t="str">
        <f aca="false">IF($K546="","",IF(INDEX('Prospect Tracker'!$L$5:$L$554,$K546)="","",INDEX('Prospect Tracker'!$L$5:$L$554,$K546)))</f>
        <v/>
      </c>
      <c r="K546" s="1" t="n">
        <f aca="false">IFERROR(MATCH(SMALL('Prospect Tracker'!$X$5:$X$554,ROW()-4),'Prospect Tracker'!$X$5:$X$554,0),"")</f>
        <v>542</v>
      </c>
    </row>
    <row r="547" customFormat="false" ht="15" hidden="false" customHeight="true" outlineLevel="0" collapsed="false">
      <c r="A547" s="6" t="str">
        <f aca="false">IF($K547="","",IF(INDEX('Prospect Tracker'!$W$5:$W$554,$K547)="","",INDEX('Prospect Tracker'!$W$5:$W$554,$K547)))</f>
        <v/>
      </c>
      <c r="B547" s="6" t="str">
        <f aca="false">IF($K547="","",IF(INDEX('Prospect Tracker'!$A$5:$A$554,$K547)="","",INDEX('Prospect Tracker'!$A$5:$A$554,$K547)))</f>
        <v/>
      </c>
      <c r="C547" s="6" t="str">
        <f aca="false">IF($K547="","",IF(INDEX('Prospect Tracker'!$B$5:$B$554,$K547)="","",INDEX('Prospect Tracker'!$B$5:$B$554,$K547)))</f>
        <v/>
      </c>
      <c r="D547" s="6" t="str">
        <f aca="false">IF($K547="","",IF(INDEX('Prospect Tracker'!$M$5:$M$554,$K547)="","",INDEX('Prospect Tracker'!$M$5:$M$554,$K547)))</f>
        <v/>
      </c>
      <c r="E547" s="6" t="str">
        <f aca="false">IF($K547="","",IF(INDEX('Prospect Tracker'!$R$5:$R$554,$K547)="","",INDEX('Prospect Tracker'!$R$5:$R$554,$K547)))</f>
        <v/>
      </c>
      <c r="F547" s="6" t="str">
        <f aca="false">IF($K547="","",IF(INDEX('Prospect Tracker'!$J$5:$J$554,$K547)="","",INDEX('Prospect Tracker'!$J$5:$J$554,$K547)))</f>
        <v/>
      </c>
      <c r="G547" s="6" t="str">
        <f aca="false">IF($K547="","",IF(INDEX('Prospect Tracker'!$H$5:$H$554,$K547)="","",INDEX('Prospect Tracker'!$H$5:$H$554,$K547)))</f>
        <v/>
      </c>
      <c r="H547" s="7" t="str">
        <f aca="false">IF($K547="","",IF(INDEX('Prospect Tracker'!$K$5:$K$554,$K547)="","",INDEX('Prospect Tracker'!$K$5:$K$554,$K547)))</f>
        <v/>
      </c>
      <c r="I547" s="6" t="str">
        <f aca="false">IF($K547="","",IF(INDEX('Prospect Tracker'!$T$5:$T$554,$K547)="","",INDEX('Prospect Tracker'!$T$5:$T$554,$K547)))</f>
        <v/>
      </c>
      <c r="J547" s="6" t="str">
        <f aca="false">IF($K547="","",IF(INDEX('Prospect Tracker'!$L$5:$L$554,$K547)="","",INDEX('Prospect Tracker'!$L$5:$L$554,$K547)))</f>
        <v/>
      </c>
      <c r="K547" s="1" t="n">
        <f aca="false">IFERROR(MATCH(SMALL('Prospect Tracker'!$X$5:$X$554,ROW()-4),'Prospect Tracker'!$X$5:$X$554,0),"")</f>
        <v>543</v>
      </c>
    </row>
    <row r="548" customFormat="false" ht="15" hidden="false" customHeight="true" outlineLevel="0" collapsed="false">
      <c r="A548" s="11" t="str">
        <f aca="false">IF($K548="","",IF(INDEX('Prospect Tracker'!$W$5:$W$554,$K548)="","",INDEX('Prospect Tracker'!$W$5:$W$554,$K548)))</f>
        <v/>
      </c>
      <c r="B548" s="11" t="str">
        <f aca="false">IF($K548="","",IF(INDEX('Prospect Tracker'!$A$5:$A$554,$K548)="","",INDEX('Prospect Tracker'!$A$5:$A$554,$K548)))</f>
        <v/>
      </c>
      <c r="C548" s="11" t="str">
        <f aca="false">IF($K548="","",IF(INDEX('Prospect Tracker'!$B$5:$B$554,$K548)="","",INDEX('Prospect Tracker'!$B$5:$B$554,$K548)))</f>
        <v/>
      </c>
      <c r="D548" s="11" t="str">
        <f aca="false">IF($K548="","",IF(INDEX('Prospect Tracker'!$M$5:$M$554,$K548)="","",INDEX('Prospect Tracker'!$M$5:$M$554,$K548)))</f>
        <v/>
      </c>
      <c r="E548" s="11" t="str">
        <f aca="false">IF($K548="","",IF(INDEX('Prospect Tracker'!$R$5:$R$554,$K548)="","",INDEX('Prospect Tracker'!$R$5:$R$554,$K548)))</f>
        <v/>
      </c>
      <c r="F548" s="11" t="str">
        <f aca="false">IF($K548="","",IF(INDEX('Prospect Tracker'!$J$5:$J$554,$K548)="","",INDEX('Prospect Tracker'!$J$5:$J$554,$K548)))</f>
        <v/>
      </c>
      <c r="G548" s="11" t="str">
        <f aca="false">IF($K548="","",IF(INDEX('Prospect Tracker'!$H$5:$H$554,$K548)="","",INDEX('Prospect Tracker'!$H$5:$H$554,$K548)))</f>
        <v/>
      </c>
      <c r="H548" s="12" t="str">
        <f aca="false">IF($K548="","",IF(INDEX('Prospect Tracker'!$K$5:$K$554,$K548)="","",INDEX('Prospect Tracker'!$K$5:$K$554,$K548)))</f>
        <v/>
      </c>
      <c r="I548" s="11" t="str">
        <f aca="false">IF($K548="","",IF(INDEX('Prospect Tracker'!$T$5:$T$554,$K548)="","",INDEX('Prospect Tracker'!$T$5:$T$554,$K548)))</f>
        <v/>
      </c>
      <c r="J548" s="11" t="str">
        <f aca="false">IF($K548="","",IF(INDEX('Prospect Tracker'!$L$5:$L$554,$K548)="","",INDEX('Prospect Tracker'!$L$5:$L$554,$K548)))</f>
        <v/>
      </c>
      <c r="K548" s="1" t="n">
        <f aca="false">IFERROR(MATCH(SMALL('Prospect Tracker'!$X$5:$X$554,ROW()-4),'Prospect Tracker'!$X$5:$X$554,0),"")</f>
        <v>544</v>
      </c>
    </row>
    <row r="549" customFormat="false" ht="15" hidden="false" customHeight="true" outlineLevel="0" collapsed="false">
      <c r="A549" s="6" t="str">
        <f aca="false">IF($K549="","",IF(INDEX('Prospect Tracker'!$W$5:$W$554,$K549)="","",INDEX('Prospect Tracker'!$W$5:$W$554,$K549)))</f>
        <v/>
      </c>
      <c r="B549" s="6" t="str">
        <f aca="false">IF($K549="","",IF(INDEX('Prospect Tracker'!$A$5:$A$554,$K549)="","",INDEX('Prospect Tracker'!$A$5:$A$554,$K549)))</f>
        <v/>
      </c>
      <c r="C549" s="6" t="str">
        <f aca="false">IF($K549="","",IF(INDEX('Prospect Tracker'!$B$5:$B$554,$K549)="","",INDEX('Prospect Tracker'!$B$5:$B$554,$K549)))</f>
        <v/>
      </c>
      <c r="D549" s="6" t="str">
        <f aca="false">IF($K549="","",IF(INDEX('Prospect Tracker'!$M$5:$M$554,$K549)="","",INDEX('Prospect Tracker'!$M$5:$M$554,$K549)))</f>
        <v/>
      </c>
      <c r="E549" s="6" t="str">
        <f aca="false">IF($K549="","",IF(INDEX('Prospect Tracker'!$R$5:$R$554,$K549)="","",INDEX('Prospect Tracker'!$R$5:$R$554,$K549)))</f>
        <v/>
      </c>
      <c r="F549" s="6" t="str">
        <f aca="false">IF($K549="","",IF(INDEX('Prospect Tracker'!$J$5:$J$554,$K549)="","",INDEX('Prospect Tracker'!$J$5:$J$554,$K549)))</f>
        <v/>
      </c>
      <c r="G549" s="6" t="str">
        <f aca="false">IF($K549="","",IF(INDEX('Prospect Tracker'!$H$5:$H$554,$K549)="","",INDEX('Prospect Tracker'!$H$5:$H$554,$K549)))</f>
        <v/>
      </c>
      <c r="H549" s="7" t="str">
        <f aca="false">IF($K549="","",IF(INDEX('Prospect Tracker'!$K$5:$K$554,$K549)="","",INDEX('Prospect Tracker'!$K$5:$K$554,$K549)))</f>
        <v/>
      </c>
      <c r="I549" s="6" t="str">
        <f aca="false">IF($K549="","",IF(INDEX('Prospect Tracker'!$T$5:$T$554,$K549)="","",INDEX('Prospect Tracker'!$T$5:$T$554,$K549)))</f>
        <v/>
      </c>
      <c r="J549" s="6" t="str">
        <f aca="false">IF($K549="","",IF(INDEX('Prospect Tracker'!$L$5:$L$554,$K549)="","",INDEX('Prospect Tracker'!$L$5:$L$554,$K549)))</f>
        <v/>
      </c>
      <c r="K549" s="1" t="n">
        <f aca="false">IFERROR(MATCH(SMALL('Prospect Tracker'!$X$5:$X$554,ROW()-4),'Prospect Tracker'!$X$5:$X$554,0),"")</f>
        <v>545</v>
      </c>
    </row>
    <row r="550" customFormat="false" ht="15" hidden="false" customHeight="true" outlineLevel="0" collapsed="false">
      <c r="A550" s="11" t="str">
        <f aca="false">IF($K550="","",IF(INDEX('Prospect Tracker'!$W$5:$W$554,$K550)="","",INDEX('Prospect Tracker'!$W$5:$W$554,$K550)))</f>
        <v/>
      </c>
      <c r="B550" s="11" t="str">
        <f aca="false">IF($K550="","",IF(INDEX('Prospect Tracker'!$A$5:$A$554,$K550)="","",INDEX('Prospect Tracker'!$A$5:$A$554,$K550)))</f>
        <v/>
      </c>
      <c r="C550" s="11" t="str">
        <f aca="false">IF($K550="","",IF(INDEX('Prospect Tracker'!$B$5:$B$554,$K550)="","",INDEX('Prospect Tracker'!$B$5:$B$554,$K550)))</f>
        <v/>
      </c>
      <c r="D550" s="11" t="str">
        <f aca="false">IF($K550="","",IF(INDEX('Prospect Tracker'!$M$5:$M$554,$K550)="","",INDEX('Prospect Tracker'!$M$5:$M$554,$K550)))</f>
        <v/>
      </c>
      <c r="E550" s="11" t="str">
        <f aca="false">IF($K550="","",IF(INDEX('Prospect Tracker'!$R$5:$R$554,$K550)="","",INDEX('Prospect Tracker'!$R$5:$R$554,$K550)))</f>
        <v/>
      </c>
      <c r="F550" s="11" t="str">
        <f aca="false">IF($K550="","",IF(INDEX('Prospect Tracker'!$J$5:$J$554,$K550)="","",INDEX('Prospect Tracker'!$J$5:$J$554,$K550)))</f>
        <v/>
      </c>
      <c r="G550" s="11" t="str">
        <f aca="false">IF($K550="","",IF(INDEX('Prospect Tracker'!$H$5:$H$554,$K550)="","",INDEX('Prospect Tracker'!$H$5:$H$554,$K550)))</f>
        <v/>
      </c>
      <c r="H550" s="12" t="str">
        <f aca="false">IF($K550="","",IF(INDEX('Prospect Tracker'!$K$5:$K$554,$K550)="","",INDEX('Prospect Tracker'!$K$5:$K$554,$K550)))</f>
        <v/>
      </c>
      <c r="I550" s="11" t="str">
        <f aca="false">IF($K550="","",IF(INDEX('Prospect Tracker'!$T$5:$T$554,$K550)="","",INDEX('Prospect Tracker'!$T$5:$T$554,$K550)))</f>
        <v/>
      </c>
      <c r="J550" s="11" t="str">
        <f aca="false">IF($K550="","",IF(INDEX('Prospect Tracker'!$L$5:$L$554,$K550)="","",INDEX('Prospect Tracker'!$L$5:$L$554,$K550)))</f>
        <v/>
      </c>
      <c r="K550" s="1" t="n">
        <f aca="false">IFERROR(MATCH(SMALL('Prospect Tracker'!$X$5:$X$554,ROW()-4),'Prospect Tracker'!$X$5:$X$554,0),"")</f>
        <v>546</v>
      </c>
    </row>
    <row r="551" customFormat="false" ht="15" hidden="false" customHeight="true" outlineLevel="0" collapsed="false">
      <c r="A551" s="6" t="str">
        <f aca="false">IF($K551="","",IF(INDEX('Prospect Tracker'!$W$5:$W$554,$K551)="","",INDEX('Prospect Tracker'!$W$5:$W$554,$K551)))</f>
        <v/>
      </c>
      <c r="B551" s="6" t="str">
        <f aca="false">IF($K551="","",IF(INDEX('Prospect Tracker'!$A$5:$A$554,$K551)="","",INDEX('Prospect Tracker'!$A$5:$A$554,$K551)))</f>
        <v/>
      </c>
      <c r="C551" s="6" t="str">
        <f aca="false">IF($K551="","",IF(INDEX('Prospect Tracker'!$B$5:$B$554,$K551)="","",INDEX('Prospect Tracker'!$B$5:$B$554,$K551)))</f>
        <v/>
      </c>
      <c r="D551" s="6" t="str">
        <f aca="false">IF($K551="","",IF(INDEX('Prospect Tracker'!$M$5:$M$554,$K551)="","",INDEX('Prospect Tracker'!$M$5:$M$554,$K551)))</f>
        <v/>
      </c>
      <c r="E551" s="6" t="str">
        <f aca="false">IF($K551="","",IF(INDEX('Prospect Tracker'!$R$5:$R$554,$K551)="","",INDEX('Prospect Tracker'!$R$5:$R$554,$K551)))</f>
        <v/>
      </c>
      <c r="F551" s="6" t="str">
        <f aca="false">IF($K551="","",IF(INDEX('Prospect Tracker'!$J$5:$J$554,$K551)="","",INDEX('Prospect Tracker'!$J$5:$J$554,$K551)))</f>
        <v/>
      </c>
      <c r="G551" s="6" t="str">
        <f aca="false">IF($K551="","",IF(INDEX('Prospect Tracker'!$H$5:$H$554,$K551)="","",INDEX('Prospect Tracker'!$H$5:$H$554,$K551)))</f>
        <v/>
      </c>
      <c r="H551" s="7" t="str">
        <f aca="false">IF($K551="","",IF(INDEX('Prospect Tracker'!$K$5:$K$554,$K551)="","",INDEX('Prospect Tracker'!$K$5:$K$554,$K551)))</f>
        <v/>
      </c>
      <c r="I551" s="6" t="str">
        <f aca="false">IF($K551="","",IF(INDEX('Prospect Tracker'!$T$5:$T$554,$K551)="","",INDEX('Prospect Tracker'!$T$5:$T$554,$K551)))</f>
        <v/>
      </c>
      <c r="J551" s="6" t="str">
        <f aca="false">IF($K551="","",IF(INDEX('Prospect Tracker'!$L$5:$L$554,$K551)="","",INDEX('Prospect Tracker'!$L$5:$L$554,$K551)))</f>
        <v/>
      </c>
      <c r="K551" s="1" t="n">
        <f aca="false">IFERROR(MATCH(SMALL('Prospect Tracker'!$X$5:$X$554,ROW()-4),'Prospect Tracker'!$X$5:$X$554,0),"")</f>
        <v>547</v>
      </c>
    </row>
    <row r="552" customFormat="false" ht="15" hidden="false" customHeight="true" outlineLevel="0" collapsed="false">
      <c r="A552" s="11" t="str">
        <f aca="false">IF($K552="","",IF(INDEX('Prospect Tracker'!$W$5:$W$554,$K552)="","",INDEX('Prospect Tracker'!$W$5:$W$554,$K552)))</f>
        <v/>
      </c>
      <c r="B552" s="11" t="str">
        <f aca="false">IF($K552="","",IF(INDEX('Prospect Tracker'!$A$5:$A$554,$K552)="","",INDEX('Prospect Tracker'!$A$5:$A$554,$K552)))</f>
        <v/>
      </c>
      <c r="C552" s="11" t="str">
        <f aca="false">IF($K552="","",IF(INDEX('Prospect Tracker'!$B$5:$B$554,$K552)="","",INDEX('Prospect Tracker'!$B$5:$B$554,$K552)))</f>
        <v/>
      </c>
      <c r="D552" s="11" t="str">
        <f aca="false">IF($K552="","",IF(INDEX('Prospect Tracker'!$M$5:$M$554,$K552)="","",INDEX('Prospect Tracker'!$M$5:$M$554,$K552)))</f>
        <v/>
      </c>
      <c r="E552" s="11" t="str">
        <f aca="false">IF($K552="","",IF(INDEX('Prospect Tracker'!$R$5:$R$554,$K552)="","",INDEX('Prospect Tracker'!$R$5:$R$554,$K552)))</f>
        <v/>
      </c>
      <c r="F552" s="11" t="str">
        <f aca="false">IF($K552="","",IF(INDEX('Prospect Tracker'!$J$5:$J$554,$K552)="","",INDEX('Prospect Tracker'!$J$5:$J$554,$K552)))</f>
        <v/>
      </c>
      <c r="G552" s="11" t="str">
        <f aca="false">IF($K552="","",IF(INDEX('Prospect Tracker'!$H$5:$H$554,$K552)="","",INDEX('Prospect Tracker'!$H$5:$H$554,$K552)))</f>
        <v/>
      </c>
      <c r="H552" s="12" t="str">
        <f aca="false">IF($K552="","",IF(INDEX('Prospect Tracker'!$K$5:$K$554,$K552)="","",INDEX('Prospect Tracker'!$K$5:$K$554,$K552)))</f>
        <v/>
      </c>
      <c r="I552" s="11" t="str">
        <f aca="false">IF($K552="","",IF(INDEX('Prospect Tracker'!$T$5:$T$554,$K552)="","",INDEX('Prospect Tracker'!$T$5:$T$554,$K552)))</f>
        <v/>
      </c>
      <c r="J552" s="11" t="str">
        <f aca="false">IF($K552="","",IF(INDEX('Prospect Tracker'!$L$5:$L$554,$K552)="","",INDEX('Prospect Tracker'!$L$5:$L$554,$K552)))</f>
        <v/>
      </c>
      <c r="K552" s="1" t="n">
        <f aca="false">IFERROR(MATCH(SMALL('Prospect Tracker'!$X$5:$X$554,ROW()-4),'Prospect Tracker'!$X$5:$X$554,0),"")</f>
        <v>548</v>
      </c>
    </row>
    <row r="553" customFormat="false" ht="15" hidden="false" customHeight="true" outlineLevel="0" collapsed="false">
      <c r="A553" s="6" t="str">
        <f aca="false">IF($K553="","",IF(INDEX('Prospect Tracker'!$W$5:$W$554,$K553)="","",INDEX('Prospect Tracker'!$W$5:$W$554,$K553)))</f>
        <v/>
      </c>
      <c r="B553" s="6" t="str">
        <f aca="false">IF($K553="","",IF(INDEX('Prospect Tracker'!$A$5:$A$554,$K553)="","",INDEX('Prospect Tracker'!$A$5:$A$554,$K553)))</f>
        <v/>
      </c>
      <c r="C553" s="6" t="str">
        <f aca="false">IF($K553="","",IF(INDEX('Prospect Tracker'!$B$5:$B$554,$K553)="","",INDEX('Prospect Tracker'!$B$5:$B$554,$K553)))</f>
        <v/>
      </c>
      <c r="D553" s="6" t="str">
        <f aca="false">IF($K553="","",IF(INDEX('Prospect Tracker'!$M$5:$M$554,$K553)="","",INDEX('Prospect Tracker'!$M$5:$M$554,$K553)))</f>
        <v/>
      </c>
      <c r="E553" s="6" t="str">
        <f aca="false">IF($K553="","",IF(INDEX('Prospect Tracker'!$R$5:$R$554,$K553)="","",INDEX('Prospect Tracker'!$R$5:$R$554,$K553)))</f>
        <v/>
      </c>
      <c r="F553" s="6" t="str">
        <f aca="false">IF($K553="","",IF(INDEX('Prospect Tracker'!$J$5:$J$554,$K553)="","",INDEX('Prospect Tracker'!$J$5:$J$554,$K553)))</f>
        <v/>
      </c>
      <c r="G553" s="6" t="str">
        <f aca="false">IF($K553="","",IF(INDEX('Prospect Tracker'!$H$5:$H$554,$K553)="","",INDEX('Prospect Tracker'!$H$5:$H$554,$K553)))</f>
        <v/>
      </c>
      <c r="H553" s="7" t="str">
        <f aca="false">IF($K553="","",IF(INDEX('Prospect Tracker'!$K$5:$K$554,$K553)="","",INDEX('Prospect Tracker'!$K$5:$K$554,$K553)))</f>
        <v/>
      </c>
      <c r="I553" s="6" t="str">
        <f aca="false">IF($K553="","",IF(INDEX('Prospect Tracker'!$T$5:$T$554,$K553)="","",INDEX('Prospect Tracker'!$T$5:$T$554,$K553)))</f>
        <v/>
      </c>
      <c r="J553" s="6" t="str">
        <f aca="false">IF($K553="","",IF(INDEX('Prospect Tracker'!$L$5:$L$554,$K553)="","",INDEX('Prospect Tracker'!$L$5:$L$554,$K553)))</f>
        <v/>
      </c>
      <c r="K553" s="1" t="n">
        <f aca="false">IFERROR(MATCH(SMALL('Prospect Tracker'!$X$5:$X$554,ROW()-4),'Prospect Tracker'!$X$5:$X$554,0),"")</f>
        <v>549</v>
      </c>
    </row>
    <row r="554" customFormat="false" ht="15" hidden="false" customHeight="true" outlineLevel="0" collapsed="false">
      <c r="A554" s="11" t="str">
        <f aca="false">IF($K554="","",IF(INDEX('Prospect Tracker'!$W$5:$W$554,$K554)="","",INDEX('Prospect Tracker'!$W$5:$W$554,$K554)))</f>
        <v/>
      </c>
      <c r="B554" s="11" t="str">
        <f aca="false">IF($K554="","",IF(INDEX('Prospect Tracker'!$A$5:$A$554,$K554)="","",INDEX('Prospect Tracker'!$A$5:$A$554,$K554)))</f>
        <v/>
      </c>
      <c r="C554" s="11" t="str">
        <f aca="false">IF($K554="","",IF(INDEX('Prospect Tracker'!$B$5:$B$554,$K554)="","",INDEX('Prospect Tracker'!$B$5:$B$554,$K554)))</f>
        <v/>
      </c>
      <c r="D554" s="11" t="str">
        <f aca="false">IF($K554="","",IF(INDEX('Prospect Tracker'!$M$5:$M$554,$K554)="","",INDEX('Prospect Tracker'!$M$5:$M$554,$K554)))</f>
        <v/>
      </c>
      <c r="E554" s="11" t="str">
        <f aca="false">IF($K554="","",IF(INDEX('Prospect Tracker'!$R$5:$R$554,$K554)="","",INDEX('Prospect Tracker'!$R$5:$R$554,$K554)))</f>
        <v/>
      </c>
      <c r="F554" s="11" t="str">
        <f aca="false">IF($K554="","",IF(INDEX('Prospect Tracker'!$J$5:$J$554,$K554)="","",INDEX('Prospect Tracker'!$J$5:$J$554,$K554)))</f>
        <v/>
      </c>
      <c r="G554" s="11" t="str">
        <f aca="false">IF($K554="","",IF(INDEX('Prospect Tracker'!$H$5:$H$554,$K554)="","",INDEX('Prospect Tracker'!$H$5:$H$554,$K554)))</f>
        <v/>
      </c>
      <c r="H554" s="12" t="str">
        <f aca="false">IF($K554="","",IF(INDEX('Prospect Tracker'!$K$5:$K$554,$K554)="","",INDEX('Prospect Tracker'!$K$5:$K$554,$K554)))</f>
        <v/>
      </c>
      <c r="I554" s="11" t="str">
        <f aca="false">IF($K554="","",IF(INDEX('Prospect Tracker'!$T$5:$T$554,$K554)="","",INDEX('Prospect Tracker'!$T$5:$T$554,$K554)))</f>
        <v/>
      </c>
      <c r="J554" s="11" t="str">
        <f aca="false">IF($K554="","",IF(INDEX('Prospect Tracker'!$L$5:$L$554,$K554)="","",INDEX('Prospect Tracker'!$L$5:$L$554,$K554)))</f>
        <v/>
      </c>
      <c r="K554" s="1" t="n">
        <f aca="false">IFERROR(MATCH(SMALL('Prospect Tracker'!$X$5:$X$554,ROW()-4),'Prospect Tracker'!$X$5:$X$554,0),"")</f>
        <v>550</v>
      </c>
    </row>
  </sheetData>
  <mergeCells count="2">
    <mergeCell ref="A1:I1"/>
    <mergeCell ref="A2:I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32"/>
    <col collapsed="false" customWidth="true" hidden="false" outlineLevel="0" max="2" min="2" style="1" width="14"/>
  </cols>
  <sheetData>
    <row r="1" customFormat="false" ht="21" hidden="false" customHeight="true" outlineLevel="0" collapsed="false">
      <c r="A1" s="8" t="s">
        <v>45</v>
      </c>
      <c r="B1" s="8"/>
    </row>
    <row r="3" customFormat="false" ht="15.75" hidden="false" customHeight="true" outlineLevel="0" collapsed="false">
      <c r="A3" s="13" t="s">
        <v>46</v>
      </c>
      <c r="B3" s="13"/>
    </row>
    <row r="4" customFormat="false" ht="15" hidden="false" customHeight="true" outlineLevel="0" collapsed="false">
      <c r="A4" s="14" t="s">
        <v>47</v>
      </c>
      <c r="B4" s="15" t="n">
        <f aca="false">COUNTIF('Prospect Tracker'!$R$5:$R$554,"New Lead")</f>
        <v>0</v>
      </c>
    </row>
    <row r="5" customFormat="false" ht="15" hidden="false" customHeight="true" outlineLevel="0" collapsed="false">
      <c r="A5" s="14" t="s">
        <v>48</v>
      </c>
      <c r="B5" s="15" t="n">
        <f aca="false">COUNTIF('Prospect Tracker'!$R$5:$R$554,"Contacted")</f>
        <v>0</v>
      </c>
    </row>
    <row r="6" customFormat="false" ht="15" hidden="false" customHeight="true" outlineLevel="0" collapsed="false">
      <c r="A6" s="14" t="s">
        <v>49</v>
      </c>
      <c r="B6" s="15" t="n">
        <f aca="false">COUNTIF('Prospect Tracker'!$R$5:$R$554,"Presented")</f>
        <v>0</v>
      </c>
    </row>
    <row r="7" customFormat="false" ht="15" hidden="false" customHeight="true" outlineLevel="0" collapsed="false">
      <c r="A7" s="14" t="s">
        <v>50</v>
      </c>
      <c r="B7" s="15" t="n">
        <f aca="false">COUNTIF('Prospect Tracker'!$R$5:$R$554,"Follow-Up")</f>
        <v>0</v>
      </c>
    </row>
    <row r="8" customFormat="false" ht="15" hidden="false" customHeight="true" outlineLevel="0" collapsed="false">
      <c r="A8" s="14" t="s">
        <v>51</v>
      </c>
      <c r="B8" s="15" t="n">
        <f aca="false">COUNTIF('Prospect Tracker'!$R$5:$R$554,"Sponsored")</f>
        <v>0</v>
      </c>
    </row>
    <row r="9" customFormat="false" ht="15" hidden="false" customHeight="true" outlineLevel="0" collapsed="false">
      <c r="A9" s="14" t="s">
        <v>52</v>
      </c>
      <c r="B9" s="15" t="n">
        <f aca="false">COUNTIF('Prospect Tracker'!$R$5:$R$554,"Onboarded")</f>
        <v>0</v>
      </c>
    </row>
    <row r="11" customFormat="false" ht="15.75" hidden="false" customHeight="true" outlineLevel="0" collapsed="false">
      <c r="A11" s="13" t="s">
        <v>53</v>
      </c>
      <c r="B11" s="13"/>
    </row>
    <row r="12" customFormat="false" ht="15" hidden="false" customHeight="true" outlineLevel="0" collapsed="false">
      <c r="A12" s="14" t="s">
        <v>54</v>
      </c>
      <c r="B12" s="15" t="n">
        <f aca="false">SUMPRODUCT(--(TRIM('Prospect Tracker'!$A$5:$A$554)&lt;&gt;""))</f>
        <v>0</v>
      </c>
    </row>
    <row r="13" customFormat="false" ht="15" hidden="false" customHeight="true" outlineLevel="0" collapsed="false">
      <c r="A13" s="14" t="s">
        <v>55</v>
      </c>
      <c r="B13" s="15" t="n">
        <f aca="false">COUNTIF('Prospect Tracker'!$T$5:$T$554,"&gt;7")</f>
        <v>0</v>
      </c>
    </row>
    <row r="15" customFormat="false" ht="15.75" hidden="false" customHeight="true" outlineLevel="0" collapsed="false">
      <c r="A15" s="13" t="s">
        <v>56</v>
      </c>
      <c r="B15" s="13"/>
    </row>
    <row r="16" customFormat="false" ht="15" hidden="false" customHeight="true" outlineLevel="0" collapsed="false">
      <c r="A16" s="14" t="s">
        <v>57</v>
      </c>
      <c r="B16" s="15" t="n">
        <f aca="false">COUNTIF('Prospect Tracker'!$M$5:$M$554,"Member")</f>
        <v>0</v>
      </c>
    </row>
    <row r="17" customFormat="false" ht="15" hidden="false" customHeight="true" outlineLevel="0" collapsed="false">
      <c r="A17" s="14" t="s">
        <v>58</v>
      </c>
      <c r="B17" s="15" t="n">
        <f aca="false">COUNTIF('Prospect Tracker'!$M$5:$M$554,"Ambassador")</f>
        <v>0</v>
      </c>
    </row>
    <row r="18" customFormat="false" ht="15" hidden="false" customHeight="true" outlineLevel="0" collapsed="false">
      <c r="A18" s="14" t="s">
        <v>59</v>
      </c>
      <c r="B18" s="15" t="n">
        <f aca="false">COUNTIF('Prospect Tracker'!$M$5:$M$554,"Interested")</f>
        <v>0</v>
      </c>
    </row>
    <row r="20" customFormat="false" ht="15.75" hidden="false" customHeight="true" outlineLevel="0" collapsed="false">
      <c r="A20" s="13" t="s">
        <v>60</v>
      </c>
      <c r="B20" s="13"/>
    </row>
    <row r="21" customFormat="false" ht="15" hidden="false" customHeight="true" outlineLevel="0" collapsed="false">
      <c r="A21" s="14" t="s">
        <v>61</v>
      </c>
      <c r="B21" s="15" t="n">
        <f aca="false">COUNTIF('Prospect Tracker'!$O$5:$O$554,"Not Asked")</f>
        <v>0</v>
      </c>
    </row>
    <row r="22" customFormat="false" ht="15" hidden="false" customHeight="true" outlineLevel="0" collapsed="false">
      <c r="A22" s="14" t="s">
        <v>62</v>
      </c>
      <c r="B22" s="15" t="n">
        <f aca="false">COUNTIF('Prospect Tracker'!$O$5:$O$554,"Asked")</f>
        <v>0</v>
      </c>
    </row>
    <row r="23" customFormat="false" ht="15" hidden="false" customHeight="true" outlineLevel="0" collapsed="false">
      <c r="A23" s="14" t="s">
        <v>63</v>
      </c>
      <c r="B23" s="15" t="n">
        <f aca="false">COUNTIF('Prospect Tracker'!$O$5:$O$554,"Referrals Given")</f>
        <v>0</v>
      </c>
    </row>
  </sheetData>
  <mergeCells count="5">
    <mergeCell ref="A1:B1"/>
    <mergeCell ref="A3:B3"/>
    <mergeCell ref="A11:B11"/>
    <mergeCell ref="A15:B15"/>
    <mergeCell ref="A20:B2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6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6796875" defaultRowHeight="15" zeroHeight="false" outlineLevelRow="0" outlineLevelCol="0"/>
  <cols>
    <col collapsed="false" customWidth="true" hidden="false" outlineLevel="0" max="1" min="1" style="1" width="4"/>
    <col collapsed="false" customWidth="true" hidden="false" outlineLevel="0" max="2" min="2" style="1" width="95"/>
  </cols>
  <sheetData>
    <row r="1" customFormat="false" ht="22.5" hidden="false" customHeight="true" outlineLevel="0" collapsed="false">
      <c r="A1" s="16" t="s">
        <v>64</v>
      </c>
      <c r="B1" s="16"/>
    </row>
    <row r="3" customFormat="false" ht="15.75" hidden="false" customHeight="true" outlineLevel="0" collapsed="false">
      <c r="B3" s="17" t="s">
        <v>65</v>
      </c>
    </row>
    <row r="4" customFormat="false" ht="30" hidden="false" customHeight="true" outlineLevel="0" collapsed="false">
      <c r="B4" s="18" t="s">
        <v>66</v>
      </c>
    </row>
    <row r="6" customFormat="false" ht="15.75" hidden="false" customHeight="true" outlineLevel="0" collapsed="false">
      <c r="B6" s="17" t="s">
        <v>67</v>
      </c>
    </row>
    <row r="7" customFormat="false" ht="15" hidden="false" customHeight="true" outlineLevel="0" collapsed="false">
      <c r="B7" s="18" t="s">
        <v>68</v>
      </c>
    </row>
    <row r="9" customFormat="false" ht="15.75" hidden="false" customHeight="true" outlineLevel="0" collapsed="false">
      <c r="B9" s="17" t="s">
        <v>6</v>
      </c>
    </row>
    <row r="10" customFormat="false" ht="15" hidden="false" customHeight="true" outlineLevel="0" collapsed="false">
      <c r="B10" s="18" t="s">
        <v>69</v>
      </c>
    </row>
    <row r="12" customFormat="false" ht="15.75" hidden="false" customHeight="true" outlineLevel="0" collapsed="false">
      <c r="B12" s="17" t="s">
        <v>7</v>
      </c>
    </row>
    <row r="13" customFormat="false" ht="15" hidden="false" customHeight="true" outlineLevel="0" collapsed="false">
      <c r="B13" s="18" t="s">
        <v>70</v>
      </c>
    </row>
    <row r="15" customFormat="false" ht="15.75" hidden="false" customHeight="true" outlineLevel="0" collapsed="false">
      <c r="B15" s="17" t="s">
        <v>8</v>
      </c>
    </row>
    <row r="16" customFormat="false" ht="15" hidden="false" customHeight="true" outlineLevel="0" collapsed="false">
      <c r="B16" s="18" t="s">
        <v>71</v>
      </c>
    </row>
    <row r="18" customFormat="false" ht="15.75" hidden="false" customHeight="true" outlineLevel="0" collapsed="false">
      <c r="B18" s="17" t="s">
        <v>9</v>
      </c>
    </row>
    <row r="19" customFormat="false" ht="15" hidden="false" customHeight="true" outlineLevel="0" collapsed="false">
      <c r="B19" s="18" t="s">
        <v>72</v>
      </c>
    </row>
    <row r="21" customFormat="false" ht="15.75" hidden="false" customHeight="true" outlineLevel="0" collapsed="false">
      <c r="B21" s="17" t="s">
        <v>73</v>
      </c>
    </row>
    <row r="22" customFormat="false" ht="15" hidden="false" customHeight="true" outlineLevel="0" collapsed="false">
      <c r="B22" s="18" t="s">
        <v>74</v>
      </c>
    </row>
    <row r="24" customFormat="false" ht="15.75" hidden="false" customHeight="true" outlineLevel="0" collapsed="false">
      <c r="B24" s="17" t="s">
        <v>75</v>
      </c>
    </row>
    <row r="25" customFormat="false" ht="15" hidden="false" customHeight="true" outlineLevel="0" collapsed="false">
      <c r="B25" s="18" t="s">
        <v>76</v>
      </c>
    </row>
    <row r="27" customFormat="false" ht="15.75" hidden="false" customHeight="true" outlineLevel="0" collapsed="false">
      <c r="B27" s="17" t="s">
        <v>14</v>
      </c>
    </row>
    <row r="28" customFormat="false" ht="15" hidden="false" customHeight="true" outlineLevel="0" collapsed="false">
      <c r="B28" s="18" t="s">
        <v>77</v>
      </c>
    </row>
    <row r="30" customFormat="false" ht="15.75" hidden="false" customHeight="true" outlineLevel="0" collapsed="false">
      <c r="B30" s="17" t="s">
        <v>15</v>
      </c>
    </row>
    <row r="31" customFormat="false" ht="15" hidden="false" customHeight="true" outlineLevel="0" collapsed="false">
      <c r="B31" s="18" t="s">
        <v>78</v>
      </c>
    </row>
    <row r="33" customFormat="false" ht="15.75" hidden="false" customHeight="true" outlineLevel="0" collapsed="false">
      <c r="B33" s="17" t="s">
        <v>16</v>
      </c>
    </row>
    <row r="34" customFormat="false" ht="15" hidden="false" customHeight="true" outlineLevel="0" collapsed="false">
      <c r="B34" s="18" t="s">
        <v>79</v>
      </c>
    </row>
    <row r="36" customFormat="false" ht="15.75" hidden="false" customHeight="true" outlineLevel="0" collapsed="false">
      <c r="B36" s="17" t="s">
        <v>80</v>
      </c>
    </row>
    <row r="37" customFormat="false" ht="15" hidden="false" customHeight="true" outlineLevel="0" collapsed="false">
      <c r="B37" s="18" t="s">
        <v>81</v>
      </c>
    </row>
    <row r="39" customFormat="false" ht="15.75" hidden="false" customHeight="true" outlineLevel="0" collapsed="false">
      <c r="B39" s="17" t="s">
        <v>19</v>
      </c>
    </row>
    <row r="40" customFormat="false" ht="15" hidden="false" customHeight="true" outlineLevel="0" collapsed="false">
      <c r="B40" s="18" t="s">
        <v>82</v>
      </c>
    </row>
    <row r="42" customFormat="false" ht="15.75" hidden="false" customHeight="true" outlineLevel="0" collapsed="false">
      <c r="B42" s="17" t="s">
        <v>20</v>
      </c>
    </row>
    <row r="43" customFormat="false" ht="15" hidden="false" customHeight="true" outlineLevel="0" collapsed="false">
      <c r="B43" s="18" t="s">
        <v>83</v>
      </c>
    </row>
    <row r="45" customFormat="false" ht="15.75" hidden="false" customHeight="true" outlineLevel="0" collapsed="false">
      <c r="B45" s="17" t="s">
        <v>21</v>
      </c>
    </row>
    <row r="46" customFormat="false" ht="15" hidden="false" customHeight="true" outlineLevel="0" collapsed="false">
      <c r="B46" s="18" t="s">
        <v>84</v>
      </c>
    </row>
    <row r="48" customFormat="false" ht="15.75" hidden="false" customHeight="true" outlineLevel="0" collapsed="false">
      <c r="B48" s="17" t="s">
        <v>85</v>
      </c>
    </row>
    <row r="49" customFormat="false" ht="15" hidden="false" customHeight="true" outlineLevel="0" collapsed="false">
      <c r="B49" s="18" t="s">
        <v>86</v>
      </c>
    </row>
    <row r="51" customFormat="false" ht="15.75" hidden="false" customHeight="true" outlineLevel="0" collapsed="false">
      <c r="B51" s="17" t="s">
        <v>87</v>
      </c>
    </row>
    <row r="52" customFormat="false" ht="30" hidden="false" customHeight="true" outlineLevel="0" collapsed="false">
      <c r="B52" s="18" t="s">
        <v>88</v>
      </c>
    </row>
    <row r="54" customFormat="false" ht="15.75" hidden="false" customHeight="true" outlineLevel="0" collapsed="false">
      <c r="B54" s="17" t="s">
        <v>89</v>
      </c>
    </row>
    <row r="55" customFormat="false" ht="30" hidden="false" customHeight="true" outlineLevel="0" collapsed="false">
      <c r="B55" s="18" t="s">
        <v>90</v>
      </c>
    </row>
    <row r="57" customFormat="false" ht="15.75" hidden="false" customHeight="true" outlineLevel="0" collapsed="false">
      <c r="B57" s="17" t="s">
        <v>91</v>
      </c>
    </row>
    <row r="58" customFormat="false" ht="60" hidden="false" customHeight="true" outlineLevel="0" collapsed="false">
      <c r="B58" s="18" t="s">
        <v>92</v>
      </c>
    </row>
    <row r="60" customFormat="false" ht="15.75" hidden="false" customHeight="true" outlineLevel="0" collapsed="false">
      <c r="B60" s="17" t="s">
        <v>93</v>
      </c>
    </row>
    <row r="61" customFormat="false" ht="23.25" hidden="false" customHeight="true" outlineLevel="0" collapsed="false">
      <c r="B61" s="18" t="s">
        <v>94</v>
      </c>
    </row>
  </sheetData>
  <mergeCells count="1">
    <mergeCell ref="A1:B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2026-08-28T16:45:38Z</dcterms:created>
  <dc:creator>openpyxl</dc:creator>
  <dc:description/>
  <dc:language>en-US</dc:language>
  <cp:lastModifiedBy>Bob Ferguson</cp:lastModifiedBy>
  <dcterms:modified xsi:type="dcterms:W3CDTF">2026-10-31T19:36:54Z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